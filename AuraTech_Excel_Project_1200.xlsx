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ggggyyygyg\Desktop\Pojects\"/>
    </mc:Choice>
  </mc:AlternateContent>
  <xr:revisionPtr revIDLastSave="0" documentId="13_ncr:1_{ED017F6D-55DD-4C6E-9A67-51FE59A34C28}" xr6:coauthVersionLast="47" xr6:coauthVersionMax="47" xr10:uidLastSave="{00000000-0000-0000-0000-000000000000}"/>
  <bookViews>
    <workbookView xWindow="-120" yWindow="-120" windowWidth="20730" windowHeight="11040" firstSheet="2" activeTab="5" xr2:uid="{91AD8066-938E-4288-B37D-30D87484BAB9}"/>
  </bookViews>
  <sheets>
    <sheet name="Raw_Sales_Data" sheetId="4" r:id="rId1"/>
    <sheet name="Raw_Product_Catalog" sheetId="6" r:id="rId2"/>
    <sheet name="Clean_Sales_Data" sheetId="2" r:id="rId3"/>
    <sheet name="Product_Catalog" sheetId="3" r:id="rId4"/>
    <sheet name="Pivot_Table" sheetId="10" r:id="rId5"/>
    <sheet name="Dashboard" sheetId="13" r:id="rId6"/>
  </sheets>
  <definedNames>
    <definedName name="ExternalData_1" localSheetId="2" hidden="1">Clean_Sales_Data!$A$1:$K$1157</definedName>
    <definedName name="ExternalData_2" localSheetId="3" hidden="1">Product_Catalog!$A$1:$D$10</definedName>
    <definedName name="NativeTimeline_Order_Date">#N/A</definedName>
    <definedName name="_xlnm.Print_Area" localSheetId="5">Dashboard!$AE$30</definedName>
    <definedName name="Slicer_Category">#N/A</definedName>
    <definedName name="Slicer_Reg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N685" i="2" s="1"/>
  <c r="O685" i="2" s="1"/>
  <c r="L686" i="2"/>
  <c r="N686" i="2" s="1"/>
  <c r="O686" i="2" s="1"/>
  <c r="L687" i="2"/>
  <c r="N687" i="2" s="1"/>
  <c r="O687" i="2" s="1"/>
  <c r="L688" i="2"/>
  <c r="N688" i="2" s="1"/>
  <c r="O688" i="2" s="1"/>
  <c r="L689" i="2"/>
  <c r="N689" i="2" s="1"/>
  <c r="O689" i="2" s="1"/>
  <c r="L690" i="2"/>
  <c r="N690" i="2" s="1"/>
  <c r="O690" i="2" s="1"/>
  <c r="L691" i="2"/>
  <c r="N691" i="2" s="1"/>
  <c r="O691" i="2" s="1"/>
  <c r="L692" i="2"/>
  <c r="N692" i="2" s="1"/>
  <c r="O692" i="2" s="1"/>
  <c r="L693" i="2"/>
  <c r="N693" i="2" s="1"/>
  <c r="O693" i="2" s="1"/>
  <c r="L694" i="2"/>
  <c r="N694" i="2" s="1"/>
  <c r="O694" i="2" s="1"/>
  <c r="L695" i="2"/>
  <c r="N695" i="2" s="1"/>
  <c r="O695" i="2" s="1"/>
  <c r="L696" i="2"/>
  <c r="N696" i="2" s="1"/>
  <c r="O696" i="2" s="1"/>
  <c r="L697" i="2"/>
  <c r="N697" i="2" s="1"/>
  <c r="O697" i="2" s="1"/>
  <c r="L698" i="2"/>
  <c r="N698" i="2" s="1"/>
  <c r="O698" i="2" s="1"/>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E4" i="10"/>
  <c r="N289" i="2" l="1"/>
  <c r="O289" i="2" s="1"/>
  <c r="N290" i="2"/>
  <c r="O290" i="2" s="1"/>
  <c r="N291" i="2"/>
  <c r="O291" i="2" s="1"/>
  <c r="N292" i="2"/>
  <c r="O292" i="2" s="1"/>
  <c r="N293" i="2"/>
  <c r="O293" i="2" s="1"/>
  <c r="N294" i="2"/>
  <c r="O294" i="2" s="1"/>
  <c r="N295" i="2"/>
  <c r="O295" i="2" s="1"/>
  <c r="N296" i="2"/>
  <c r="O296" i="2" s="1"/>
  <c r="N297" i="2"/>
  <c r="O297" i="2" s="1"/>
  <c r="N298" i="2"/>
  <c r="O298" i="2" s="1"/>
  <c r="N299" i="2"/>
  <c r="O299" i="2" s="1"/>
  <c r="N300" i="2"/>
  <c r="O300" i="2" s="1"/>
  <c r="N301" i="2"/>
  <c r="O301" i="2" s="1"/>
  <c r="N302" i="2"/>
  <c r="O302" i="2" s="1"/>
  <c r="N303" i="2"/>
  <c r="O303" i="2" s="1"/>
  <c r="N304" i="2"/>
  <c r="O304" i="2" s="1"/>
  <c r="N305" i="2"/>
  <c r="O305" i="2" s="1"/>
  <c r="N306" i="2"/>
  <c r="O306" i="2" s="1"/>
  <c r="N307" i="2"/>
  <c r="O307" i="2" s="1"/>
  <c r="N308" i="2"/>
  <c r="O308" i="2" s="1"/>
  <c r="N309" i="2"/>
  <c r="O309" i="2" s="1"/>
  <c r="N310" i="2"/>
  <c r="O310" i="2" s="1"/>
  <c r="N311" i="2"/>
  <c r="O311" i="2" s="1"/>
  <c r="N312" i="2"/>
  <c r="O312" i="2" s="1"/>
  <c r="N313" i="2"/>
  <c r="O313" i="2" s="1"/>
  <c r="N314" i="2"/>
  <c r="O314" i="2" s="1"/>
  <c r="N315" i="2"/>
  <c r="O315" i="2" s="1"/>
  <c r="N316" i="2"/>
  <c r="O316" i="2" s="1"/>
  <c r="N317" i="2"/>
  <c r="O317" i="2" s="1"/>
  <c r="N318" i="2"/>
  <c r="O318" i="2" s="1"/>
  <c r="N319" i="2"/>
  <c r="O319" i="2" s="1"/>
  <c r="N320" i="2"/>
  <c r="O320" i="2" s="1"/>
  <c r="N321" i="2"/>
  <c r="O321" i="2" s="1"/>
  <c r="N322" i="2"/>
  <c r="O322" i="2" s="1"/>
  <c r="N323" i="2"/>
  <c r="O323" i="2" s="1"/>
  <c r="N228" i="2"/>
  <c r="O228" i="2" s="1"/>
  <c r="N229" i="2"/>
  <c r="O229" i="2" s="1"/>
  <c r="N230" i="2"/>
  <c r="O230" i="2" s="1"/>
  <c r="N231" i="2"/>
  <c r="O231" i="2" s="1"/>
  <c r="N232" i="2"/>
  <c r="O232" i="2" s="1"/>
  <c r="N233" i="2"/>
  <c r="O233" i="2" s="1"/>
  <c r="N234" i="2"/>
  <c r="O234" i="2" s="1"/>
  <c r="N235" i="2"/>
  <c r="O235" i="2" s="1"/>
  <c r="N236" i="2"/>
  <c r="O236" i="2" s="1"/>
  <c r="N237" i="2"/>
  <c r="O237" i="2" s="1"/>
  <c r="N238" i="2"/>
  <c r="O238" i="2" s="1"/>
  <c r="N239" i="2"/>
  <c r="O239" i="2" s="1"/>
  <c r="N240" i="2"/>
  <c r="O240" i="2" s="1"/>
  <c r="N241" i="2"/>
  <c r="O241" i="2" s="1"/>
  <c r="N242" i="2"/>
  <c r="O242" i="2" s="1"/>
  <c r="N243" i="2"/>
  <c r="O243" i="2" s="1"/>
  <c r="N244" i="2"/>
  <c r="O244" i="2" s="1"/>
  <c r="N245" i="2"/>
  <c r="O245" i="2" s="1"/>
  <c r="N246" i="2"/>
  <c r="O246" i="2" s="1"/>
  <c r="N247" i="2"/>
  <c r="O247" i="2" s="1"/>
  <c r="N248" i="2"/>
  <c r="O248" i="2" s="1"/>
  <c r="N249" i="2"/>
  <c r="O249" i="2" s="1"/>
  <c r="N250" i="2"/>
  <c r="O250" i="2" s="1"/>
  <c r="N251" i="2"/>
  <c r="O251" i="2" s="1"/>
  <c r="N252" i="2"/>
  <c r="O252" i="2" s="1"/>
  <c r="N253" i="2"/>
  <c r="O253" i="2" s="1"/>
  <c r="N254" i="2"/>
  <c r="O254" i="2" s="1"/>
  <c r="N255" i="2"/>
  <c r="O255" i="2" s="1"/>
  <c r="N256" i="2"/>
  <c r="O256" i="2" s="1"/>
  <c r="N257" i="2"/>
  <c r="O257" i="2" s="1"/>
  <c r="N258" i="2"/>
  <c r="O258" i="2" s="1"/>
  <c r="N259" i="2"/>
  <c r="O259" i="2" s="1"/>
  <c r="N260" i="2"/>
  <c r="O260" i="2" s="1"/>
  <c r="N261" i="2"/>
  <c r="O261" i="2" s="1"/>
  <c r="N262" i="2"/>
  <c r="O262" i="2" s="1"/>
  <c r="N263" i="2"/>
  <c r="O263" i="2" s="1"/>
  <c r="N264" i="2"/>
  <c r="O264" i="2" s="1"/>
  <c r="N265" i="2"/>
  <c r="O265" i="2" s="1"/>
  <c r="N266" i="2"/>
  <c r="O266" i="2" s="1"/>
  <c r="N267" i="2"/>
  <c r="O267" i="2" s="1"/>
  <c r="N268" i="2"/>
  <c r="O268" i="2" s="1"/>
  <c r="N269" i="2"/>
  <c r="O269" i="2" s="1"/>
  <c r="N270" i="2"/>
  <c r="O270" i="2" s="1"/>
  <c r="N271" i="2"/>
  <c r="O271" i="2" s="1"/>
  <c r="N272" i="2"/>
  <c r="O272" i="2" s="1"/>
  <c r="N273" i="2"/>
  <c r="O273" i="2" s="1"/>
  <c r="N274" i="2"/>
  <c r="O274" i="2" s="1"/>
  <c r="N275" i="2"/>
  <c r="O275" i="2" s="1"/>
  <c r="N276" i="2"/>
  <c r="O276" i="2" s="1"/>
  <c r="N277" i="2"/>
  <c r="O277" i="2" s="1"/>
  <c r="N278" i="2"/>
  <c r="O278" i="2" s="1"/>
  <c r="N279" i="2"/>
  <c r="O279" i="2" s="1"/>
  <c r="N280" i="2"/>
  <c r="O280" i="2" s="1"/>
  <c r="N281" i="2"/>
  <c r="O281" i="2" s="1"/>
  <c r="N282" i="2"/>
  <c r="O282" i="2" s="1"/>
  <c r="N283" i="2"/>
  <c r="O283" i="2" s="1"/>
  <c r="N284" i="2"/>
  <c r="O284" i="2" s="1"/>
  <c r="N285" i="2"/>
  <c r="O285" i="2" s="1"/>
  <c r="N286" i="2"/>
  <c r="O286" i="2" s="1"/>
  <c r="N287" i="2"/>
  <c r="O287" i="2" s="1"/>
  <c r="N288" i="2"/>
  <c r="O288" i="2" s="1"/>
  <c r="N699" i="2"/>
  <c r="O699" i="2" s="1"/>
  <c r="N700" i="2"/>
  <c r="O700" i="2" s="1"/>
  <c r="N701" i="2"/>
  <c r="O701" i="2" s="1"/>
  <c r="N702" i="2"/>
  <c r="O702" i="2" s="1"/>
  <c r="N703" i="2"/>
  <c r="O703" i="2" s="1"/>
  <c r="N704" i="2"/>
  <c r="O704" i="2" s="1"/>
  <c r="N705" i="2"/>
  <c r="O705" i="2" s="1"/>
  <c r="N706" i="2"/>
  <c r="O706" i="2" s="1"/>
  <c r="N707" i="2"/>
  <c r="O707" i="2" s="1"/>
  <c r="N708" i="2"/>
  <c r="O708" i="2" s="1"/>
  <c r="N709" i="2"/>
  <c r="O709" i="2" s="1"/>
  <c r="N710" i="2"/>
  <c r="O710" i="2" s="1"/>
  <c r="N711" i="2"/>
  <c r="O711" i="2" s="1"/>
  <c r="N712" i="2"/>
  <c r="O712" i="2" s="1"/>
  <c r="N713" i="2"/>
  <c r="O713" i="2" s="1"/>
  <c r="N714" i="2"/>
  <c r="O714" i="2" s="1"/>
  <c r="N715" i="2"/>
  <c r="O715" i="2" s="1"/>
  <c r="N716" i="2"/>
  <c r="O716" i="2" s="1"/>
  <c r="N717" i="2"/>
  <c r="O717" i="2" s="1"/>
  <c r="N718" i="2"/>
  <c r="O718" i="2" s="1"/>
  <c r="N719" i="2"/>
  <c r="O719" i="2" s="1"/>
  <c r="N879" i="2"/>
  <c r="O879" i="2" s="1"/>
  <c r="N880" i="2"/>
  <c r="O880" i="2" s="1"/>
  <c r="N881" i="2"/>
  <c r="O881" i="2" s="1"/>
  <c r="N882" i="2"/>
  <c r="O882" i="2" s="1"/>
  <c r="N883" i="2"/>
  <c r="O883" i="2" s="1"/>
  <c r="N884" i="2"/>
  <c r="O884" i="2" s="1"/>
  <c r="N885" i="2"/>
  <c r="O885" i="2" s="1"/>
  <c r="N886" i="2"/>
  <c r="O886" i="2" s="1"/>
  <c r="N887" i="2"/>
  <c r="O887" i="2" s="1"/>
  <c r="N888" i="2"/>
  <c r="O888" i="2" s="1"/>
  <c r="N889" i="2"/>
  <c r="O889" i="2" s="1"/>
  <c r="N890" i="2"/>
  <c r="O890" i="2" s="1"/>
  <c r="N891" i="2"/>
  <c r="O891" i="2" s="1"/>
  <c r="N892" i="2"/>
  <c r="O892" i="2" s="1"/>
  <c r="N893" i="2"/>
  <c r="O893" i="2" s="1"/>
  <c r="N894" i="2"/>
  <c r="O894" i="2" s="1"/>
  <c r="N895" i="2"/>
  <c r="O895" i="2" s="1"/>
  <c r="N896" i="2"/>
  <c r="O896" i="2" s="1"/>
  <c r="N897" i="2"/>
  <c r="O897" i="2" s="1"/>
  <c r="N898" i="2"/>
  <c r="O898" i="2" s="1"/>
  <c r="N899" i="2"/>
  <c r="O899" i="2" s="1"/>
  <c r="N900" i="2"/>
  <c r="O900" i="2" s="1"/>
  <c r="N901" i="2"/>
  <c r="O901" i="2" s="1"/>
  <c r="N902" i="2"/>
  <c r="O902" i="2" s="1"/>
  <c r="N903" i="2"/>
  <c r="O903" i="2" s="1"/>
  <c r="N904" i="2"/>
  <c r="O904" i="2" s="1"/>
  <c r="N905" i="2"/>
  <c r="O905" i="2" s="1"/>
  <c r="N906" i="2"/>
  <c r="O906" i="2" s="1"/>
  <c r="N907" i="2"/>
  <c r="O907" i="2" s="1"/>
  <c r="N908" i="2"/>
  <c r="O908" i="2" s="1"/>
  <c r="N909" i="2"/>
  <c r="O909" i="2" s="1"/>
  <c r="N910" i="2"/>
  <c r="O910" i="2" s="1"/>
  <c r="N911" i="2"/>
  <c r="O911" i="2" s="1"/>
  <c r="N912" i="2"/>
  <c r="O912" i="2" s="1"/>
  <c r="N913" i="2"/>
  <c r="O913" i="2" s="1"/>
  <c r="N914" i="2"/>
  <c r="O914" i="2" s="1"/>
  <c r="N915" i="2"/>
  <c r="O915" i="2" s="1"/>
  <c r="N916" i="2"/>
  <c r="O916" i="2" s="1"/>
  <c r="N917" i="2"/>
  <c r="O917" i="2" s="1"/>
  <c r="N918" i="2"/>
  <c r="O918" i="2" s="1"/>
  <c r="N919" i="2"/>
  <c r="O919" i="2" s="1"/>
  <c r="N920" i="2"/>
  <c r="O920" i="2" s="1"/>
  <c r="N921" i="2"/>
  <c r="O921" i="2" s="1"/>
  <c r="N922" i="2"/>
  <c r="O922" i="2" s="1"/>
  <c r="N923" i="2"/>
  <c r="O923" i="2" s="1"/>
  <c r="N924" i="2"/>
  <c r="O924" i="2" s="1"/>
  <c r="N925" i="2"/>
  <c r="O925" i="2" s="1"/>
  <c r="N926" i="2"/>
  <c r="O926" i="2" s="1"/>
  <c r="N927" i="2"/>
  <c r="O927" i="2" s="1"/>
  <c r="N928" i="2"/>
  <c r="O928" i="2" s="1"/>
  <c r="N929" i="2"/>
  <c r="O929" i="2" s="1"/>
  <c r="N930" i="2"/>
  <c r="O930" i="2" s="1"/>
  <c r="N931" i="2"/>
  <c r="O931" i="2" s="1"/>
  <c r="N932" i="2"/>
  <c r="O932" i="2" s="1"/>
  <c r="N933" i="2"/>
  <c r="O933" i="2" s="1"/>
  <c r="N934" i="2"/>
  <c r="O934" i="2" s="1"/>
  <c r="N935" i="2"/>
  <c r="O935" i="2" s="1"/>
  <c r="N936" i="2"/>
  <c r="O936" i="2" s="1"/>
  <c r="N937" i="2"/>
  <c r="O937" i="2" s="1"/>
  <c r="N938" i="2"/>
  <c r="O938" i="2" s="1"/>
  <c r="N939" i="2"/>
  <c r="O939" i="2" s="1"/>
  <c r="N940" i="2"/>
  <c r="O940" i="2" s="1"/>
  <c r="N941" i="2"/>
  <c r="O941" i="2" s="1"/>
  <c r="N720" i="2"/>
  <c r="O720" i="2" s="1"/>
  <c r="N721" i="2"/>
  <c r="O721" i="2" s="1"/>
  <c r="N722" i="2"/>
  <c r="O722" i="2" s="1"/>
  <c r="N723" i="2"/>
  <c r="O723" i="2" s="1"/>
  <c r="N724" i="2"/>
  <c r="O724" i="2" s="1"/>
  <c r="N725" i="2"/>
  <c r="O725" i="2" s="1"/>
  <c r="N726" i="2"/>
  <c r="O726" i="2" s="1"/>
  <c r="N727" i="2"/>
  <c r="O727" i="2" s="1"/>
  <c r="N728" i="2"/>
  <c r="O728" i="2" s="1"/>
  <c r="N729" i="2"/>
  <c r="O729" i="2" s="1"/>
  <c r="N730" i="2"/>
  <c r="O730" i="2" s="1"/>
  <c r="N731" i="2"/>
  <c r="O731" i="2" s="1"/>
  <c r="N732" i="2"/>
  <c r="O732" i="2" s="1"/>
  <c r="N733" i="2"/>
  <c r="O733" i="2" s="1"/>
  <c r="N734" i="2"/>
  <c r="O734" i="2" s="1"/>
  <c r="N735" i="2"/>
  <c r="O735" i="2" s="1"/>
  <c r="N736" i="2"/>
  <c r="O736" i="2" s="1"/>
  <c r="N737" i="2"/>
  <c r="O737" i="2" s="1"/>
  <c r="N738" i="2"/>
  <c r="O738" i="2" s="1"/>
  <c r="N739" i="2"/>
  <c r="O739" i="2" s="1"/>
  <c r="N740" i="2"/>
  <c r="O740" i="2" s="1"/>
  <c r="N741" i="2"/>
  <c r="O741" i="2" s="1"/>
  <c r="N742" i="2"/>
  <c r="O742" i="2" s="1"/>
  <c r="N743" i="2"/>
  <c r="O743" i="2" s="1"/>
  <c r="N744" i="2"/>
  <c r="O744" i="2" s="1"/>
  <c r="N745" i="2"/>
  <c r="O745" i="2" s="1"/>
  <c r="N746" i="2"/>
  <c r="O746" i="2" s="1"/>
  <c r="N747" i="2"/>
  <c r="O747" i="2" s="1"/>
  <c r="N748" i="2"/>
  <c r="O748" i="2" s="1"/>
  <c r="N749" i="2"/>
  <c r="O749" i="2" s="1"/>
  <c r="N750" i="2"/>
  <c r="O750" i="2" s="1"/>
  <c r="N751" i="2"/>
  <c r="O751" i="2" s="1"/>
  <c r="N752" i="2"/>
  <c r="O752" i="2" s="1"/>
  <c r="N753" i="2"/>
  <c r="O753" i="2" s="1"/>
  <c r="N754" i="2"/>
  <c r="O754" i="2" s="1"/>
  <c r="N755" i="2"/>
  <c r="O755" i="2" s="1"/>
  <c r="N756" i="2"/>
  <c r="O756" i="2" s="1"/>
  <c r="N757" i="2"/>
  <c r="O757" i="2" s="1"/>
  <c r="N758" i="2"/>
  <c r="O758" i="2" s="1"/>
  <c r="N759" i="2"/>
  <c r="O759" i="2" s="1"/>
  <c r="N760" i="2"/>
  <c r="O760" i="2" s="1"/>
  <c r="N761" i="2"/>
  <c r="O761" i="2" s="1"/>
  <c r="N762" i="2"/>
  <c r="O762" i="2" s="1"/>
  <c r="N763" i="2"/>
  <c r="O763" i="2" s="1"/>
  <c r="N764" i="2"/>
  <c r="O764" i="2" s="1"/>
  <c r="N765" i="2"/>
  <c r="O765" i="2" s="1"/>
  <c r="N766" i="2"/>
  <c r="O766" i="2" s="1"/>
  <c r="N767" i="2"/>
  <c r="O767" i="2" s="1"/>
  <c r="N768" i="2"/>
  <c r="O768" i="2" s="1"/>
  <c r="N769" i="2"/>
  <c r="O769" i="2" s="1"/>
  <c r="N770" i="2"/>
  <c r="O770" i="2" s="1"/>
  <c r="N771" i="2"/>
  <c r="O771" i="2" s="1"/>
  <c r="N772" i="2"/>
  <c r="O772" i="2" s="1"/>
  <c r="N773" i="2"/>
  <c r="O773" i="2" s="1"/>
  <c r="N774" i="2"/>
  <c r="O774" i="2" s="1"/>
  <c r="N775" i="2"/>
  <c r="O775" i="2" s="1"/>
  <c r="N776" i="2"/>
  <c r="O776" i="2" s="1"/>
  <c r="N777" i="2"/>
  <c r="O777" i="2" s="1"/>
  <c r="N778" i="2"/>
  <c r="O778" i="2" s="1"/>
  <c r="N779" i="2"/>
  <c r="O779" i="2" s="1"/>
  <c r="N780" i="2"/>
  <c r="O780" i="2" s="1"/>
  <c r="N781" i="2"/>
  <c r="O781" i="2" s="1"/>
  <c r="N782" i="2"/>
  <c r="O782" i="2" s="1"/>
  <c r="N783" i="2"/>
  <c r="O783" i="2" s="1"/>
  <c r="N784" i="2"/>
  <c r="O784" i="2" s="1"/>
  <c r="N785" i="2"/>
  <c r="O785" i="2" s="1"/>
  <c r="N786" i="2"/>
  <c r="O786" i="2" s="1"/>
  <c r="N787" i="2"/>
  <c r="O787" i="2" s="1"/>
  <c r="N788" i="2"/>
  <c r="O788" i="2" s="1"/>
  <c r="N789" i="2"/>
  <c r="O789" i="2" s="1"/>
  <c r="N790" i="2"/>
  <c r="O790" i="2" s="1"/>
  <c r="N791" i="2"/>
  <c r="O791" i="2" s="1"/>
  <c r="N792" i="2"/>
  <c r="O792" i="2" s="1"/>
  <c r="N793" i="2"/>
  <c r="O793" i="2" s="1"/>
  <c r="N794" i="2"/>
  <c r="O794" i="2" s="1"/>
  <c r="N795" i="2"/>
  <c r="O795" i="2" s="1"/>
  <c r="N796" i="2"/>
  <c r="O796" i="2" s="1"/>
  <c r="N797" i="2"/>
  <c r="O797" i="2" s="1"/>
  <c r="N798" i="2"/>
  <c r="O798" i="2" s="1"/>
  <c r="N799" i="2"/>
  <c r="O799" i="2" s="1"/>
  <c r="N800" i="2"/>
  <c r="O800" i="2" s="1"/>
  <c r="N801" i="2"/>
  <c r="O801" i="2" s="1"/>
  <c r="N802" i="2"/>
  <c r="O802" i="2" s="1"/>
  <c r="N803" i="2"/>
  <c r="O803" i="2" s="1"/>
  <c r="N804" i="2"/>
  <c r="O804" i="2" s="1"/>
  <c r="N805" i="2"/>
  <c r="O805" i="2" s="1"/>
  <c r="N806" i="2"/>
  <c r="O806" i="2" s="1"/>
  <c r="N807" i="2"/>
  <c r="O807" i="2" s="1"/>
  <c r="N808" i="2"/>
  <c r="O808" i="2" s="1"/>
  <c r="N809" i="2"/>
  <c r="O809" i="2" s="1"/>
  <c r="N810" i="2"/>
  <c r="O810" i="2" s="1"/>
  <c r="N811" i="2"/>
  <c r="O811" i="2" s="1"/>
  <c r="N812" i="2"/>
  <c r="O812" i="2" s="1"/>
  <c r="N813" i="2"/>
  <c r="O813" i="2" s="1"/>
  <c r="N814" i="2"/>
  <c r="O814" i="2" s="1"/>
  <c r="N815" i="2"/>
  <c r="O815" i="2" s="1"/>
  <c r="N816" i="2"/>
  <c r="O816" i="2" s="1"/>
  <c r="N817" i="2"/>
  <c r="O817" i="2" s="1"/>
  <c r="N818" i="2"/>
  <c r="O818" i="2" s="1"/>
  <c r="N819" i="2"/>
  <c r="O819" i="2" s="1"/>
  <c r="N820" i="2"/>
  <c r="O820" i="2" s="1"/>
  <c r="N821" i="2"/>
  <c r="O821" i="2" s="1"/>
  <c r="N822" i="2"/>
  <c r="O822" i="2" s="1"/>
  <c r="N823" i="2"/>
  <c r="O823" i="2" s="1"/>
  <c r="N824" i="2"/>
  <c r="O824" i="2" s="1"/>
  <c r="N825" i="2"/>
  <c r="O825" i="2" s="1"/>
  <c r="N826" i="2"/>
  <c r="O826" i="2" s="1"/>
  <c r="N827" i="2"/>
  <c r="O827" i="2" s="1"/>
  <c r="N828" i="2"/>
  <c r="O828" i="2" s="1"/>
  <c r="N829" i="2"/>
  <c r="O829" i="2" s="1"/>
  <c r="N830" i="2"/>
  <c r="O830" i="2" s="1"/>
  <c r="N831" i="2"/>
  <c r="O831" i="2" s="1"/>
  <c r="N832" i="2"/>
  <c r="O832" i="2" s="1"/>
  <c r="N833" i="2"/>
  <c r="O833" i="2" s="1"/>
  <c r="N834" i="2"/>
  <c r="O834" i="2" s="1"/>
  <c r="N835" i="2"/>
  <c r="O835" i="2" s="1"/>
  <c r="N836" i="2"/>
  <c r="O836" i="2" s="1"/>
  <c r="N837" i="2"/>
  <c r="O837" i="2" s="1"/>
  <c r="N838" i="2"/>
  <c r="O838" i="2" s="1"/>
  <c r="N839" i="2"/>
  <c r="O839" i="2" s="1"/>
  <c r="N840" i="2"/>
  <c r="O840" i="2" s="1"/>
  <c r="N841" i="2"/>
  <c r="O841" i="2" s="1"/>
  <c r="N842" i="2"/>
  <c r="O842" i="2" s="1"/>
  <c r="N843" i="2"/>
  <c r="O843" i="2" s="1"/>
  <c r="N844" i="2"/>
  <c r="O844" i="2" s="1"/>
  <c r="N845" i="2"/>
  <c r="O845" i="2" s="1"/>
  <c r="N846" i="2"/>
  <c r="O846" i="2" s="1"/>
  <c r="N847" i="2"/>
  <c r="O847" i="2" s="1"/>
  <c r="N848" i="2"/>
  <c r="O848" i="2" s="1"/>
  <c r="N849" i="2"/>
  <c r="O849" i="2" s="1"/>
  <c r="N850" i="2"/>
  <c r="O850" i="2" s="1"/>
  <c r="N851" i="2"/>
  <c r="O851" i="2" s="1"/>
  <c r="N852" i="2"/>
  <c r="O852" i="2" s="1"/>
  <c r="N853" i="2"/>
  <c r="O853" i="2" s="1"/>
  <c r="N854" i="2"/>
  <c r="O854" i="2" s="1"/>
  <c r="N855" i="2"/>
  <c r="O855" i="2" s="1"/>
  <c r="N856" i="2"/>
  <c r="O856" i="2" s="1"/>
  <c r="N857" i="2"/>
  <c r="O857" i="2" s="1"/>
  <c r="N858" i="2"/>
  <c r="O858" i="2" s="1"/>
  <c r="N859" i="2"/>
  <c r="O859" i="2" s="1"/>
  <c r="N860" i="2"/>
  <c r="O860" i="2" s="1"/>
  <c r="N861" i="2"/>
  <c r="O861" i="2" s="1"/>
  <c r="N862" i="2"/>
  <c r="O862" i="2" s="1"/>
  <c r="N863" i="2"/>
  <c r="O863" i="2" s="1"/>
  <c r="N864" i="2"/>
  <c r="O864" i="2" s="1"/>
  <c r="N865" i="2"/>
  <c r="O865" i="2" s="1"/>
  <c r="N866" i="2"/>
  <c r="O866" i="2" s="1"/>
  <c r="N867" i="2"/>
  <c r="O867" i="2" s="1"/>
  <c r="N868" i="2"/>
  <c r="O868" i="2" s="1"/>
  <c r="N869" i="2"/>
  <c r="O869" i="2" s="1"/>
  <c r="N870" i="2"/>
  <c r="O870" i="2" s="1"/>
  <c r="N871" i="2"/>
  <c r="O871" i="2" s="1"/>
  <c r="N872" i="2"/>
  <c r="O872" i="2" s="1"/>
  <c r="N873" i="2"/>
  <c r="O873" i="2" s="1"/>
  <c r="N874" i="2"/>
  <c r="O874" i="2" s="1"/>
  <c r="N875" i="2"/>
  <c r="O875" i="2" s="1"/>
  <c r="N876" i="2"/>
  <c r="O876" i="2" s="1"/>
  <c r="N877" i="2"/>
  <c r="O877" i="2" s="1"/>
  <c r="N878" i="2"/>
  <c r="O878" i="2" s="1"/>
  <c r="N427" i="2"/>
  <c r="O427" i="2" s="1"/>
  <c r="N428" i="2"/>
  <c r="O428" i="2" s="1"/>
  <c r="N429" i="2"/>
  <c r="O429" i="2" s="1"/>
  <c r="N430" i="2"/>
  <c r="O430" i="2" s="1"/>
  <c r="N431" i="2"/>
  <c r="O431" i="2" s="1"/>
  <c r="N432" i="2"/>
  <c r="O432" i="2" s="1"/>
  <c r="N433" i="2"/>
  <c r="O433" i="2" s="1"/>
  <c r="N434" i="2"/>
  <c r="O434" i="2" s="1"/>
  <c r="N435" i="2"/>
  <c r="O435" i="2" s="1"/>
  <c r="N436" i="2"/>
  <c r="O436" i="2" s="1"/>
  <c r="N437" i="2"/>
  <c r="O437" i="2" s="1"/>
  <c r="N438" i="2"/>
  <c r="O438" i="2" s="1"/>
  <c r="N439" i="2"/>
  <c r="O439" i="2" s="1"/>
  <c r="N440" i="2"/>
  <c r="O440" i="2" s="1"/>
  <c r="N441" i="2"/>
  <c r="O441" i="2" s="1"/>
  <c r="N442" i="2"/>
  <c r="O442" i="2" s="1"/>
  <c r="N443" i="2"/>
  <c r="O443" i="2" s="1"/>
  <c r="N444" i="2"/>
  <c r="O444" i="2" s="1"/>
  <c r="N445" i="2"/>
  <c r="O445" i="2" s="1"/>
  <c r="N446" i="2"/>
  <c r="O446" i="2" s="1"/>
  <c r="N447" i="2"/>
  <c r="O447" i="2" s="1"/>
  <c r="N448" i="2"/>
  <c r="O448" i="2" s="1"/>
  <c r="N449" i="2"/>
  <c r="O449" i="2" s="1"/>
  <c r="N450" i="2"/>
  <c r="O450" i="2" s="1"/>
  <c r="N451" i="2"/>
  <c r="O451" i="2" s="1"/>
  <c r="N452" i="2"/>
  <c r="O452" i="2" s="1"/>
  <c r="N453" i="2"/>
  <c r="O453" i="2" s="1"/>
  <c r="N454" i="2"/>
  <c r="O454" i="2" s="1"/>
  <c r="N455" i="2"/>
  <c r="O455" i="2" s="1"/>
  <c r="N456" i="2"/>
  <c r="O456" i="2" s="1"/>
  <c r="N457" i="2"/>
  <c r="O457" i="2" s="1"/>
  <c r="N458" i="2"/>
  <c r="O458" i="2" s="1"/>
  <c r="N459" i="2"/>
  <c r="O459" i="2" s="1"/>
  <c r="N460" i="2"/>
  <c r="O460" i="2" s="1"/>
  <c r="N461" i="2"/>
  <c r="O461" i="2" s="1"/>
  <c r="N462" i="2"/>
  <c r="O462" i="2" s="1"/>
  <c r="N463" i="2"/>
  <c r="O463" i="2" s="1"/>
  <c r="N464" i="2"/>
  <c r="O464" i="2" s="1"/>
  <c r="N465" i="2"/>
  <c r="O465" i="2" s="1"/>
  <c r="N466" i="2"/>
  <c r="O466" i="2" s="1"/>
  <c r="N467" i="2"/>
  <c r="O467" i="2" s="1"/>
  <c r="N468" i="2"/>
  <c r="O468" i="2" s="1"/>
  <c r="N469" i="2"/>
  <c r="O469" i="2" s="1"/>
  <c r="N470" i="2"/>
  <c r="O470" i="2" s="1"/>
  <c r="N471" i="2"/>
  <c r="O471" i="2" s="1"/>
  <c r="N472" i="2"/>
  <c r="O472" i="2" s="1"/>
  <c r="N473" i="2"/>
  <c r="O473" i="2" s="1"/>
  <c r="N474" i="2"/>
  <c r="O474" i="2" s="1"/>
  <c r="N475" i="2"/>
  <c r="O475" i="2" s="1"/>
  <c r="N476" i="2"/>
  <c r="O476" i="2" s="1"/>
  <c r="N477" i="2"/>
  <c r="O477" i="2" s="1"/>
  <c r="N478" i="2"/>
  <c r="O478" i="2" s="1"/>
  <c r="N479" i="2"/>
  <c r="O479" i="2" s="1"/>
  <c r="N480" i="2"/>
  <c r="O480" i="2" s="1"/>
  <c r="N481" i="2"/>
  <c r="O481" i="2" s="1"/>
  <c r="N482" i="2"/>
  <c r="O482" i="2" s="1"/>
  <c r="N483" i="2"/>
  <c r="O483" i="2" s="1"/>
  <c r="N484" i="2"/>
  <c r="O484" i="2" s="1"/>
  <c r="N485" i="2"/>
  <c r="O485" i="2" s="1"/>
  <c r="N486" i="2"/>
  <c r="O486" i="2" s="1"/>
  <c r="N487" i="2"/>
  <c r="O487" i="2" s="1"/>
  <c r="N488" i="2"/>
  <c r="O488" i="2" s="1"/>
  <c r="N489" i="2"/>
  <c r="O489" i="2" s="1"/>
  <c r="N490" i="2"/>
  <c r="O490" i="2" s="1"/>
  <c r="N491" i="2"/>
  <c r="O491" i="2" s="1"/>
  <c r="N492" i="2"/>
  <c r="O492" i="2" s="1"/>
  <c r="N493" i="2"/>
  <c r="O493" i="2" s="1"/>
  <c r="N494" i="2"/>
  <c r="O494" i="2" s="1"/>
  <c r="N495" i="2"/>
  <c r="O495" i="2" s="1"/>
  <c r="N496" i="2"/>
  <c r="O496" i="2" s="1"/>
  <c r="N497" i="2"/>
  <c r="O497" i="2" s="1"/>
  <c r="N498" i="2"/>
  <c r="O498" i="2" s="1"/>
  <c r="N499" i="2"/>
  <c r="O499" i="2" s="1"/>
  <c r="N500" i="2"/>
  <c r="O500" i="2" s="1"/>
  <c r="N501" i="2"/>
  <c r="O501" i="2" s="1"/>
  <c r="N502" i="2"/>
  <c r="O502" i="2" s="1"/>
  <c r="N503" i="2"/>
  <c r="O503" i="2" s="1"/>
  <c r="N504" i="2"/>
  <c r="O504" i="2" s="1"/>
  <c r="N505" i="2"/>
  <c r="O505" i="2" s="1"/>
  <c r="N506" i="2"/>
  <c r="O506" i="2" s="1"/>
  <c r="N507" i="2"/>
  <c r="O507" i="2" s="1"/>
  <c r="N508" i="2"/>
  <c r="O508" i="2" s="1"/>
  <c r="N509" i="2"/>
  <c r="O509" i="2" s="1"/>
  <c r="N510" i="2"/>
  <c r="O510" i="2" s="1"/>
  <c r="N511" i="2"/>
  <c r="O511" i="2" s="1"/>
  <c r="N512" i="2"/>
  <c r="O512" i="2" s="1"/>
  <c r="N513" i="2"/>
  <c r="O513" i="2" s="1"/>
  <c r="N514" i="2"/>
  <c r="O514" i="2" s="1"/>
  <c r="N515" i="2"/>
  <c r="O515" i="2" s="1"/>
  <c r="N516" i="2"/>
  <c r="O516" i="2" s="1"/>
  <c r="N517" i="2"/>
  <c r="O517" i="2" s="1"/>
  <c r="N518" i="2"/>
  <c r="O518" i="2" s="1"/>
  <c r="N519" i="2"/>
  <c r="O519" i="2" s="1"/>
  <c r="N520" i="2"/>
  <c r="O520" i="2" s="1"/>
  <c r="N521" i="2"/>
  <c r="O521" i="2" s="1"/>
  <c r="N522" i="2"/>
  <c r="O522" i="2" s="1"/>
  <c r="N523" i="2"/>
  <c r="O523" i="2" s="1"/>
  <c r="N524" i="2"/>
  <c r="O524" i="2" s="1"/>
  <c r="N525" i="2"/>
  <c r="O525" i="2" s="1"/>
  <c r="N526" i="2"/>
  <c r="O526" i="2" s="1"/>
  <c r="N527" i="2"/>
  <c r="O527" i="2" s="1"/>
  <c r="N2" i="2"/>
  <c r="O2" i="2" s="1"/>
  <c r="N3" i="2"/>
  <c r="O3" i="2" s="1"/>
  <c r="N4" i="2"/>
  <c r="O4" i="2" s="1"/>
  <c r="N5" i="2"/>
  <c r="O5" i="2" s="1"/>
  <c r="N6" i="2"/>
  <c r="O6" i="2" s="1"/>
  <c r="N7" i="2"/>
  <c r="O7" i="2" s="1"/>
  <c r="N8" i="2"/>
  <c r="O8" i="2" s="1"/>
  <c r="N9" i="2"/>
  <c r="O9" i="2" s="1"/>
  <c r="N10" i="2"/>
  <c r="O10" i="2" s="1"/>
  <c r="N11" i="2"/>
  <c r="O11" i="2" s="1"/>
  <c r="N12" i="2"/>
  <c r="O12" i="2" s="1"/>
  <c r="N13" i="2"/>
  <c r="O13" i="2" s="1"/>
  <c r="N14" i="2"/>
  <c r="O14" i="2" s="1"/>
  <c r="N15" i="2"/>
  <c r="O15" i="2" s="1"/>
  <c r="N16" i="2"/>
  <c r="O16" i="2" s="1"/>
  <c r="N17" i="2"/>
  <c r="O17" i="2" s="1"/>
  <c r="N18" i="2"/>
  <c r="O18" i="2" s="1"/>
  <c r="N19" i="2"/>
  <c r="O19" i="2" s="1"/>
  <c r="N20" i="2"/>
  <c r="O20" i="2" s="1"/>
  <c r="N21" i="2"/>
  <c r="O21" i="2" s="1"/>
  <c r="N22" i="2"/>
  <c r="O22" i="2" s="1"/>
  <c r="N23" i="2"/>
  <c r="O23" i="2" s="1"/>
  <c r="N24" i="2"/>
  <c r="O24" i="2" s="1"/>
  <c r="N25" i="2"/>
  <c r="O25" i="2" s="1"/>
  <c r="N26" i="2"/>
  <c r="O26" i="2" s="1"/>
  <c r="N27" i="2"/>
  <c r="O27" i="2" s="1"/>
  <c r="N28" i="2"/>
  <c r="O28" i="2" s="1"/>
  <c r="N29" i="2"/>
  <c r="O29" i="2" s="1"/>
  <c r="N30" i="2"/>
  <c r="O30" i="2" s="1"/>
  <c r="N31" i="2"/>
  <c r="O31" i="2" s="1"/>
  <c r="N32" i="2"/>
  <c r="O32" i="2" s="1"/>
  <c r="N33" i="2"/>
  <c r="O33" i="2" s="1"/>
  <c r="N34" i="2"/>
  <c r="O34" i="2" s="1"/>
  <c r="N35" i="2"/>
  <c r="O35" i="2" s="1"/>
  <c r="N36" i="2"/>
  <c r="O36" i="2" s="1"/>
  <c r="N37" i="2"/>
  <c r="O37" i="2" s="1"/>
  <c r="N38" i="2"/>
  <c r="O38" i="2" s="1"/>
  <c r="N39" i="2"/>
  <c r="O39" i="2" s="1"/>
  <c r="N40" i="2"/>
  <c r="O40" i="2" s="1"/>
  <c r="N41" i="2"/>
  <c r="O41" i="2" s="1"/>
  <c r="N42" i="2"/>
  <c r="O42" i="2" s="1"/>
  <c r="N43" i="2"/>
  <c r="O43" i="2" s="1"/>
  <c r="N44" i="2"/>
  <c r="O44" i="2" s="1"/>
  <c r="N45" i="2"/>
  <c r="O45" i="2" s="1"/>
  <c r="N46" i="2"/>
  <c r="O46" i="2" s="1"/>
  <c r="N47" i="2"/>
  <c r="O47" i="2" s="1"/>
  <c r="N48" i="2"/>
  <c r="O48" i="2" s="1"/>
  <c r="N49" i="2"/>
  <c r="O49" i="2" s="1"/>
  <c r="N50" i="2"/>
  <c r="O50" i="2" s="1"/>
  <c r="N51" i="2"/>
  <c r="O51" i="2" s="1"/>
  <c r="N52" i="2"/>
  <c r="O52" i="2" s="1"/>
  <c r="N53" i="2"/>
  <c r="O53" i="2" s="1"/>
  <c r="N54" i="2"/>
  <c r="O54" i="2" s="1"/>
  <c r="N55" i="2"/>
  <c r="O55" i="2" s="1"/>
  <c r="N56" i="2"/>
  <c r="O56" i="2" s="1"/>
  <c r="N57" i="2"/>
  <c r="O57" i="2" s="1"/>
  <c r="N58" i="2"/>
  <c r="O58" i="2" s="1"/>
  <c r="N59" i="2"/>
  <c r="O59" i="2" s="1"/>
  <c r="N60" i="2"/>
  <c r="O60" i="2" s="1"/>
  <c r="N61" i="2"/>
  <c r="O61" i="2" s="1"/>
  <c r="N62" i="2"/>
  <c r="O62" i="2" s="1"/>
  <c r="N63" i="2"/>
  <c r="O63" i="2" s="1"/>
  <c r="N64" i="2"/>
  <c r="O64" i="2" s="1"/>
  <c r="N65" i="2"/>
  <c r="O65" i="2" s="1"/>
  <c r="N66" i="2"/>
  <c r="O66" i="2" s="1"/>
  <c r="N67" i="2"/>
  <c r="O67" i="2" s="1"/>
  <c r="N68" i="2"/>
  <c r="O68" i="2" s="1"/>
  <c r="N69" i="2"/>
  <c r="O69" i="2" s="1"/>
  <c r="N70" i="2"/>
  <c r="O70" i="2" s="1"/>
  <c r="N71" i="2"/>
  <c r="O71" i="2" s="1"/>
  <c r="N72" i="2"/>
  <c r="O72" i="2" s="1"/>
  <c r="N73" i="2"/>
  <c r="O73" i="2" s="1"/>
  <c r="N74" i="2"/>
  <c r="O74" i="2" s="1"/>
  <c r="N75" i="2"/>
  <c r="O75" i="2" s="1"/>
  <c r="N76" i="2"/>
  <c r="O76" i="2" s="1"/>
  <c r="N77" i="2"/>
  <c r="O77" i="2" s="1"/>
  <c r="N78" i="2"/>
  <c r="O78" i="2" s="1"/>
  <c r="N79" i="2"/>
  <c r="O79" i="2" s="1"/>
  <c r="N80" i="2"/>
  <c r="O80" i="2" s="1"/>
  <c r="N81" i="2"/>
  <c r="O81" i="2" s="1"/>
  <c r="N82" i="2"/>
  <c r="O82" i="2" s="1"/>
  <c r="N83" i="2"/>
  <c r="O83" i="2" s="1"/>
  <c r="N84" i="2"/>
  <c r="O84" i="2" s="1"/>
  <c r="N85" i="2"/>
  <c r="O85" i="2" s="1"/>
  <c r="N86" i="2"/>
  <c r="O86" i="2" s="1"/>
  <c r="N87" i="2"/>
  <c r="O87" i="2" s="1"/>
  <c r="N88" i="2"/>
  <c r="O88" i="2" s="1"/>
  <c r="N89" i="2"/>
  <c r="O89" i="2" s="1"/>
  <c r="N90" i="2"/>
  <c r="O90" i="2" s="1"/>
  <c r="N91" i="2"/>
  <c r="O91" i="2" s="1"/>
  <c r="N92" i="2"/>
  <c r="O92" i="2" s="1"/>
  <c r="N93" i="2"/>
  <c r="O93" i="2" s="1"/>
  <c r="N94" i="2"/>
  <c r="O94" i="2" s="1"/>
  <c r="N95" i="2"/>
  <c r="O95" i="2" s="1"/>
  <c r="N96" i="2"/>
  <c r="O96" i="2" s="1"/>
  <c r="N97" i="2"/>
  <c r="O97" i="2" s="1"/>
  <c r="N98" i="2"/>
  <c r="O98" i="2" s="1"/>
  <c r="N99" i="2"/>
  <c r="O99" i="2" s="1"/>
  <c r="N100" i="2"/>
  <c r="O100" i="2" s="1"/>
  <c r="N101" i="2"/>
  <c r="O101" i="2" s="1"/>
  <c r="N102" i="2"/>
  <c r="O102" i="2" s="1"/>
  <c r="N103" i="2"/>
  <c r="O103" i="2" s="1"/>
  <c r="N104" i="2"/>
  <c r="O104" i="2" s="1"/>
  <c r="N105" i="2"/>
  <c r="O105" i="2" s="1"/>
  <c r="N106" i="2"/>
  <c r="O106" i="2" s="1"/>
  <c r="N107" i="2"/>
  <c r="O107" i="2" s="1"/>
  <c r="N108" i="2"/>
  <c r="O108" i="2" s="1"/>
  <c r="N109" i="2"/>
  <c r="O109" i="2" s="1"/>
  <c r="N110" i="2"/>
  <c r="O110" i="2" s="1"/>
  <c r="N111" i="2"/>
  <c r="O111" i="2" s="1"/>
  <c r="N112" i="2"/>
  <c r="O112" i="2" s="1"/>
  <c r="N113" i="2"/>
  <c r="O113" i="2" s="1"/>
  <c r="N114" i="2"/>
  <c r="O114" i="2" s="1"/>
  <c r="N115" i="2"/>
  <c r="O115" i="2" s="1"/>
  <c r="N116" i="2"/>
  <c r="O116" i="2" s="1"/>
  <c r="N117" i="2"/>
  <c r="O117" i="2" s="1"/>
  <c r="N118" i="2"/>
  <c r="O118" i="2" s="1"/>
  <c r="N119" i="2"/>
  <c r="O119" i="2" s="1"/>
  <c r="N120" i="2"/>
  <c r="O120" i="2" s="1"/>
  <c r="N121" i="2"/>
  <c r="O121" i="2" s="1"/>
  <c r="N122" i="2"/>
  <c r="O122" i="2" s="1"/>
  <c r="N123" i="2"/>
  <c r="O123" i="2" s="1"/>
  <c r="N124" i="2"/>
  <c r="O124" i="2" s="1"/>
  <c r="N125" i="2"/>
  <c r="O125" i="2" s="1"/>
  <c r="N126" i="2"/>
  <c r="O126" i="2" s="1"/>
  <c r="N127" i="2"/>
  <c r="O127" i="2" s="1"/>
  <c r="N128" i="2"/>
  <c r="O128" i="2" s="1"/>
  <c r="N129" i="2"/>
  <c r="O129" i="2" s="1"/>
  <c r="N130" i="2"/>
  <c r="O130" i="2" s="1"/>
  <c r="N131" i="2"/>
  <c r="O131" i="2" s="1"/>
  <c r="N132" i="2"/>
  <c r="O132" i="2" s="1"/>
  <c r="N133" i="2"/>
  <c r="O133" i="2" s="1"/>
  <c r="N134" i="2"/>
  <c r="O134" i="2" s="1"/>
  <c r="N135" i="2"/>
  <c r="O135" i="2" s="1"/>
  <c r="N136" i="2"/>
  <c r="O136" i="2" s="1"/>
  <c r="N137" i="2"/>
  <c r="O137" i="2" s="1"/>
  <c r="N138" i="2"/>
  <c r="O138" i="2" s="1"/>
  <c r="N139" i="2"/>
  <c r="O139" i="2" s="1"/>
  <c r="N140" i="2"/>
  <c r="O140" i="2" s="1"/>
  <c r="N141" i="2"/>
  <c r="O141" i="2" s="1"/>
  <c r="N142" i="2"/>
  <c r="O142" i="2" s="1"/>
  <c r="N143" i="2"/>
  <c r="O143" i="2" s="1"/>
  <c r="N144" i="2"/>
  <c r="O144" i="2" s="1"/>
  <c r="N145" i="2"/>
  <c r="O145" i="2" s="1"/>
  <c r="N146" i="2"/>
  <c r="O146" i="2" s="1"/>
  <c r="N147" i="2"/>
  <c r="O147" i="2" s="1"/>
  <c r="N148" i="2"/>
  <c r="O148" i="2" s="1"/>
  <c r="N149" i="2"/>
  <c r="O149" i="2" s="1"/>
  <c r="N150" i="2"/>
  <c r="O150" i="2" s="1"/>
  <c r="N151" i="2"/>
  <c r="O151" i="2" s="1"/>
  <c r="N152" i="2"/>
  <c r="O152" i="2" s="1"/>
  <c r="N153" i="2"/>
  <c r="O153" i="2" s="1"/>
  <c r="N154" i="2"/>
  <c r="O154" i="2" s="1"/>
  <c r="N155" i="2"/>
  <c r="O155" i="2" s="1"/>
  <c r="N156" i="2"/>
  <c r="O156" i="2" s="1"/>
  <c r="N157" i="2"/>
  <c r="O157" i="2" s="1"/>
  <c r="N158" i="2"/>
  <c r="O158" i="2" s="1"/>
  <c r="N159" i="2"/>
  <c r="O159" i="2" s="1"/>
  <c r="N160" i="2"/>
  <c r="O160" i="2" s="1"/>
  <c r="N161" i="2"/>
  <c r="O161" i="2" s="1"/>
  <c r="N162" i="2"/>
  <c r="O162" i="2" s="1"/>
  <c r="N163" i="2"/>
  <c r="O163" i="2" s="1"/>
  <c r="N164" i="2"/>
  <c r="O164" i="2" s="1"/>
  <c r="N165" i="2"/>
  <c r="O165" i="2" s="1"/>
  <c r="N166" i="2"/>
  <c r="O166" i="2" s="1"/>
  <c r="N167" i="2"/>
  <c r="O167" i="2" s="1"/>
  <c r="N168" i="2"/>
  <c r="O168" i="2" s="1"/>
  <c r="N169" i="2"/>
  <c r="O169" i="2" s="1"/>
  <c r="N170" i="2"/>
  <c r="O170" i="2" s="1"/>
  <c r="N171" i="2"/>
  <c r="O171" i="2" s="1"/>
  <c r="N172" i="2"/>
  <c r="O172" i="2" s="1"/>
  <c r="N173" i="2"/>
  <c r="O173" i="2" s="1"/>
  <c r="N174" i="2"/>
  <c r="O174" i="2" s="1"/>
  <c r="N175" i="2"/>
  <c r="O175" i="2" s="1"/>
  <c r="N176" i="2"/>
  <c r="O176" i="2" s="1"/>
  <c r="N177" i="2"/>
  <c r="O177" i="2" s="1"/>
  <c r="N178" i="2"/>
  <c r="O178" i="2" s="1"/>
  <c r="N179" i="2"/>
  <c r="O179" i="2" s="1"/>
  <c r="N180" i="2"/>
  <c r="O180" i="2" s="1"/>
  <c r="N181" i="2"/>
  <c r="O181" i="2" s="1"/>
  <c r="N182" i="2"/>
  <c r="O182" i="2" s="1"/>
  <c r="N183" i="2"/>
  <c r="O183" i="2" s="1"/>
  <c r="N184" i="2"/>
  <c r="O184" i="2" s="1"/>
  <c r="N185" i="2"/>
  <c r="O185" i="2" s="1"/>
  <c r="N186" i="2"/>
  <c r="O186" i="2" s="1"/>
  <c r="N187" i="2"/>
  <c r="O187" i="2" s="1"/>
  <c r="N188" i="2"/>
  <c r="O188" i="2" s="1"/>
  <c r="N189" i="2"/>
  <c r="O189" i="2" s="1"/>
  <c r="N190" i="2"/>
  <c r="O190" i="2" s="1"/>
  <c r="N191" i="2"/>
  <c r="O191" i="2" s="1"/>
  <c r="N192" i="2"/>
  <c r="O192" i="2" s="1"/>
  <c r="N193" i="2"/>
  <c r="O193" i="2" s="1"/>
  <c r="N194" i="2"/>
  <c r="O194" i="2" s="1"/>
  <c r="N195" i="2"/>
  <c r="O195" i="2" s="1"/>
  <c r="N196" i="2"/>
  <c r="O196" i="2" s="1"/>
  <c r="N197" i="2"/>
  <c r="O197" i="2" s="1"/>
  <c r="N198" i="2"/>
  <c r="O198" i="2" s="1"/>
  <c r="N199" i="2"/>
  <c r="O199" i="2" s="1"/>
  <c r="N200" i="2"/>
  <c r="O200" i="2" s="1"/>
  <c r="N201" i="2"/>
  <c r="O201" i="2" s="1"/>
  <c r="N202" i="2"/>
  <c r="O202" i="2" s="1"/>
  <c r="N203" i="2"/>
  <c r="O203" i="2" s="1"/>
  <c r="N204" i="2"/>
  <c r="O204" i="2" s="1"/>
  <c r="N205" i="2"/>
  <c r="O205" i="2" s="1"/>
  <c r="N206" i="2"/>
  <c r="O206" i="2" s="1"/>
  <c r="N207" i="2"/>
  <c r="O207" i="2" s="1"/>
  <c r="N208" i="2"/>
  <c r="O208" i="2" s="1"/>
  <c r="N209" i="2"/>
  <c r="O209" i="2" s="1"/>
  <c r="N210" i="2"/>
  <c r="O210" i="2" s="1"/>
  <c r="N211" i="2"/>
  <c r="O211" i="2" s="1"/>
  <c r="N212" i="2"/>
  <c r="O212" i="2" s="1"/>
  <c r="N213" i="2"/>
  <c r="O213" i="2" s="1"/>
  <c r="N214" i="2"/>
  <c r="O214" i="2" s="1"/>
  <c r="N215" i="2"/>
  <c r="O215" i="2" s="1"/>
  <c r="N216" i="2"/>
  <c r="O216" i="2" s="1"/>
  <c r="N217" i="2"/>
  <c r="O217" i="2" s="1"/>
  <c r="N218" i="2"/>
  <c r="O218" i="2" s="1"/>
  <c r="N219" i="2"/>
  <c r="O219" i="2" s="1"/>
  <c r="N220" i="2"/>
  <c r="O220" i="2" s="1"/>
  <c r="N221" i="2"/>
  <c r="O221" i="2" s="1"/>
  <c r="N222" i="2"/>
  <c r="O222" i="2" s="1"/>
  <c r="N223" i="2"/>
  <c r="O223" i="2" s="1"/>
  <c r="N224" i="2"/>
  <c r="O224" i="2" s="1"/>
  <c r="N225" i="2"/>
  <c r="O225" i="2" s="1"/>
  <c r="N226" i="2"/>
  <c r="O226" i="2" s="1"/>
  <c r="N227" i="2"/>
  <c r="O227" i="2" s="1"/>
  <c r="N942" i="2"/>
  <c r="O942" i="2" s="1"/>
  <c r="N943" i="2"/>
  <c r="O943" i="2" s="1"/>
  <c r="N944" i="2"/>
  <c r="O944" i="2" s="1"/>
  <c r="N945" i="2"/>
  <c r="O945" i="2" s="1"/>
  <c r="N946" i="2"/>
  <c r="O946" i="2" s="1"/>
  <c r="N947" i="2"/>
  <c r="O947" i="2" s="1"/>
  <c r="N948" i="2"/>
  <c r="O948" i="2" s="1"/>
  <c r="N949" i="2"/>
  <c r="O949" i="2" s="1"/>
  <c r="N950" i="2"/>
  <c r="O950" i="2" s="1"/>
  <c r="N951" i="2"/>
  <c r="O951" i="2" s="1"/>
  <c r="N952" i="2"/>
  <c r="O952" i="2" s="1"/>
  <c r="N953" i="2"/>
  <c r="O953" i="2" s="1"/>
  <c r="N954" i="2"/>
  <c r="O954" i="2" s="1"/>
  <c r="N955" i="2"/>
  <c r="O955" i="2" s="1"/>
  <c r="N956" i="2"/>
  <c r="O956" i="2" s="1"/>
  <c r="N957" i="2"/>
  <c r="O957" i="2" s="1"/>
  <c r="N958" i="2"/>
  <c r="O958" i="2" s="1"/>
  <c r="N959" i="2"/>
  <c r="O959" i="2" s="1"/>
  <c r="N960" i="2"/>
  <c r="O960" i="2" s="1"/>
  <c r="N961" i="2"/>
  <c r="O961" i="2" s="1"/>
  <c r="N962" i="2"/>
  <c r="O962" i="2" s="1"/>
  <c r="N963" i="2"/>
  <c r="O963" i="2" s="1"/>
  <c r="N964" i="2"/>
  <c r="O964" i="2" s="1"/>
  <c r="N965" i="2"/>
  <c r="O965" i="2" s="1"/>
  <c r="N966" i="2"/>
  <c r="O966" i="2" s="1"/>
  <c r="N967" i="2"/>
  <c r="O967" i="2" s="1"/>
  <c r="N968" i="2"/>
  <c r="O968" i="2" s="1"/>
  <c r="N969" i="2"/>
  <c r="O969" i="2" s="1"/>
  <c r="N970" i="2"/>
  <c r="O970" i="2" s="1"/>
  <c r="N971" i="2"/>
  <c r="O971" i="2" s="1"/>
  <c r="N972" i="2"/>
  <c r="O972" i="2" s="1"/>
  <c r="N973" i="2"/>
  <c r="O973" i="2" s="1"/>
  <c r="N974" i="2"/>
  <c r="O974" i="2" s="1"/>
  <c r="N975" i="2"/>
  <c r="O975" i="2" s="1"/>
  <c r="N976" i="2"/>
  <c r="O976" i="2" s="1"/>
  <c r="N977" i="2"/>
  <c r="O977" i="2" s="1"/>
  <c r="N978" i="2"/>
  <c r="O978" i="2" s="1"/>
  <c r="N979" i="2"/>
  <c r="O979" i="2" s="1"/>
  <c r="N980" i="2"/>
  <c r="O980" i="2" s="1"/>
  <c r="N981" i="2"/>
  <c r="O981" i="2" s="1"/>
  <c r="N982" i="2"/>
  <c r="O982" i="2" s="1"/>
  <c r="N983" i="2"/>
  <c r="O983" i="2" s="1"/>
  <c r="N984" i="2"/>
  <c r="O984" i="2" s="1"/>
  <c r="N985" i="2"/>
  <c r="O985" i="2" s="1"/>
  <c r="N986" i="2"/>
  <c r="O986" i="2" s="1"/>
  <c r="N388" i="2"/>
  <c r="O388" i="2" s="1"/>
  <c r="N391" i="2"/>
  <c r="O391" i="2" s="1"/>
  <c r="N393" i="2"/>
  <c r="O393" i="2" s="1"/>
  <c r="N395" i="2"/>
  <c r="O395" i="2" s="1"/>
  <c r="N397" i="2"/>
  <c r="O397" i="2" s="1"/>
  <c r="N399" i="2"/>
  <c r="O399" i="2" s="1"/>
  <c r="N401" i="2"/>
  <c r="O401" i="2" s="1"/>
  <c r="N403" i="2"/>
  <c r="O403" i="2" s="1"/>
  <c r="N405" i="2"/>
  <c r="O405" i="2" s="1"/>
  <c r="N407" i="2"/>
  <c r="O407" i="2" s="1"/>
  <c r="N409" i="2"/>
  <c r="O409" i="2" s="1"/>
  <c r="N411" i="2"/>
  <c r="O411" i="2" s="1"/>
  <c r="N413" i="2"/>
  <c r="O413" i="2" s="1"/>
  <c r="N415" i="2"/>
  <c r="O415" i="2" s="1"/>
  <c r="N417" i="2"/>
  <c r="O417" i="2" s="1"/>
  <c r="N419" i="2"/>
  <c r="O419" i="2" s="1"/>
  <c r="N421" i="2"/>
  <c r="O421" i="2" s="1"/>
  <c r="N423" i="2"/>
  <c r="O423" i="2" s="1"/>
  <c r="N425" i="2"/>
  <c r="O425" i="2" s="1"/>
  <c r="N389" i="2"/>
  <c r="O389" i="2" s="1"/>
  <c r="N390" i="2"/>
  <c r="O390" i="2" s="1"/>
  <c r="N392" i="2"/>
  <c r="O392" i="2" s="1"/>
  <c r="N394" i="2"/>
  <c r="O394" i="2" s="1"/>
  <c r="N396" i="2"/>
  <c r="O396" i="2" s="1"/>
  <c r="N398" i="2"/>
  <c r="O398" i="2" s="1"/>
  <c r="N400" i="2"/>
  <c r="O400" i="2" s="1"/>
  <c r="N402" i="2"/>
  <c r="O402" i="2" s="1"/>
  <c r="N404" i="2"/>
  <c r="O404" i="2" s="1"/>
  <c r="N406" i="2"/>
  <c r="O406" i="2" s="1"/>
  <c r="N408" i="2"/>
  <c r="O408" i="2" s="1"/>
  <c r="N410" i="2"/>
  <c r="O410" i="2" s="1"/>
  <c r="N412" i="2"/>
  <c r="O412" i="2" s="1"/>
  <c r="N414" i="2"/>
  <c r="O414" i="2" s="1"/>
  <c r="N416" i="2"/>
  <c r="O416" i="2" s="1"/>
  <c r="N418" i="2"/>
  <c r="O418" i="2" s="1"/>
  <c r="N420" i="2"/>
  <c r="O420" i="2" s="1"/>
  <c r="N422" i="2"/>
  <c r="O422" i="2" s="1"/>
  <c r="N424" i="2"/>
  <c r="O424" i="2" s="1"/>
  <c r="N426" i="2"/>
  <c r="O426" i="2" s="1"/>
  <c r="N528" i="2"/>
  <c r="O528" i="2" s="1"/>
  <c r="N529" i="2"/>
  <c r="O529" i="2" s="1"/>
  <c r="N530" i="2"/>
  <c r="O530" i="2" s="1"/>
  <c r="N531" i="2"/>
  <c r="O531" i="2" s="1"/>
  <c r="N532" i="2"/>
  <c r="O532" i="2" s="1"/>
  <c r="N533" i="2"/>
  <c r="O533" i="2" s="1"/>
  <c r="N534" i="2"/>
  <c r="O534" i="2" s="1"/>
  <c r="N535" i="2"/>
  <c r="O535" i="2" s="1"/>
  <c r="N536" i="2"/>
  <c r="O536" i="2" s="1"/>
  <c r="N537" i="2"/>
  <c r="O537" i="2" s="1"/>
  <c r="N538" i="2"/>
  <c r="O538" i="2" s="1"/>
  <c r="N539" i="2"/>
  <c r="O539" i="2" s="1"/>
  <c r="N540" i="2"/>
  <c r="O540" i="2" s="1"/>
  <c r="N541" i="2"/>
  <c r="O541" i="2" s="1"/>
  <c r="N542" i="2"/>
  <c r="O542" i="2" s="1"/>
  <c r="N543" i="2"/>
  <c r="O543" i="2" s="1"/>
  <c r="N544" i="2"/>
  <c r="O544" i="2" s="1"/>
  <c r="N545" i="2"/>
  <c r="O545" i="2" s="1"/>
  <c r="N546" i="2"/>
  <c r="O546" i="2" s="1"/>
  <c r="N547" i="2"/>
  <c r="O547" i="2" s="1"/>
  <c r="N548" i="2"/>
  <c r="O548" i="2" s="1"/>
  <c r="N549" i="2"/>
  <c r="O549" i="2" s="1"/>
  <c r="N550" i="2"/>
  <c r="O550" i="2" s="1"/>
  <c r="N551" i="2"/>
  <c r="O551" i="2" s="1"/>
  <c r="N552" i="2"/>
  <c r="O552" i="2" s="1"/>
  <c r="N553" i="2"/>
  <c r="O553" i="2" s="1"/>
  <c r="N554" i="2"/>
  <c r="O554" i="2" s="1"/>
  <c r="N555" i="2"/>
  <c r="O555" i="2" s="1"/>
  <c r="N556" i="2"/>
  <c r="O556" i="2" s="1"/>
  <c r="N557" i="2"/>
  <c r="O557" i="2" s="1"/>
  <c r="N558" i="2"/>
  <c r="O558" i="2" s="1"/>
  <c r="N559" i="2"/>
  <c r="O559" i="2" s="1"/>
  <c r="N560" i="2"/>
  <c r="O560" i="2" s="1"/>
  <c r="N561" i="2"/>
  <c r="O561" i="2" s="1"/>
  <c r="N562" i="2"/>
  <c r="O562" i="2" s="1"/>
  <c r="N563" i="2"/>
  <c r="O563" i="2" s="1"/>
  <c r="N564" i="2"/>
  <c r="O564" i="2" s="1"/>
  <c r="N565" i="2"/>
  <c r="O565" i="2" s="1"/>
  <c r="N566" i="2"/>
  <c r="O566" i="2" s="1"/>
  <c r="N567" i="2"/>
  <c r="O567" i="2" s="1"/>
  <c r="N568" i="2"/>
  <c r="O568" i="2" s="1"/>
  <c r="N569" i="2"/>
  <c r="O569" i="2" s="1"/>
  <c r="N570" i="2"/>
  <c r="O570" i="2" s="1"/>
  <c r="N571" i="2"/>
  <c r="O571" i="2" s="1"/>
  <c r="N572" i="2"/>
  <c r="O572" i="2" s="1"/>
  <c r="N573" i="2"/>
  <c r="O573" i="2" s="1"/>
  <c r="N324" i="2"/>
  <c r="O324" i="2" s="1"/>
  <c r="N325" i="2"/>
  <c r="O325" i="2" s="1"/>
  <c r="N326" i="2"/>
  <c r="O326" i="2" s="1"/>
  <c r="N327" i="2"/>
  <c r="O327" i="2" s="1"/>
  <c r="N328" i="2"/>
  <c r="O328" i="2" s="1"/>
  <c r="N329" i="2"/>
  <c r="O329" i="2" s="1"/>
  <c r="N330" i="2"/>
  <c r="O330" i="2" s="1"/>
  <c r="N331" i="2"/>
  <c r="O331" i="2" s="1"/>
  <c r="N332" i="2"/>
  <c r="O332" i="2" s="1"/>
  <c r="N333" i="2"/>
  <c r="O333" i="2" s="1"/>
  <c r="N334" i="2"/>
  <c r="O334" i="2" s="1"/>
  <c r="N335" i="2"/>
  <c r="O335" i="2" s="1"/>
  <c r="N336" i="2"/>
  <c r="O336" i="2" s="1"/>
  <c r="N337" i="2"/>
  <c r="O337" i="2" s="1"/>
  <c r="N338" i="2"/>
  <c r="O338" i="2" s="1"/>
  <c r="N339" i="2"/>
  <c r="O339" i="2" s="1"/>
  <c r="N340" i="2"/>
  <c r="O340" i="2" s="1"/>
  <c r="N341" i="2"/>
  <c r="O341" i="2" s="1"/>
  <c r="N342" i="2"/>
  <c r="O342" i="2" s="1"/>
  <c r="N343" i="2"/>
  <c r="O343" i="2" s="1"/>
  <c r="N344" i="2"/>
  <c r="O344" i="2" s="1"/>
  <c r="N345" i="2"/>
  <c r="O345" i="2" s="1"/>
  <c r="N346" i="2"/>
  <c r="O346" i="2" s="1"/>
  <c r="N347" i="2"/>
  <c r="O347" i="2" s="1"/>
  <c r="N348" i="2"/>
  <c r="O348" i="2" s="1"/>
  <c r="N349" i="2"/>
  <c r="O349" i="2" s="1"/>
  <c r="N350" i="2"/>
  <c r="O350" i="2" s="1"/>
  <c r="N351" i="2"/>
  <c r="O351" i="2" s="1"/>
  <c r="N352" i="2"/>
  <c r="O352" i="2" s="1"/>
  <c r="N353" i="2"/>
  <c r="O353" i="2" s="1"/>
  <c r="N354" i="2"/>
  <c r="O354" i="2" s="1"/>
  <c r="N355" i="2"/>
  <c r="O355" i="2" s="1"/>
  <c r="N356" i="2"/>
  <c r="O356" i="2" s="1"/>
  <c r="N357" i="2"/>
  <c r="O357" i="2" s="1"/>
  <c r="N358" i="2"/>
  <c r="O358" i="2" s="1"/>
  <c r="N359" i="2"/>
  <c r="O359" i="2" s="1"/>
  <c r="N360" i="2"/>
  <c r="O360" i="2" s="1"/>
  <c r="N361" i="2"/>
  <c r="O361" i="2" s="1"/>
  <c r="N362" i="2"/>
  <c r="O362" i="2" s="1"/>
  <c r="N363" i="2"/>
  <c r="O363" i="2" s="1"/>
  <c r="N364" i="2"/>
  <c r="O364" i="2" s="1"/>
  <c r="N365" i="2"/>
  <c r="O365" i="2" s="1"/>
  <c r="N366" i="2"/>
  <c r="O366" i="2" s="1"/>
  <c r="N367" i="2"/>
  <c r="O367" i="2" s="1"/>
  <c r="N368" i="2"/>
  <c r="O368" i="2" s="1"/>
  <c r="N369" i="2"/>
  <c r="O369" i="2" s="1"/>
  <c r="N370" i="2"/>
  <c r="O370" i="2" s="1"/>
  <c r="N371" i="2"/>
  <c r="O371" i="2" s="1"/>
  <c r="N372" i="2"/>
  <c r="O372" i="2" s="1"/>
  <c r="N373" i="2"/>
  <c r="O373" i="2" s="1"/>
  <c r="N374" i="2"/>
  <c r="O374" i="2" s="1"/>
  <c r="N375" i="2"/>
  <c r="O375" i="2" s="1"/>
  <c r="N376" i="2"/>
  <c r="O376" i="2" s="1"/>
  <c r="N377" i="2"/>
  <c r="O377" i="2" s="1"/>
  <c r="N378" i="2"/>
  <c r="O378" i="2" s="1"/>
  <c r="N379" i="2"/>
  <c r="O379" i="2" s="1"/>
  <c r="N380" i="2"/>
  <c r="O380" i="2" s="1"/>
  <c r="N381" i="2"/>
  <c r="O381" i="2" s="1"/>
  <c r="N382" i="2"/>
  <c r="O382" i="2" s="1"/>
  <c r="N383" i="2"/>
  <c r="O383" i="2" s="1"/>
  <c r="N384" i="2"/>
  <c r="O384" i="2" s="1"/>
  <c r="N385" i="2"/>
  <c r="O385" i="2" s="1"/>
  <c r="N386" i="2"/>
  <c r="O386" i="2" s="1"/>
  <c r="N387" i="2"/>
  <c r="O387" i="2" s="1"/>
  <c r="N574" i="2"/>
  <c r="O574" i="2" s="1"/>
  <c r="N575" i="2"/>
  <c r="O575" i="2" s="1"/>
  <c r="N576" i="2"/>
  <c r="O576" i="2" s="1"/>
  <c r="N577" i="2"/>
  <c r="O577" i="2" s="1"/>
  <c r="N578" i="2"/>
  <c r="O578" i="2" s="1"/>
  <c r="N579" i="2"/>
  <c r="O579" i="2" s="1"/>
  <c r="N580" i="2"/>
  <c r="O580" i="2" s="1"/>
  <c r="N581" i="2"/>
  <c r="O581" i="2" s="1"/>
  <c r="N582" i="2"/>
  <c r="O582" i="2" s="1"/>
  <c r="N583" i="2"/>
  <c r="O583" i="2" s="1"/>
  <c r="N584" i="2"/>
  <c r="O584" i="2" s="1"/>
  <c r="N585" i="2"/>
  <c r="O585" i="2" s="1"/>
  <c r="N586" i="2"/>
  <c r="O586" i="2" s="1"/>
  <c r="N587" i="2"/>
  <c r="O587" i="2" s="1"/>
  <c r="N588" i="2"/>
  <c r="O588" i="2" s="1"/>
  <c r="N589" i="2"/>
  <c r="O589" i="2" s="1"/>
  <c r="N590" i="2"/>
  <c r="O590" i="2" s="1"/>
  <c r="N591" i="2"/>
  <c r="O591" i="2" s="1"/>
  <c r="N592" i="2"/>
  <c r="O592" i="2" s="1"/>
  <c r="N593" i="2"/>
  <c r="O593" i="2" s="1"/>
  <c r="N594" i="2"/>
  <c r="O594" i="2" s="1"/>
  <c r="N595" i="2"/>
  <c r="O595" i="2" s="1"/>
  <c r="N596" i="2"/>
  <c r="O596" i="2" s="1"/>
  <c r="N597" i="2"/>
  <c r="O597" i="2" s="1"/>
  <c r="N598" i="2"/>
  <c r="O598" i="2" s="1"/>
  <c r="N599" i="2"/>
  <c r="O599" i="2" s="1"/>
  <c r="N600" i="2"/>
  <c r="O600" i="2" s="1"/>
  <c r="N601" i="2"/>
  <c r="O601" i="2" s="1"/>
  <c r="N602" i="2"/>
  <c r="O602" i="2" s="1"/>
  <c r="N603" i="2"/>
  <c r="O603" i="2" s="1"/>
  <c r="N604" i="2"/>
  <c r="O604" i="2" s="1"/>
  <c r="N605" i="2"/>
  <c r="O605" i="2" s="1"/>
  <c r="N606" i="2"/>
  <c r="O606" i="2" s="1"/>
  <c r="N607" i="2"/>
  <c r="O607" i="2" s="1"/>
  <c r="N608" i="2"/>
  <c r="O608" i="2" s="1"/>
  <c r="N609" i="2"/>
  <c r="O609" i="2" s="1"/>
  <c r="N610" i="2"/>
  <c r="O610" i="2" s="1"/>
  <c r="N611" i="2"/>
  <c r="O611" i="2" s="1"/>
  <c r="N612" i="2"/>
  <c r="O612" i="2" s="1"/>
  <c r="N613" i="2"/>
  <c r="O613" i="2" s="1"/>
  <c r="N614" i="2"/>
  <c r="O614" i="2" s="1"/>
  <c r="N615" i="2"/>
  <c r="O615" i="2" s="1"/>
  <c r="N616" i="2"/>
  <c r="O616" i="2" s="1"/>
  <c r="N617" i="2"/>
  <c r="O617" i="2" s="1"/>
  <c r="N618" i="2"/>
  <c r="O618" i="2" s="1"/>
  <c r="N619" i="2"/>
  <c r="O619" i="2" s="1"/>
  <c r="N620" i="2"/>
  <c r="O620" i="2" s="1"/>
  <c r="N621" i="2"/>
  <c r="O621" i="2" s="1"/>
  <c r="N622" i="2"/>
  <c r="O622" i="2" s="1"/>
  <c r="N623" i="2"/>
  <c r="O623" i="2" s="1"/>
  <c r="N624" i="2"/>
  <c r="O624" i="2" s="1"/>
  <c r="N625" i="2"/>
  <c r="O625" i="2" s="1"/>
  <c r="N626" i="2"/>
  <c r="O626" i="2" s="1"/>
  <c r="N627" i="2"/>
  <c r="O627" i="2" s="1"/>
  <c r="N628" i="2"/>
  <c r="O628" i="2" s="1"/>
  <c r="N629" i="2"/>
  <c r="O629" i="2" s="1"/>
  <c r="N630" i="2"/>
  <c r="O630" i="2" s="1"/>
  <c r="N631" i="2"/>
  <c r="O631" i="2" s="1"/>
  <c r="N632" i="2"/>
  <c r="O632" i="2" s="1"/>
  <c r="N633" i="2"/>
  <c r="O633" i="2" s="1"/>
  <c r="N634" i="2"/>
  <c r="O634" i="2" s="1"/>
  <c r="N635" i="2"/>
  <c r="O635" i="2" s="1"/>
  <c r="N636" i="2"/>
  <c r="O636" i="2" s="1"/>
  <c r="N637" i="2"/>
  <c r="O637" i="2" s="1"/>
  <c r="N638" i="2"/>
  <c r="O638" i="2" s="1"/>
  <c r="N639" i="2"/>
  <c r="O639" i="2" s="1"/>
  <c r="N640" i="2"/>
  <c r="O640" i="2" s="1"/>
  <c r="N641" i="2"/>
  <c r="O641" i="2" s="1"/>
  <c r="N642" i="2"/>
  <c r="O642" i="2" s="1"/>
  <c r="N643" i="2"/>
  <c r="O643" i="2" s="1"/>
  <c r="N644" i="2"/>
  <c r="O644" i="2" s="1"/>
  <c r="N645" i="2"/>
  <c r="O645" i="2" s="1"/>
  <c r="N646" i="2"/>
  <c r="O646" i="2" s="1"/>
  <c r="N647" i="2"/>
  <c r="O647" i="2" s="1"/>
  <c r="N648" i="2"/>
  <c r="O648" i="2" s="1"/>
  <c r="N649" i="2"/>
  <c r="O649" i="2" s="1"/>
  <c r="N650" i="2"/>
  <c r="O650" i="2" s="1"/>
  <c r="N651" i="2"/>
  <c r="O651" i="2" s="1"/>
  <c r="N652" i="2"/>
  <c r="O652" i="2" s="1"/>
  <c r="N653" i="2"/>
  <c r="O653" i="2" s="1"/>
  <c r="N654" i="2"/>
  <c r="O654" i="2" s="1"/>
  <c r="N655" i="2"/>
  <c r="O655" i="2" s="1"/>
  <c r="N656" i="2"/>
  <c r="O656" i="2" s="1"/>
  <c r="N657" i="2"/>
  <c r="O657" i="2" s="1"/>
  <c r="N658" i="2"/>
  <c r="O658" i="2" s="1"/>
  <c r="N659" i="2"/>
  <c r="O659" i="2" s="1"/>
  <c r="N660" i="2"/>
  <c r="O660" i="2" s="1"/>
  <c r="N661" i="2"/>
  <c r="O661" i="2" s="1"/>
  <c r="N662" i="2"/>
  <c r="O662" i="2" s="1"/>
  <c r="N663" i="2"/>
  <c r="O663" i="2" s="1"/>
  <c r="N664" i="2"/>
  <c r="O664" i="2" s="1"/>
  <c r="N665" i="2"/>
  <c r="O665" i="2" s="1"/>
  <c r="N666" i="2"/>
  <c r="O666" i="2" s="1"/>
  <c r="N667" i="2"/>
  <c r="O667" i="2" s="1"/>
  <c r="N668" i="2"/>
  <c r="O668" i="2" s="1"/>
  <c r="N669" i="2"/>
  <c r="O669" i="2" s="1"/>
  <c r="N670" i="2"/>
  <c r="O670" i="2" s="1"/>
  <c r="N671" i="2"/>
  <c r="O671" i="2" s="1"/>
  <c r="N672" i="2"/>
  <c r="O672" i="2" s="1"/>
  <c r="N673" i="2"/>
  <c r="O673" i="2" s="1"/>
  <c r="N674" i="2"/>
  <c r="O674" i="2" s="1"/>
  <c r="N675" i="2"/>
  <c r="O675" i="2" s="1"/>
  <c r="N676" i="2"/>
  <c r="O676" i="2" s="1"/>
  <c r="N677" i="2"/>
  <c r="O677" i="2" s="1"/>
  <c r="N678" i="2"/>
  <c r="O678" i="2" s="1"/>
  <c r="N679" i="2"/>
  <c r="O679" i="2" s="1"/>
  <c r="N680" i="2"/>
  <c r="O680" i="2" s="1"/>
  <c r="N681" i="2"/>
  <c r="O681" i="2" s="1"/>
  <c r="N682" i="2"/>
  <c r="O682" i="2" s="1"/>
  <c r="N683" i="2"/>
  <c r="O683" i="2" s="1"/>
  <c r="N684" i="2"/>
  <c r="O684" i="2" s="1"/>
  <c r="N992" i="2"/>
  <c r="O992" i="2" s="1"/>
  <c r="N997" i="2"/>
  <c r="O997" i="2" s="1"/>
  <c r="N1004" i="2"/>
  <c r="O1004" i="2" s="1"/>
  <c r="N1010" i="2"/>
  <c r="O1010" i="2" s="1"/>
  <c r="N1016" i="2"/>
  <c r="O1016" i="2" s="1"/>
  <c r="N1021" i="2"/>
  <c r="O1021" i="2" s="1"/>
  <c r="N1027" i="2"/>
  <c r="O1027" i="2" s="1"/>
  <c r="N1034" i="2"/>
  <c r="O1034" i="2" s="1"/>
  <c r="N1039" i="2"/>
  <c r="O1039" i="2" s="1"/>
  <c r="N1045" i="2"/>
  <c r="O1045" i="2" s="1"/>
  <c r="N1052" i="2"/>
  <c r="O1052" i="2" s="1"/>
  <c r="N1058" i="2"/>
  <c r="O1058" i="2" s="1"/>
  <c r="N1064" i="2"/>
  <c r="O1064" i="2" s="1"/>
  <c r="N1069" i="2"/>
  <c r="O1069" i="2" s="1"/>
  <c r="N1075" i="2"/>
  <c r="O1075" i="2" s="1"/>
  <c r="N1081" i="2"/>
  <c r="O1081" i="2" s="1"/>
  <c r="N1087" i="2"/>
  <c r="O1087" i="2" s="1"/>
  <c r="N1093" i="2"/>
  <c r="O1093" i="2" s="1"/>
  <c r="N1099" i="2"/>
  <c r="O1099" i="2" s="1"/>
  <c r="N1106" i="2"/>
  <c r="O1106" i="2" s="1"/>
  <c r="N1112" i="2"/>
  <c r="O1112" i="2" s="1"/>
  <c r="N1117" i="2"/>
  <c r="O1117" i="2" s="1"/>
  <c r="N1123" i="2"/>
  <c r="O1123" i="2" s="1"/>
  <c r="N1130" i="2"/>
  <c r="O1130" i="2" s="1"/>
  <c r="N1137" i="2"/>
  <c r="O1137" i="2" s="1"/>
  <c r="N1142" i="2"/>
  <c r="O1142" i="2" s="1"/>
  <c r="N1148" i="2"/>
  <c r="O1148" i="2" s="1"/>
  <c r="N1154" i="2"/>
  <c r="O1154" i="2" s="1"/>
  <c r="N989" i="2"/>
  <c r="O989" i="2" s="1"/>
  <c r="N996" i="2"/>
  <c r="O996" i="2" s="1"/>
  <c r="N1002" i="2"/>
  <c r="O1002" i="2" s="1"/>
  <c r="N1008" i="2"/>
  <c r="O1008" i="2" s="1"/>
  <c r="N1014" i="2"/>
  <c r="O1014" i="2" s="1"/>
  <c r="N1020" i="2"/>
  <c r="O1020" i="2" s="1"/>
  <c r="N1026" i="2"/>
  <c r="O1026" i="2" s="1"/>
  <c r="N1032" i="2"/>
  <c r="O1032" i="2" s="1"/>
  <c r="N1038" i="2"/>
  <c r="O1038" i="2" s="1"/>
  <c r="N1044" i="2"/>
  <c r="O1044" i="2" s="1"/>
  <c r="N1050" i="2"/>
  <c r="O1050" i="2" s="1"/>
  <c r="N1056" i="2"/>
  <c r="O1056" i="2" s="1"/>
  <c r="N1062" i="2"/>
  <c r="O1062" i="2" s="1"/>
  <c r="N1068" i="2"/>
  <c r="O1068" i="2" s="1"/>
  <c r="N1074" i="2"/>
  <c r="O1074" i="2" s="1"/>
  <c r="N1080" i="2"/>
  <c r="O1080" i="2" s="1"/>
  <c r="N1086" i="2"/>
  <c r="O1086" i="2" s="1"/>
  <c r="N1091" i="2"/>
  <c r="O1091" i="2" s="1"/>
  <c r="N1097" i="2"/>
  <c r="O1097" i="2" s="1"/>
  <c r="N1103" i="2"/>
  <c r="O1103" i="2" s="1"/>
  <c r="N1109" i="2"/>
  <c r="O1109" i="2" s="1"/>
  <c r="N1115" i="2"/>
  <c r="O1115" i="2" s="1"/>
  <c r="N1121" i="2"/>
  <c r="O1121" i="2" s="1"/>
  <c r="N1127" i="2"/>
  <c r="O1127" i="2" s="1"/>
  <c r="N1133" i="2"/>
  <c r="O1133" i="2" s="1"/>
  <c r="N1139" i="2"/>
  <c r="O1139" i="2" s="1"/>
  <c r="N1145" i="2"/>
  <c r="O1145" i="2" s="1"/>
  <c r="N1151" i="2"/>
  <c r="O1151" i="2" s="1"/>
  <c r="N1157" i="2"/>
  <c r="O1157" i="2" s="1"/>
  <c r="N990" i="2"/>
  <c r="O990" i="2" s="1"/>
  <c r="N995" i="2"/>
  <c r="O995" i="2" s="1"/>
  <c r="N1000" i="2"/>
  <c r="O1000" i="2" s="1"/>
  <c r="N1006" i="2"/>
  <c r="O1006" i="2" s="1"/>
  <c r="N1012" i="2"/>
  <c r="O1012" i="2" s="1"/>
  <c r="N1018" i="2"/>
  <c r="O1018" i="2" s="1"/>
  <c r="N1024" i="2"/>
  <c r="O1024" i="2" s="1"/>
  <c r="N1030" i="2"/>
  <c r="O1030" i="2" s="1"/>
  <c r="N1036" i="2"/>
  <c r="O1036" i="2" s="1"/>
  <c r="N1042" i="2"/>
  <c r="O1042" i="2" s="1"/>
  <c r="N1047" i="2"/>
  <c r="O1047" i="2" s="1"/>
  <c r="N1053" i="2"/>
  <c r="O1053" i="2" s="1"/>
  <c r="N1060" i="2"/>
  <c r="O1060" i="2" s="1"/>
  <c r="N1066" i="2"/>
  <c r="O1066" i="2" s="1"/>
  <c r="N1072" i="2"/>
  <c r="O1072" i="2" s="1"/>
  <c r="N1077" i="2"/>
  <c r="O1077" i="2" s="1"/>
  <c r="N1083" i="2"/>
  <c r="O1083" i="2" s="1"/>
  <c r="N1089" i="2"/>
  <c r="O1089" i="2" s="1"/>
  <c r="N1095" i="2"/>
  <c r="O1095" i="2" s="1"/>
  <c r="N1101" i="2"/>
  <c r="O1101" i="2" s="1"/>
  <c r="N1107" i="2"/>
  <c r="O1107" i="2" s="1"/>
  <c r="N1113" i="2"/>
  <c r="O1113" i="2" s="1"/>
  <c r="N1119" i="2"/>
  <c r="O1119" i="2" s="1"/>
  <c r="N1124" i="2"/>
  <c r="O1124" i="2" s="1"/>
  <c r="N1129" i="2"/>
  <c r="O1129" i="2" s="1"/>
  <c r="N1135" i="2"/>
  <c r="O1135" i="2" s="1"/>
  <c r="N1141" i="2"/>
  <c r="O1141" i="2" s="1"/>
  <c r="N1147" i="2"/>
  <c r="O1147" i="2" s="1"/>
  <c r="N1153" i="2"/>
  <c r="O1153" i="2" s="1"/>
  <c r="N991" i="2"/>
  <c r="O991" i="2" s="1"/>
  <c r="N998" i="2"/>
  <c r="O998" i="2" s="1"/>
  <c r="N1003" i="2"/>
  <c r="O1003" i="2" s="1"/>
  <c r="N1009" i="2"/>
  <c r="O1009" i="2" s="1"/>
  <c r="N1015" i="2"/>
  <c r="O1015" i="2" s="1"/>
  <c r="N1022" i="2"/>
  <c r="O1022" i="2" s="1"/>
  <c r="N1028" i="2"/>
  <c r="O1028" i="2" s="1"/>
  <c r="N1033" i="2"/>
  <c r="O1033" i="2" s="1"/>
  <c r="N1040" i="2"/>
  <c r="O1040" i="2" s="1"/>
  <c r="N1046" i="2"/>
  <c r="O1046" i="2" s="1"/>
  <c r="N1051" i="2"/>
  <c r="O1051" i="2" s="1"/>
  <c r="N1057" i="2"/>
  <c r="O1057" i="2" s="1"/>
  <c r="N1063" i="2"/>
  <c r="O1063" i="2" s="1"/>
  <c r="N1070" i="2"/>
  <c r="O1070" i="2" s="1"/>
  <c r="N1076" i="2"/>
  <c r="O1076" i="2" s="1"/>
  <c r="N1082" i="2"/>
  <c r="O1082" i="2" s="1"/>
  <c r="N1088" i="2"/>
  <c r="O1088" i="2" s="1"/>
  <c r="N1094" i="2"/>
  <c r="O1094" i="2" s="1"/>
  <c r="N1100" i="2"/>
  <c r="O1100" i="2" s="1"/>
  <c r="N1105" i="2"/>
  <c r="O1105" i="2" s="1"/>
  <c r="N1111" i="2"/>
  <c r="O1111" i="2" s="1"/>
  <c r="N1118" i="2"/>
  <c r="O1118" i="2" s="1"/>
  <c r="N1125" i="2"/>
  <c r="O1125" i="2" s="1"/>
  <c r="N1131" i="2"/>
  <c r="O1131" i="2" s="1"/>
  <c r="N1136" i="2"/>
  <c r="O1136" i="2" s="1"/>
  <c r="N1143" i="2"/>
  <c r="O1143" i="2" s="1"/>
  <c r="N1149" i="2"/>
  <c r="O1149" i="2" s="1"/>
  <c r="N1155" i="2"/>
  <c r="O1155" i="2" s="1"/>
  <c r="N988" i="2"/>
  <c r="O988" i="2" s="1"/>
  <c r="N993" i="2"/>
  <c r="O993" i="2" s="1"/>
  <c r="N999" i="2"/>
  <c r="O999" i="2" s="1"/>
  <c r="N1005" i="2"/>
  <c r="O1005" i="2" s="1"/>
  <c r="N1011" i="2"/>
  <c r="O1011" i="2" s="1"/>
  <c r="N1017" i="2"/>
  <c r="O1017" i="2" s="1"/>
  <c r="N1023" i="2"/>
  <c r="O1023" i="2" s="1"/>
  <c r="N1029" i="2"/>
  <c r="O1029" i="2" s="1"/>
  <c r="N1035" i="2"/>
  <c r="O1035" i="2" s="1"/>
  <c r="N1041" i="2"/>
  <c r="O1041" i="2" s="1"/>
  <c r="N1048" i="2"/>
  <c r="O1048" i="2" s="1"/>
  <c r="N1054" i="2"/>
  <c r="O1054" i="2" s="1"/>
  <c r="N1059" i="2"/>
  <c r="O1059" i="2" s="1"/>
  <c r="N1065" i="2"/>
  <c r="O1065" i="2" s="1"/>
  <c r="N1071" i="2"/>
  <c r="O1071" i="2" s="1"/>
  <c r="N1078" i="2"/>
  <c r="O1078" i="2" s="1"/>
  <c r="N1084" i="2"/>
  <c r="O1084" i="2" s="1"/>
  <c r="N1090" i="2"/>
  <c r="O1090" i="2" s="1"/>
  <c r="N1096" i="2"/>
  <c r="O1096" i="2" s="1"/>
  <c r="N1102" i="2"/>
  <c r="O1102" i="2" s="1"/>
  <c r="N1108" i="2"/>
  <c r="O1108" i="2" s="1"/>
  <c r="N1114" i="2"/>
  <c r="O1114" i="2" s="1"/>
  <c r="N1120" i="2"/>
  <c r="O1120" i="2" s="1"/>
  <c r="N1126" i="2"/>
  <c r="O1126" i="2" s="1"/>
  <c r="N1132" i="2"/>
  <c r="O1132" i="2" s="1"/>
  <c r="N1138" i="2"/>
  <c r="O1138" i="2" s="1"/>
  <c r="N1144" i="2"/>
  <c r="O1144" i="2" s="1"/>
  <c r="N1150" i="2"/>
  <c r="O1150" i="2" s="1"/>
  <c r="N1156" i="2"/>
  <c r="O1156" i="2" s="1"/>
  <c r="N987" i="2"/>
  <c r="O987" i="2" s="1"/>
  <c r="N994" i="2"/>
  <c r="O994" i="2" s="1"/>
  <c r="N1001" i="2"/>
  <c r="O1001" i="2" s="1"/>
  <c r="N1007" i="2"/>
  <c r="O1007" i="2" s="1"/>
  <c r="N1013" i="2"/>
  <c r="O1013" i="2" s="1"/>
  <c r="N1019" i="2"/>
  <c r="O1019" i="2" s="1"/>
  <c r="N1025" i="2"/>
  <c r="O1025" i="2" s="1"/>
  <c r="N1031" i="2"/>
  <c r="O1031" i="2" s="1"/>
  <c r="N1037" i="2"/>
  <c r="O1037" i="2" s="1"/>
  <c r="N1043" i="2"/>
  <c r="O1043" i="2" s="1"/>
  <c r="N1049" i="2"/>
  <c r="O1049" i="2" s="1"/>
  <c r="N1055" i="2"/>
  <c r="O1055" i="2" s="1"/>
  <c r="N1061" i="2"/>
  <c r="O1061" i="2" s="1"/>
  <c r="N1067" i="2"/>
  <c r="O1067" i="2" s="1"/>
  <c r="N1073" i="2"/>
  <c r="O1073" i="2" s="1"/>
  <c r="N1079" i="2"/>
  <c r="O1079" i="2" s="1"/>
  <c r="N1085" i="2"/>
  <c r="O1085" i="2" s="1"/>
  <c r="N1092" i="2"/>
  <c r="O1092" i="2" s="1"/>
  <c r="N1098" i="2"/>
  <c r="O1098" i="2" s="1"/>
  <c r="N1104" i="2"/>
  <c r="O1104" i="2" s="1"/>
  <c r="N1110" i="2"/>
  <c r="O1110" i="2" s="1"/>
  <c r="N1116" i="2"/>
  <c r="O1116" i="2" s="1"/>
  <c r="N1122" i="2"/>
  <c r="O1122" i="2" s="1"/>
  <c r="N1128" i="2"/>
  <c r="O1128" i="2" s="1"/>
  <c r="N1134" i="2"/>
  <c r="O1134" i="2" s="1"/>
  <c r="N1140" i="2"/>
  <c r="O1140" i="2" s="1"/>
  <c r="N1146" i="2"/>
  <c r="O1146" i="2" s="1"/>
  <c r="N1152" i="2"/>
  <c r="O115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EDD742-6DF2-4A0F-96CA-5C20421F0462}" keepAlive="1" name="Query - Product_Catalog" description="Connection to the 'Product_Catalog' query in the workbook." type="5" refreshedVersion="8" background="1" saveData="1">
    <dbPr connection="Provider=Microsoft.Mashup.OleDb.1;Data Source=$Workbook$;Location=Product_Catalog;Extended Properties=&quot;&quot;" command="SELECT * FROM [Product_Catalog]"/>
  </connection>
  <connection id="2" xr16:uid="{59AC5C6D-CEB4-4E27-9087-DA955A6E29A0}" keepAlive="1" name="Query - Raw_Sales_Data" description="Connection to the 'Raw_Sales_Data' query in the workbook." type="5" refreshedVersion="8" background="1" saveData="1">
    <dbPr connection="Provider=Microsoft.Mashup.OleDb.1;Data Source=$Workbook$;Location=Raw_Sales_Data;Extended Properties=&quot;&quot;" command="SELECT * FROM [Raw_Sales_Data]"/>
  </connection>
</connections>
</file>

<file path=xl/sharedStrings.xml><?xml version="1.0" encoding="utf-8"?>
<sst xmlns="http://schemas.openxmlformats.org/spreadsheetml/2006/main" count="20167" uniqueCount="2114">
  <si>
    <t>Order_ID</t>
  </si>
  <si>
    <t>Raw_Order_Date</t>
  </si>
  <si>
    <t>Raw_Salesperson</t>
  </si>
  <si>
    <t>Raw_Region</t>
  </si>
  <si>
    <t>Raw_Product_Code</t>
  </si>
  <si>
    <t>Product_Name</t>
  </si>
  <si>
    <t>Raw_Units_Sold</t>
  </si>
  <si>
    <t>Raw_Unit_Price</t>
  </si>
  <si>
    <t>Cost_Price</t>
  </si>
  <si>
    <t>Payment_Method</t>
  </si>
  <si>
    <t>Raw_Payment_Status</t>
  </si>
  <si>
    <t>ORD-10001</t>
  </si>
  <si>
    <t>Priya Patel</t>
  </si>
  <si>
    <t>East</t>
  </si>
  <si>
    <t>PRD-ACC-302</t>
  </si>
  <si>
    <t>Noise Cancelling Headphones</t>
  </si>
  <si>
    <t>UPI</t>
  </si>
  <si>
    <t>Paid</t>
  </si>
  <si>
    <t>ORD-10002</t>
  </si>
  <si>
    <t>Neha Gupta</t>
  </si>
  <si>
    <t>PRD-ACC-301</t>
  </si>
  <si>
    <t>USB-C Docking Station</t>
  </si>
  <si>
    <t>Credit Card</t>
  </si>
  <si>
    <t>Pending</t>
  </si>
  <si>
    <t>ORD-10003</t>
  </si>
  <si>
    <t>Pooja Sharma</t>
  </si>
  <si>
    <t>West</t>
  </si>
  <si>
    <t>PRD-FUR-201</t>
  </si>
  <si>
    <t>Ergonomic Desk Chair</t>
  </si>
  <si>
    <t>Cash on Delivery</t>
  </si>
  <si>
    <t>ORD-10004</t>
  </si>
  <si>
    <t>Vikram Singh</t>
  </si>
  <si>
    <t>ORD-10005</t>
  </si>
  <si>
    <t>South</t>
  </si>
  <si>
    <t>Standing Executive Desk</t>
  </si>
  <si>
    <t>ORD-10006</t>
  </si>
  <si>
    <t>Central</t>
  </si>
  <si>
    <t>PRD-ELE-101</t>
  </si>
  <si>
    <t>Monitor 27inch</t>
  </si>
  <si>
    <t>ORD-10007</t>
  </si>
  <si>
    <t>North</t>
  </si>
  <si>
    <t>PRD-ELE-105</t>
  </si>
  <si>
    <t>Android Tablet 10inch</t>
  </si>
  <si>
    <t>ORD-10008</t>
  </si>
  <si>
    <t>Rahul Sharma</t>
  </si>
  <si>
    <t>Net Banking</t>
  </si>
  <si>
    <t>Failed</t>
  </si>
  <si>
    <t>ORD-10009</t>
  </si>
  <si>
    <t>Ananya Roy</t>
  </si>
  <si>
    <t>PRD-ELE-104</t>
  </si>
  <si>
    <t>Core i7 Laptop</t>
  </si>
  <si>
    <t>ORD-10010</t>
  </si>
  <si>
    <t>ORD-10011</t>
  </si>
  <si>
    <t>Suresh Raina</t>
  </si>
  <si>
    <t>ORD-10012</t>
  </si>
  <si>
    <t>PRD-FUR-202</t>
  </si>
  <si>
    <t>ORD-10013</t>
  </si>
  <si>
    <t>ORD-10014</t>
  </si>
  <si>
    <t>ORD-10015</t>
  </si>
  <si>
    <t>Mechanical Keyboard</t>
  </si>
  <si>
    <t>ORD-10016</t>
  </si>
  <si>
    <t>ORD-10017</t>
  </si>
  <si>
    <t>Rohan Verma</t>
  </si>
  <si>
    <t>PRD-ELE-102</t>
  </si>
  <si>
    <t>ORD-10018</t>
  </si>
  <si>
    <t>ORD-10019</t>
  </si>
  <si>
    <t>PRD-ELE-103</t>
  </si>
  <si>
    <t>Wireless Mouse</t>
  </si>
  <si>
    <t>ORD-10020</t>
  </si>
  <si>
    <t>ORD-10021</t>
  </si>
  <si>
    <t>ORD-10023</t>
  </si>
  <si>
    <t>ORD-10024</t>
  </si>
  <si>
    <t>ORD-10025</t>
  </si>
  <si>
    <t>Amit Kumar</t>
  </si>
  <si>
    <t>ORD-10026</t>
  </si>
  <si>
    <t>ORD-10027</t>
  </si>
  <si>
    <t>ORD-10028</t>
  </si>
  <si>
    <t>ORD-10029</t>
  </si>
  <si>
    <t>ORD-10030</t>
  </si>
  <si>
    <t>ORD-10031</t>
  </si>
  <si>
    <t>ORD-10032</t>
  </si>
  <si>
    <t>ORD-10033</t>
  </si>
  <si>
    <t>ORD-10034</t>
  </si>
  <si>
    <t>ORD-10035</t>
  </si>
  <si>
    <t>Unknown</t>
  </si>
  <si>
    <t>ORD-10036</t>
  </si>
  <si>
    <t>ORD-10037</t>
  </si>
  <si>
    <t>ORD-10038</t>
  </si>
  <si>
    <t>ORD-10039</t>
  </si>
  <si>
    <t>ORD-10040</t>
  </si>
  <si>
    <t>ORD-10041</t>
  </si>
  <si>
    <t>ORD-10042</t>
  </si>
  <si>
    <t>ORD-10043</t>
  </si>
  <si>
    <t>ORD-10044</t>
  </si>
  <si>
    <t>ORD-10045</t>
  </si>
  <si>
    <t>ORD-10046</t>
  </si>
  <si>
    <t>ORD-10047</t>
  </si>
  <si>
    <t>ORD-10048</t>
  </si>
  <si>
    <t>ORD-10049</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</si>
  <si>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</si>
  <si>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</si>
  <si>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</si>
  <si>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</si>
  <si>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</si>
  <si>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</si>
  <si>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</si>
  <si>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</si>
  <si>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</si>
  <si>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</si>
  <si>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</si>
  <si>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</si>
  <si>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</si>
  <si>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</si>
  <si>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</si>
  <si>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</si>
  <si>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</si>
  <si>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</si>
  <si>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</si>
  <si>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</si>
  <si>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</si>
  <si>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</si>
  <si>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</si>
  <si>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</si>
  <si>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</si>
  <si>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</si>
  <si>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</si>
  <si>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</si>
  <si>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</si>
  <si>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</si>
  <si>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</si>
  <si>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</si>
  <si>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</si>
  <si>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</si>
  <si>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</si>
  <si>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</si>
  <si>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</si>
  <si>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</si>
  <si>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</si>
  <si>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</si>
  <si>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</si>
  <si>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</si>
  <si>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</si>
  <si>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</si>
  <si>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</si>
  <si>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</si>
  <si>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</si>
  <si>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</si>
  <si>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</si>
  <si>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</si>
  <si>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</si>
  <si>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</si>
  <si>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</si>
  <si>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</si>
  <si>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</si>
  <si>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</si>
  <si>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</si>
  <si>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</si>
  <si>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</si>
  <si>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</si>
  <si>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</si>
  <si>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</si>
  <si>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</si>
  <si>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</si>
  <si>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</si>
  <si>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</si>
  <si>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</si>
  <si>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</si>
  <si>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</si>
  <si>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</si>
  <si>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</si>
  <si>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</si>
  <si>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</si>
  <si>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</si>
  <si>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</si>
  <si>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</si>
  <si>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</si>
  <si>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</si>
  <si>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</si>
  <si>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</si>
  <si>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</si>
  <si>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</si>
  <si>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</si>
  <si>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</si>
  <si>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</si>
  <si>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</si>
  <si>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</si>
  <si>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</si>
  <si>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</si>
  <si>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</si>
  <si>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</si>
  <si>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</si>
  <si>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</si>
  <si>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</si>
  <si>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</si>
  <si>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</si>
  <si>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</si>
  <si>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</si>
  <si>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</si>
  <si>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</si>
  <si>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</si>
  <si>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</si>
  <si>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</si>
  <si>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</si>
  <si>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</si>
  <si>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</si>
  <si>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</si>
  <si>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</si>
  <si>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</si>
  <si>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</si>
  <si>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</si>
  <si>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</si>
  <si>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</si>
  <si>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</si>
  <si>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</si>
  <si>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</si>
  <si>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</si>
  <si>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</si>
  <si>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</si>
  <si>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</si>
  <si>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</si>
  <si>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</si>
  <si>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</si>
  <si>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</si>
  <si>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</si>
  <si>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</si>
  <si>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</si>
  <si>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</si>
  <si>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</si>
  <si>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</si>
  <si>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</si>
  <si>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</si>
  <si>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</si>
  <si>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</si>
  <si>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</si>
  <si>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</si>
  <si>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</si>
  <si>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</si>
  <si>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</si>
  <si>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</si>
  <si>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</si>
  <si>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</si>
  <si>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</si>
  <si>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</si>
  <si>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</si>
  <si>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</si>
  <si>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</si>
  <si>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</si>
  <si>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</si>
  <si>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</si>
  <si>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</si>
  <si>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</si>
  <si>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</si>
  <si>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</si>
  <si>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</si>
  <si>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</si>
  <si>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</si>
  <si>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</si>
  <si>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</si>
  <si>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</si>
  <si>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</si>
  <si>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</si>
  <si>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</si>
  <si>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</si>
  <si>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</si>
  <si>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</si>
  <si>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</si>
  <si>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</si>
  <si>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</si>
  <si>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</si>
  <si>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</si>
  <si>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</si>
  <si>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</si>
  <si>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</si>
  <si>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</si>
  <si>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</si>
  <si>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</si>
  <si>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</si>
  <si>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</si>
  <si>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</si>
  <si>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</si>
  <si>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</si>
  <si>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</si>
  <si>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</si>
  <si>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</si>
  <si>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</si>
  <si>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</si>
  <si>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</si>
  <si>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</si>
  <si>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</si>
  <si>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</si>
  <si>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</si>
  <si>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</si>
  <si>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</si>
  <si>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</si>
  <si>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</si>
  <si>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</si>
  <si>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</si>
  <si>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</si>
  <si>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</si>
  <si>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</si>
  <si>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</si>
  <si>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</si>
  <si>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</si>
  <si>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</si>
  <si>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</si>
  <si>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</si>
  <si>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</si>
  <si>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</si>
  <si>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</si>
  <si>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</si>
  <si>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</si>
  <si>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</si>
  <si>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</si>
  <si>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</si>
  <si>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</si>
  <si>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</si>
  <si>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</si>
  <si>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</si>
  <si>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</si>
  <si>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</si>
  <si>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</si>
  <si>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</si>
  <si>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</si>
  <si>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</si>
  <si>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</si>
  <si>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</si>
  <si>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</si>
  <si>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</si>
  <si>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</si>
  <si>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</si>
  <si>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</si>
  <si>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</si>
  <si>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</si>
  <si>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</si>
  <si>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</si>
  <si>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</si>
  <si>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</si>
  <si>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</si>
  <si>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</si>
  <si>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</si>
  <si>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</si>
  <si>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</si>
  <si>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</si>
  <si>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</si>
  <si>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</si>
  <si>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</si>
  <si>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</si>
  <si>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</si>
  <si>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</si>
  <si>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</si>
  <si>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</si>
  <si>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</si>
  <si>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</si>
  <si>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</si>
  <si>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</si>
  <si>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</si>
  <si>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</si>
  <si>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</si>
  <si>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</si>
  <si>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</si>
  <si>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</si>
  <si>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</si>
  <si>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</si>
  <si>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</si>
  <si>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</si>
  <si>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</si>
  <si>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</si>
  <si>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</si>
  <si>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</si>
  <si>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</si>
  <si>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</si>
  <si>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</si>
  <si>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</si>
  <si>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</si>
  <si>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</si>
  <si>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</si>
  <si>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</si>
  <si>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</si>
  <si>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</si>
  <si>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</si>
  <si>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</si>
  <si>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</si>
  <si>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</si>
  <si>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</si>
  <si>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</si>
  <si>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</si>
  <si>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</si>
  <si>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</si>
  <si>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</si>
  <si>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</si>
  <si>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</si>
  <si>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</si>
  <si>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</si>
  <si>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</si>
  <si>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</si>
  <si>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</si>
  <si>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</si>
  <si>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</si>
  <si>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</si>
  <si>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</si>
  <si>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</si>
  <si>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</si>
  <si>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</si>
  <si>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</si>
  <si>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</si>
  <si>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</si>
  <si>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</si>
  <si>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</si>
  <si>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</si>
  <si>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</si>
  <si>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</si>
  <si>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</si>
  <si>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</si>
  <si>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</si>
  <si>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</si>
  <si>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</si>
  <si>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</si>
  <si>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</si>
  <si>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</si>
  <si>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</si>
  <si>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</si>
  <si>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</si>
  <si>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</si>
  <si>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</si>
  <si>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</si>
  <si>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</si>
  <si>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</si>
  <si>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</si>
  <si>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</si>
  <si>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</si>
  <si>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</si>
  <si>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</si>
  <si>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</si>
  <si>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</si>
  <si>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</si>
  <si>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</si>
  <si>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</si>
  <si>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</si>
  <si>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</si>
  <si>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</si>
  <si>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</si>
  <si>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</si>
  <si>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</si>
  <si>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</si>
  <si>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</si>
  <si>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</si>
  <si>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</si>
  <si>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</si>
  <si>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</si>
  <si>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</si>
  <si>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</si>
  <si>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</si>
  <si>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</si>
  <si>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</si>
  <si>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</si>
  <si>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</si>
  <si>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</si>
  <si>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</si>
  <si>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</si>
  <si>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</si>
  <si>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</si>
  <si>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</si>
  <si>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</si>
  <si>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</si>
  <si>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</si>
  <si>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</si>
  <si>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</si>
  <si>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</si>
  <si>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</si>
  <si>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</si>
  <si>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</si>
  <si>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</si>
  <si>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</si>
  <si>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</si>
  <si>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</si>
  <si>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</si>
  <si>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</si>
  <si>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</si>
  <si>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</si>
  <si>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</si>
  <si>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</si>
  <si>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</si>
  <si>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</si>
  <si>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</si>
  <si>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</si>
  <si>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</si>
  <si>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</si>
  <si>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</si>
  <si>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</si>
  <si>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</si>
  <si>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</si>
  <si>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</si>
  <si>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</si>
  <si>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</si>
  <si>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</si>
  <si>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</si>
  <si>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</si>
  <si>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</si>
  <si>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</si>
  <si>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</si>
  <si>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</si>
  <si>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</si>
  <si>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</si>
  <si>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</si>
  <si>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</si>
  <si>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</si>
  <si>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</si>
  <si>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</si>
  <si>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</si>
  <si>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</si>
  <si>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</si>
  <si>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</si>
  <si>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</si>
  <si>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</si>
  <si>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</si>
  <si>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</si>
  <si>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</si>
  <si>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</si>
  <si>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</si>
  <si>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</si>
  <si>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</si>
  <si>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</si>
  <si>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</si>
  <si>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</si>
  <si>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</si>
  <si>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</si>
  <si>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</si>
  <si>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</si>
  <si>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</si>
  <si>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</si>
  <si>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</si>
  <si>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</si>
  <si>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</si>
  <si>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</si>
  <si>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</si>
  <si>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</si>
  <si>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</si>
  <si>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</si>
  <si>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</si>
  <si>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</si>
  <si>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</si>
  <si>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</si>
  <si>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</si>
  <si>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</si>
  <si>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</si>
  <si>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</si>
  <si>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</si>
  <si>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</si>
  <si>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</si>
  <si>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</si>
  <si>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</si>
  <si>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</si>
  <si>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</si>
  <si>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</si>
  <si>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</si>
  <si>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</si>
  <si>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</si>
  <si>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</si>
  <si>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</si>
  <si>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</si>
  <si>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</si>
  <si>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</si>
  <si>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</si>
  <si>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</si>
  <si>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</si>
  <si>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</si>
  <si>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</si>
  <si>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</si>
  <si>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</si>
  <si>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</si>
  <si>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</si>
  <si>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</si>
  <si>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</si>
  <si>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</si>
  <si>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</si>
  <si>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</si>
  <si>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</si>
  <si>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</si>
  <si>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</si>
  <si>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</si>
  <si>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</si>
  <si>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</si>
  <si>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</si>
  <si>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</si>
  <si>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</si>
  <si>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</si>
  <si>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</si>
  <si>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</si>
  <si>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</si>
  <si>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</si>
  <si>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</si>
  <si>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</si>
  <si>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</si>
  <si>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</si>
  <si>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</si>
  <si>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</si>
  <si>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</si>
  <si>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</si>
  <si>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</si>
  <si>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</si>
  <si>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</si>
  <si>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</si>
  <si>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</si>
  <si>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</si>
  <si>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</si>
  <si>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</si>
  <si>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</si>
  <si>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</si>
  <si>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</si>
  <si>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</si>
  <si>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</si>
  <si>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</si>
  <si>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</si>
  <si>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</si>
  <si>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</si>
  <si>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</si>
  <si>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</si>
  <si>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</si>
  <si>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</si>
  <si>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</si>
  <si>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</si>
  <si>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</si>
  <si>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</si>
  <si>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</si>
  <si>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</si>
  <si>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</si>
  <si>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</si>
  <si>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</si>
  <si>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</si>
  <si>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</si>
  <si>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</si>
  <si>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</si>
  <si>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</si>
  <si>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</si>
  <si>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</si>
  <si>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</si>
  <si>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</si>
  <si>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</si>
  <si>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</si>
  <si>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</si>
  <si>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</si>
  <si>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</si>
  <si>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</si>
  <si>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</si>
  <si>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</si>
  <si>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</si>
  <si>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</si>
  <si>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</si>
  <si>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</si>
  <si>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</si>
  <si>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</si>
  <si>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</si>
  <si>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</si>
  <si>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</si>
  <si>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</si>
  <si>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</si>
  <si>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</si>
  <si>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</si>
  <si>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</si>
  <si>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</si>
  <si>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</si>
  <si>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</si>
  <si>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</si>
  <si>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</si>
  <si>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</si>
  <si>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</si>
  <si>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</si>
  <si>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</si>
  <si>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</si>
  <si>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</si>
  <si>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</si>
  <si>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</si>
  <si>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</si>
  <si>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</si>
  <si>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</si>
  <si>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</si>
  <si>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</si>
  <si>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</si>
  <si>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</si>
  <si>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</si>
  <si>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</si>
  <si>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</si>
  <si>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</si>
  <si>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</si>
  <si>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</si>
  <si>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</si>
  <si>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</si>
  <si>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</si>
  <si>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</si>
  <si>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</si>
  <si>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</si>
  <si>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</si>
  <si>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</si>
  <si>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</si>
  <si>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</si>
  <si>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</si>
  <si>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</si>
  <si>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</si>
  <si>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</si>
  <si>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</si>
  <si>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</si>
  <si>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</si>
  <si>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</si>
  <si>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</si>
  <si>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</si>
  <si>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</si>
  <si>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</si>
  <si>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</si>
  <si>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</si>
  <si>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</si>
  <si>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</si>
  <si>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</si>
  <si>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</si>
  <si>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</si>
  <si>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</si>
  <si>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</si>
  <si>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</si>
  <si>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</si>
  <si>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</si>
  <si>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</si>
  <si>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</si>
  <si>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</si>
  <si>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</si>
  <si>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</si>
  <si>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</si>
  <si>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</si>
  <si>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</si>
  <si>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</si>
  <si>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</si>
  <si>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</si>
  <si>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</si>
  <si>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</si>
  <si>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</si>
  <si>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</si>
  <si>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</si>
  <si>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</si>
  <si>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</si>
  <si>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</si>
  <si>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</si>
  <si>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</si>
  <si>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</si>
  <si>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</si>
  <si>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</si>
  <si>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</si>
  <si>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</si>
  <si>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</si>
  <si>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</si>
  <si>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</si>
  <si>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</si>
  <si>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</si>
  <si>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</si>
  <si>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</si>
  <si>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</si>
  <si>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</si>
  <si>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</si>
  <si>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</si>
  <si>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</si>
  <si>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</si>
  <si>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</si>
  <si>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</si>
  <si>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</si>
  <si>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</si>
  <si>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</si>
  <si>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</si>
  <si>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</si>
  <si>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</si>
  <si>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</si>
  <si>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</si>
  <si>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</si>
  <si>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</si>
  <si>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</si>
  <si>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</si>
  <si>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</si>
  <si>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</si>
  <si>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</si>
  <si>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</si>
  <si>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</si>
  <si>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</si>
  <si>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</si>
  <si>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</si>
  <si>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</si>
  <si>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</si>
  <si>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</si>
  <si>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</si>
  <si>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</si>
  <si>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</si>
  <si>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</si>
  <si>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</si>
  <si>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</si>
  <si>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</si>
  <si>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</si>
  <si>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</si>
  <si>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</si>
  <si>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</si>
  <si>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</si>
  <si>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</si>
  <si>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</si>
  <si>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</si>
  <si>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</si>
  <si>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</si>
  <si>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</si>
  <si>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</si>
  <si>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</si>
  <si>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</si>
  <si>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</si>
  <si>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</si>
  <si>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</si>
  <si>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</si>
  <si>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</si>
  <si>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</si>
  <si>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</si>
  <si>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</si>
  <si>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</si>
  <si>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</si>
  <si>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</si>
  <si>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</si>
  <si>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</si>
  <si>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</si>
  <si>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</si>
  <si>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</si>
  <si>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</si>
  <si>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</si>
  <si>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</si>
  <si>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</si>
  <si>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</si>
  <si>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</si>
  <si>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</si>
  <si>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</si>
  <si>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</si>
  <si>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</si>
  <si>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</si>
  <si>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</si>
  <si>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</si>
  <si>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</si>
  <si>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</si>
  <si>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</si>
  <si>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</si>
  <si>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</si>
  <si>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</si>
  <si>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</si>
  <si>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</si>
  <si>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</si>
  <si>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</si>
  <si>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</si>
  <si>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</si>
  <si>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</si>
  <si>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</si>
  <si>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</si>
  <si>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</si>
  <si>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</si>
  <si>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</si>
  <si>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</si>
  <si>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</si>
  <si>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</si>
  <si>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</si>
  <si>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</si>
  <si>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</si>
  <si>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</si>
  <si>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</si>
  <si>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</si>
  <si>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</si>
  <si>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</si>
  <si>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</si>
  <si>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</si>
  <si>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</si>
  <si>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</si>
  <si>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</si>
  <si>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</si>
  <si>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</si>
  <si>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</si>
  <si>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</si>
  <si>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</si>
  <si>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</si>
  <si>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</si>
  <si>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</si>
  <si>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</si>
  <si>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</si>
  <si>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</si>
  <si>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</si>
  <si>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</si>
  <si>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</si>
  <si>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</si>
  <si>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</si>
  <si>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</si>
  <si>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</si>
  <si>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</si>
  <si>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</si>
  <si>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</si>
  <si>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</si>
  <si>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</si>
  <si>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</si>
  <si>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</si>
  <si>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</si>
  <si>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</si>
  <si>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</si>
  <si>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</si>
  <si>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</si>
  <si>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</si>
  <si>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</si>
  <si>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</si>
  <si>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</si>
  <si>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</si>
  <si>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</si>
  <si>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</si>
  <si>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</si>
  <si>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</si>
  <si>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</si>
  <si>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</si>
  <si>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</si>
  <si>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</si>
  <si>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</si>
  <si>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</si>
  <si>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</si>
  <si>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</si>
  <si>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</si>
  <si>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</si>
  <si>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</si>
  <si>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</si>
  <si>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</si>
  <si>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</si>
  <si>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</si>
  <si>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</si>
  <si>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</si>
  <si>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</si>
  <si>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</si>
  <si>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</si>
  <si>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</si>
  <si>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</si>
  <si>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</si>
  <si>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</si>
  <si>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</si>
  <si>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</si>
  <si>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</si>
  <si>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</si>
  <si>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</si>
  <si>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</si>
  <si>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</si>
  <si>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</si>
  <si>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</si>
  <si>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</si>
  <si>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</si>
  <si>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</si>
  <si>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</si>
  <si>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</si>
  <si>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</si>
  <si>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</si>
  <si>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</si>
  <si>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</si>
  <si>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</si>
  <si>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</si>
  <si>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</si>
  <si>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</si>
  <si>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</si>
  <si>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</si>
  <si>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</si>
  <si>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</si>
  <si>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</si>
  <si>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</si>
  <si>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</si>
  <si>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</si>
  <si>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</si>
  <si>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</si>
  <si>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</si>
  <si>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</si>
  <si>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</si>
  <si>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</si>
  <si>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</si>
  <si>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</si>
  <si>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</si>
  <si>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</si>
  <si>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</si>
  <si>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</si>
  <si>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</si>
  <si>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</si>
  <si>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</si>
  <si>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</si>
  <si>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</si>
  <si>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</si>
  <si>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</si>
  <si>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</si>
  <si>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</si>
  <si>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</si>
  <si>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</si>
  <si>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</si>
  <si>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</si>
  <si>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</si>
  <si>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</si>
  <si>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</si>
  <si>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</si>
  <si>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</si>
  <si>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</si>
  <si>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</si>
  <si>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</si>
  <si>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</si>
  <si>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</si>
  <si>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</si>
  <si>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</si>
  <si>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</si>
  <si>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</si>
  <si>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</si>
  <si>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</si>
  <si>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</si>
  <si>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</si>
  <si>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</si>
  <si>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</si>
  <si>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</si>
  <si>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</si>
  <si>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</si>
  <si>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</si>
  <si>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</si>
  <si>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</si>
  <si>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</si>
  <si>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</si>
  <si>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</si>
  <si>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</si>
  <si>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</si>
  <si>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</si>
  <si>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</si>
  <si>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</si>
  <si>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</si>
  <si>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</si>
  <si>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</si>
  <si>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</si>
  <si>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</si>
  <si>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</si>
  <si>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</si>
  <si>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</si>
  <si>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</si>
  <si>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</si>
  <si>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</si>
  <si>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</si>
  <si>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</si>
  <si>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</si>
  <si>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</si>
  <si>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</si>
  <si>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</si>
  <si>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</si>
  <si>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</si>
  <si>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</si>
  <si>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</si>
  <si>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</si>
  <si>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</si>
  <si>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</si>
  <si>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</si>
  <si>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</si>
  <si>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</si>
  <si>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</si>
  <si>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</si>
  <si>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</si>
  <si>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</si>
  <si>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</si>
  <si>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</si>
  <si>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</si>
  <si>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</si>
  <si>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</si>
  <si>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</si>
  <si>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</si>
  <si>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</si>
  <si>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</si>
  <si>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</si>
  <si>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</si>
  <si>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</si>
  <si>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</si>
  <si>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</si>
  <si>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</si>
  <si>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</si>
  <si>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</si>
  <si>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</si>
  <si>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</si>
  <si>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</si>
  <si>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</si>
  <si>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</si>
  <si>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</si>
  <si>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</si>
  <si>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</si>
  <si>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</si>
  <si>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</si>
  <si>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</si>
  <si>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</si>
  <si>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</si>
  <si>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</si>
  <si>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</si>
  <si>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</si>
  <si>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</si>
  <si>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</si>
  <si>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</si>
  <si>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</si>
  <si>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</si>
  <si>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</si>
  <si>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</si>
  <si>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</si>
  <si>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</si>
  <si>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</si>
  <si>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</si>
  <si>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</si>
  <si>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</si>
  <si>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</si>
  <si>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</si>
  <si>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</si>
  <si>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</si>
  <si>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</si>
  <si>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</si>
  <si>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</si>
  <si>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</si>
  <si>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</si>
  <si>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</si>
  <si>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</si>
  <si>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</si>
  <si>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</si>
  <si>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</si>
  <si>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</si>
  <si>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</si>
  <si>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</si>
  <si>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</si>
  <si>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</si>
  <si>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</si>
  <si>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</si>
  <si>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</si>
  <si>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</si>
  <si>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</si>
  <si>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</si>
  <si>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</si>
  <si>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</si>
  <si>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</si>
  <si>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</si>
  <si>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</si>
  <si>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</si>
  <si>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</si>
  <si>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</si>
  <si>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</si>
  <si>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</si>
  <si>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</si>
  <si>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</si>
  <si>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</si>
  <si>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</si>
  <si>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</si>
  <si>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</si>
  <si>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</si>
  <si>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</si>
  <si>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</si>
  <si>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</si>
  <si>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</si>
  <si>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</si>
  <si>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</si>
  <si>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</si>
  <si>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</si>
  <si>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</si>
  <si>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</si>
  <si>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</si>
  <si>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</si>
  <si>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</si>
  <si>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</si>
  <si>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</si>
  <si>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</si>
  <si>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</si>
  <si>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</si>
  <si>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</si>
  <si>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</si>
  <si>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</si>
  <si>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</si>
  <si>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</si>
  <si>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</si>
  <si>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</si>
  <si>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</si>
  <si>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</si>
  <si>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</si>
  <si>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</si>
  <si>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</si>
  <si>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</si>
  <si>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</si>
  <si>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</si>
  <si>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</si>
  <si>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</si>
  <si>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</si>
  <si>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</si>
  <si>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</si>
  <si>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</si>
  <si>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</si>
  <si>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</si>
  <si>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</si>
  <si>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</si>
  <si>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</si>
  <si>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</si>
  <si>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</si>
  <si>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</si>
  <si>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</si>
  <si>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</si>
  <si>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</si>
  <si>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</si>
  <si>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</si>
  <si>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</si>
  <si>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</si>
  <si>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</si>
  <si>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</si>
  <si>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</si>
  <si>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</si>
  <si>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</si>
  <si>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</si>
  <si>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</si>
  <si>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</si>
  <si>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</si>
  <si>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</si>
  <si>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</si>
  <si>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</si>
  <si>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</si>
  <si>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</si>
  <si>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</si>
  <si>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</si>
  <si>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</si>
  <si>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</si>
  <si>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</si>
  <si>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</si>
  <si>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</si>
  <si>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</si>
  <si>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</si>
  <si>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</si>
  <si>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</si>
  <si>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</si>
  <si>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</si>
  <si>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</si>
  <si>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</si>
  <si>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</si>
  <si>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</si>
  <si>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</si>
  <si>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</si>
  <si>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</si>
  <si>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</si>
  <si>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</si>
  <si>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</si>
  <si>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</si>
  <si>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</si>
  <si>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</si>
  <si>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</si>
  <si>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</si>
  <si>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</si>
  <si>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</si>
  <si>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</si>
  <si>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</si>
  <si>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</si>
  <si>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</si>
  <si>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Product_Code</t>
  </si>
  <si>
    <t>Category</t>
  </si>
  <si>
    <t>Standard_Price</t>
  </si>
  <si>
    <t>Electronics</t>
  </si>
  <si>
    <t>Furniture</t>
  </si>
  <si>
    <t>Accessories</t>
  </si>
  <si>
    <t>Total_Sales</t>
  </si>
  <si>
    <t>Profit</t>
  </si>
  <si>
    <t>Total_Cost</t>
  </si>
  <si>
    <t>Profit_Margin%</t>
  </si>
  <si>
    <t>Year</t>
  </si>
  <si>
    <t>Month</t>
  </si>
  <si>
    <t>Month_Year</t>
  </si>
  <si>
    <t>2026-06-08</t>
  </si>
  <si>
    <t xml:space="preserve"> priya patel</t>
  </si>
  <si>
    <t>EAST</t>
  </si>
  <si>
    <t>12</t>
  </si>
  <si>
    <t>12500</t>
  </si>
  <si>
    <t>2025-11-13</t>
  </si>
  <si>
    <t xml:space="preserve">  neha gupta </t>
  </si>
  <si>
    <t>13</t>
  </si>
  <si>
    <t>8500</t>
  </si>
  <si>
    <t xml:space="preserve">pending </t>
  </si>
  <si>
    <t>2026-05-22</t>
  </si>
  <si>
    <t>pooja sharma</t>
  </si>
  <si>
    <t>3</t>
  </si>
  <si>
    <t>14000</t>
  </si>
  <si>
    <t>COD</t>
  </si>
  <si>
    <t>2025-03-18</t>
  </si>
  <si>
    <t>VIKRAM SINGH</t>
  </si>
  <si>
    <t xml:space="preserve">East </t>
  </si>
  <si>
    <t>10</t>
  </si>
  <si>
    <t>₹ 12,500</t>
  </si>
  <si>
    <t>PENDING</t>
  </si>
  <si>
    <t>2025-10-12</t>
  </si>
  <si>
    <t xml:space="preserve">south </t>
  </si>
  <si>
    <t>PRD-FUR-202_v1</t>
  </si>
  <si>
    <t>8</t>
  </si>
  <si>
    <t>35000</t>
  </si>
  <si>
    <t>24/11/2025</t>
  </si>
  <si>
    <t>11</t>
  </si>
  <si>
    <t>55000</t>
  </si>
  <si>
    <t>2026-04-09</t>
  </si>
  <si>
    <t>north</t>
  </si>
  <si>
    <t>5</t>
  </si>
  <si>
    <t>INR 28000</t>
  </si>
  <si>
    <t>paid</t>
  </si>
  <si>
    <t>2026-06-27</t>
  </si>
  <si>
    <t xml:space="preserve">Rahul Sharma </t>
  </si>
  <si>
    <t xml:space="preserve"> 9 pcs </t>
  </si>
  <si>
    <t>2025-02-17</t>
  </si>
  <si>
    <t>75000</t>
  </si>
  <si>
    <t>2025-04-03</t>
  </si>
  <si>
    <t>PRD-FUR-201_v1</t>
  </si>
  <si>
    <t>4</t>
  </si>
  <si>
    <t>2025.09.08</t>
  </si>
  <si>
    <t xml:space="preserve"> North</t>
  </si>
  <si>
    <t>7</t>
  </si>
  <si>
    <t>13/03/2025</t>
  </si>
  <si>
    <t>₹ 35,000</t>
  </si>
  <si>
    <t>2026-04-07</t>
  </si>
  <si>
    <t>18</t>
  </si>
  <si>
    <t>2026-06-24</t>
  </si>
  <si>
    <t>19</t>
  </si>
  <si>
    <t>INR 75000</t>
  </si>
  <si>
    <t>2026-01-19</t>
  </si>
  <si>
    <t>PRD-ELE-102_v1</t>
  </si>
  <si>
    <t>1</t>
  </si>
  <si>
    <t>4500</t>
  </si>
  <si>
    <t>2025-10-13</t>
  </si>
  <si>
    <t xml:space="preserve"> 14 pcs </t>
  </si>
  <si>
    <t>₹ 28,000</t>
  </si>
  <si>
    <t>2025-05-06</t>
  </si>
  <si>
    <t>16</t>
  </si>
  <si>
    <t>28/09/2025</t>
  </si>
  <si>
    <t>17</t>
  </si>
  <si>
    <t>2025-04-07</t>
  </si>
  <si>
    <t>2500</t>
  </si>
  <si>
    <t>2025-08-21</t>
  </si>
  <si>
    <t>PRD-ELE-102_v2</t>
  </si>
  <si>
    <t>₹ 4,500</t>
  </si>
  <si>
    <t>2026-08-15</t>
  </si>
  <si>
    <t>ORD-10022</t>
  </si>
  <si>
    <t>2025.04.21</t>
  </si>
  <si>
    <t>-17</t>
  </si>
  <si>
    <t>28000</t>
  </si>
  <si>
    <t>2025-12-26</t>
  </si>
  <si>
    <t>17/03/2025</t>
  </si>
  <si>
    <t xml:space="preserve"> 19 pcs </t>
  </si>
  <si>
    <t>2025-01-02</t>
  </si>
  <si>
    <t>PRD-FUR-201_v3</t>
  </si>
  <si>
    <t>6</t>
  </si>
  <si>
    <t>2025-03-21</t>
  </si>
  <si>
    <t>2025-12-17</t>
  </si>
  <si>
    <t>2026-08-18</t>
  </si>
  <si>
    <t>₹ 2,500</t>
  </si>
  <si>
    <t>2025-03-01</t>
  </si>
  <si>
    <t>15</t>
  </si>
  <si>
    <t>21/01/2025</t>
  </si>
  <si>
    <t>2025-01-26</t>
  </si>
  <si>
    <t>2026-01-16</t>
  </si>
  <si>
    <t xml:space="preserve"> 15 pcs </t>
  </si>
  <si>
    <t>₹ 55,000</t>
  </si>
  <si>
    <t>2026.02.14</t>
  </si>
  <si>
    <t>2026-05-27</t>
  </si>
  <si>
    <t>2025-08-12</t>
  </si>
  <si>
    <t>PRD-ACC-302_v1</t>
  </si>
  <si>
    <t>INR 12500</t>
  </si>
  <si>
    <t>20/03/2026</t>
  </si>
  <si>
    <t>2025-01-18</t>
  </si>
  <si>
    <t>2025-01-14</t>
  </si>
  <si>
    <t>2026-05-20</t>
  </si>
  <si>
    <t>2025-02-14</t>
  </si>
  <si>
    <t>PRD-ELE-102_v3</t>
  </si>
  <si>
    <t>2026-03-17</t>
  </si>
  <si>
    <t>13/02/2025</t>
  </si>
  <si>
    <t>INR 14000</t>
  </si>
  <si>
    <t>2025-03-17</t>
  </si>
  <si>
    <t>2025.04.02</t>
  </si>
  <si>
    <t>₹ 75,000</t>
  </si>
  <si>
    <t>2026-01-23</t>
  </si>
  <si>
    <t>PRD-ELE-105_v2</t>
  </si>
  <si>
    <t>2025-03-24</t>
  </si>
  <si>
    <t>2026-03-03</t>
  </si>
  <si>
    <t>2</t>
  </si>
  <si>
    <t>03/06/2025</t>
  </si>
  <si>
    <t>2025-03-12</t>
  </si>
  <si>
    <t>INR 55000</t>
  </si>
  <si>
    <t>2025-12-18</t>
  </si>
  <si>
    <t>2025-09-13</t>
  </si>
  <si>
    <t>2025-04-06</t>
  </si>
  <si>
    <t>2026-02-02</t>
  </si>
  <si>
    <t>08/04/2025</t>
  </si>
  <si>
    <t>2026.04.20</t>
  </si>
  <si>
    <t>PRD-ELE-104_v2</t>
  </si>
  <si>
    <t>2025-09-21</t>
  </si>
  <si>
    <t xml:space="preserve"> 3 pcs </t>
  </si>
  <si>
    <t>₹ 8,500</t>
  </si>
  <si>
    <t>2025-05-12</t>
  </si>
  <si>
    <t>2026-03-01</t>
  </si>
  <si>
    <t>9</t>
  </si>
  <si>
    <t>2026-04-08</t>
  </si>
  <si>
    <t>23/02/2025</t>
  </si>
  <si>
    <t>PRD-ELE-105_v3</t>
  </si>
  <si>
    <t>2026-03-19</t>
  </si>
  <si>
    <t>2025-09-06</t>
  </si>
  <si>
    <t>2026-08-08</t>
  </si>
  <si>
    <t>2025-01-16</t>
  </si>
  <si>
    <t>2026-07-27</t>
  </si>
  <si>
    <t>PRD-FUR-202_v3</t>
  </si>
  <si>
    <t>21/05/2026</t>
  </si>
  <si>
    <t>2025-09-24</t>
  </si>
  <si>
    <t>2026-01-27</t>
  </si>
  <si>
    <t>2026-04-22</t>
  </si>
  <si>
    <t>PRD-FUR-202_v2</t>
  </si>
  <si>
    <t>INR 35000</t>
  </si>
  <si>
    <t>2025-07-16</t>
  </si>
  <si>
    <t>21/06/2026</t>
  </si>
  <si>
    <t xml:space="preserve"> 2 pcs </t>
  </si>
  <si>
    <t>2026-04-23</t>
  </si>
  <si>
    <t>2025-01-22</t>
  </si>
  <si>
    <t>PRD-ELE-103_v3</t>
  </si>
  <si>
    <t>2026.03.20</t>
  </si>
  <si>
    <t>INR 4500</t>
  </si>
  <si>
    <t>08/01/2026</t>
  </si>
  <si>
    <t>14</t>
  </si>
  <si>
    <t>2026-08-17</t>
  </si>
  <si>
    <t>2026-01-18</t>
  </si>
  <si>
    <t xml:space="preserve"> 1 pcs </t>
  </si>
  <si>
    <t>2026-08-06</t>
  </si>
  <si>
    <t>2026-03-22</t>
  </si>
  <si>
    <t>12/11/2025</t>
  </si>
  <si>
    <t>2026-02-28</t>
  </si>
  <si>
    <t>2026-01-12</t>
  </si>
  <si>
    <t>2026-08-05</t>
  </si>
  <si>
    <t>2026.05.04</t>
  </si>
  <si>
    <t>24/07/2025</t>
  </si>
  <si>
    <t>2026-04-04</t>
  </si>
  <si>
    <t>2026-06-06</t>
  </si>
  <si>
    <t>2026-03-28</t>
  </si>
  <si>
    <t>2025-12-25</t>
  </si>
  <si>
    <t>2025-08-20</t>
  </si>
  <si>
    <t>20/02/2026</t>
  </si>
  <si>
    <t>2025-07-27</t>
  </si>
  <si>
    <t>2025-12-08</t>
  </si>
  <si>
    <t>2025.11.15</t>
  </si>
  <si>
    <t>2026-04-17</t>
  </si>
  <si>
    <t>07/10/2025</t>
  </si>
  <si>
    <t>2026-06-13</t>
  </si>
  <si>
    <t>2025-04-19</t>
  </si>
  <si>
    <t>ORD-10105</t>
  </si>
  <si>
    <t>2025-11-19</t>
  </si>
  <si>
    <t>-3</t>
  </si>
  <si>
    <t>2026-03-11</t>
  </si>
  <si>
    <t>2026-02-24</t>
  </si>
  <si>
    <t>18/08/2026</t>
  </si>
  <si>
    <t>2026.08.20</t>
  </si>
  <si>
    <t>PRD-ELE-101_v1</t>
  </si>
  <si>
    <t>2025-10-22</t>
  </si>
  <si>
    <t>2025-09-26</t>
  </si>
  <si>
    <t xml:space="preserve"> 6 pcs </t>
  </si>
  <si>
    <t>2025-07-17</t>
  </si>
  <si>
    <t>21/09/2025</t>
  </si>
  <si>
    <t>2025-02-23</t>
  </si>
  <si>
    <t>PRD-ELE-101_v3</t>
  </si>
  <si>
    <t>2026-03-02</t>
  </si>
  <si>
    <t>2025-01-28</t>
  </si>
  <si>
    <t>2025-09-27</t>
  </si>
  <si>
    <t>2025-06-30</t>
  </si>
  <si>
    <t>25/09/2025</t>
  </si>
  <si>
    <t>2025.02.08</t>
  </si>
  <si>
    <t>2025-10-05</t>
  </si>
  <si>
    <t>2026-02-27</t>
  </si>
  <si>
    <t>18/06/2026</t>
  </si>
  <si>
    <t>INR 8500</t>
  </si>
  <si>
    <t>2025-09-30</t>
  </si>
  <si>
    <t>2025-09-29</t>
  </si>
  <si>
    <t xml:space="preserve"> 16 pcs </t>
  </si>
  <si>
    <t>₹ 14,000</t>
  </si>
  <si>
    <t>2025-02-01</t>
  </si>
  <si>
    <t>2026-07-14</t>
  </si>
  <si>
    <t>PRD-ACC-302_v3</t>
  </si>
  <si>
    <t>2026-06-12</t>
  </si>
  <si>
    <t>01/04/2026</t>
  </si>
  <si>
    <t>2026-07-10</t>
  </si>
  <si>
    <t>2025-06-01</t>
  </si>
  <si>
    <t>PRD-ACC-301_v3</t>
  </si>
  <si>
    <t>2025-07-24</t>
  </si>
  <si>
    <t>2025-07-26</t>
  </si>
  <si>
    <t>19/10/2025</t>
  </si>
  <si>
    <t>2025-10-11</t>
  </si>
  <si>
    <t>2025-07-23</t>
  </si>
  <si>
    <t>2026-03-30</t>
  </si>
  <si>
    <t>2026.02.08</t>
  </si>
  <si>
    <t>18/03/2025</t>
  </si>
  <si>
    <t xml:space="preserve"> 10 pcs </t>
  </si>
  <si>
    <t>2025-01-13</t>
  </si>
  <si>
    <t>2025-05-05</t>
  </si>
  <si>
    <t>15/03/2025</t>
  </si>
  <si>
    <t>2025-09-18</t>
  </si>
  <si>
    <t>2026-07-20</t>
  </si>
  <si>
    <t>2026.02.07</t>
  </si>
  <si>
    <t>INR 2500</t>
  </si>
  <si>
    <t>2025-11-21</t>
  </si>
  <si>
    <t>16/05/2025</t>
  </si>
  <si>
    <t>2026-06-28</t>
  </si>
  <si>
    <t>2025-11-10</t>
  </si>
  <si>
    <t>2025-11-08</t>
  </si>
  <si>
    <t>2025-03-11</t>
  </si>
  <si>
    <t>PRD-ELE-103_v2</t>
  </si>
  <si>
    <t>2025-09-17</t>
  </si>
  <si>
    <t>22/09/2025</t>
  </si>
  <si>
    <t>2026-06-04</t>
  </si>
  <si>
    <t>2025-07-14</t>
  </si>
  <si>
    <t>2025.12.27</t>
  </si>
  <si>
    <t>PRD-ELE-104_v1</t>
  </si>
  <si>
    <t>2026-04-19</t>
  </si>
  <si>
    <t>2026-04-12</t>
  </si>
  <si>
    <t>27/05/2025</t>
  </si>
  <si>
    <t xml:space="preserve"> 13 pcs </t>
  </si>
  <si>
    <t>2025-10-26</t>
  </si>
  <si>
    <t>2026-02-09</t>
  </si>
  <si>
    <t>2025-07-01</t>
  </si>
  <si>
    <t>2025-01-17</t>
  </si>
  <si>
    <t>2025-08-19</t>
  </si>
  <si>
    <t>21/04/2025</t>
  </si>
  <si>
    <t>2026-05-16</t>
  </si>
  <si>
    <t>2026.08.15</t>
  </si>
  <si>
    <t>2025-05-13</t>
  </si>
  <si>
    <t>2026-02-16</t>
  </si>
  <si>
    <t>2025-07-28</t>
  </si>
  <si>
    <t>11/07/2025</t>
  </si>
  <si>
    <t>PRD-ELE-105_v1</t>
  </si>
  <si>
    <t>2025-03-05</t>
  </si>
  <si>
    <t>2025-11-11</t>
  </si>
  <si>
    <t>2026-02-19</t>
  </si>
  <si>
    <t>2025-10-29</t>
  </si>
  <si>
    <t xml:space="preserve"> 11 pcs </t>
  </si>
  <si>
    <t>2026-05-03</t>
  </si>
  <si>
    <t>PRD-ACC-301_v1</t>
  </si>
  <si>
    <t>09/03/2025</t>
  </si>
  <si>
    <t>2026.07.12</t>
  </si>
  <si>
    <t>2025-03-13</t>
  </si>
  <si>
    <t>2025-02-11</t>
  </si>
  <si>
    <t>PRD-ACC-302_v2</t>
  </si>
  <si>
    <t>2025-07-22</t>
  </si>
  <si>
    <t>12/12/2025</t>
  </si>
  <si>
    <t>2025-09-07</t>
  </si>
  <si>
    <t>2025-08-30</t>
  </si>
  <si>
    <t>PRD-ELE-103_v1</t>
  </si>
  <si>
    <t>2025-03-30</t>
  </si>
  <si>
    <t>2026-05-28</t>
  </si>
  <si>
    <t>24/04/2025</t>
  </si>
  <si>
    <t>2025-07-07</t>
  </si>
  <si>
    <t>2025-06-26</t>
  </si>
  <si>
    <t>2025-08-06</t>
  </si>
  <si>
    <t>2025-06-27</t>
  </si>
  <si>
    <t>2026-06-02</t>
  </si>
  <si>
    <t>02/04/2026</t>
  </si>
  <si>
    <t>2025-02-16</t>
  </si>
  <si>
    <t>2026-05-19</t>
  </si>
  <si>
    <t xml:space="preserve"> 4 pcs </t>
  </si>
  <si>
    <t>2025.09.07</t>
  </si>
  <si>
    <t>11/05/2026</t>
  </si>
  <si>
    <t>2026-07-23</t>
  </si>
  <si>
    <t>2025-10-19</t>
  </si>
  <si>
    <t>2026-03-27</t>
  </si>
  <si>
    <t>04/10/2025</t>
  </si>
  <si>
    <t>2025-06-20</t>
  </si>
  <si>
    <t>2025-12-04</t>
  </si>
  <si>
    <t>01/08/2026</t>
  </si>
  <si>
    <t>2025-11-07</t>
  </si>
  <si>
    <t>2025-02-10</t>
  </si>
  <si>
    <t>2026-05-21</t>
  </si>
  <si>
    <t>2026-07-19</t>
  </si>
  <si>
    <t>11/02/2026</t>
  </si>
  <si>
    <t>2026-02-10</t>
  </si>
  <si>
    <t>2025-10-27</t>
  </si>
  <si>
    <t>2026.01.05</t>
  </si>
  <si>
    <t>2025-08-14</t>
  </si>
  <si>
    <t xml:space="preserve"> 7 pcs </t>
  </si>
  <si>
    <t>2026-08-14</t>
  </si>
  <si>
    <t>11/05/2025</t>
  </si>
  <si>
    <t>2026-05-08</t>
  </si>
  <si>
    <t>2025-06-23</t>
  </si>
  <si>
    <t>2026-05-07</t>
  </si>
  <si>
    <t>2025-02-12</t>
  </si>
  <si>
    <t>ORD-10240</t>
  </si>
  <si>
    <t>16/12/2025</t>
  </si>
  <si>
    <t xml:space="preserve"> -16 pcs </t>
  </si>
  <si>
    <t>2025.07.07</t>
  </si>
  <si>
    <t>2026-01-03</t>
  </si>
  <si>
    <t>2026-03-15</t>
  </si>
  <si>
    <t>25/01/2025</t>
  </si>
  <si>
    <t>2025-03-31</t>
  </si>
  <si>
    <t>2026-07-06</t>
  </si>
  <si>
    <t xml:space="preserve"> 12 pcs </t>
  </si>
  <si>
    <t>2026-01-29</t>
  </si>
  <si>
    <t>2025-11-30</t>
  </si>
  <si>
    <t>2025-10-18</t>
  </si>
  <si>
    <t>06/08/2026</t>
  </si>
  <si>
    <t>2025.07.09</t>
  </si>
  <si>
    <t>2025-09-11</t>
  </si>
  <si>
    <t>PRD-ELE-101_v2</t>
  </si>
  <si>
    <t>25/03/2026</t>
  </si>
  <si>
    <t>2025-10-16</t>
  </si>
  <si>
    <t>2025-12-14</t>
  </si>
  <si>
    <t>PRD-ACC-301_v2</t>
  </si>
  <si>
    <t>2026-03-31</t>
  </si>
  <si>
    <t>2026-01-13</t>
  </si>
  <si>
    <t>2025-07-31</t>
  </si>
  <si>
    <t>06/02/2026</t>
  </si>
  <si>
    <t>2025-08-31</t>
  </si>
  <si>
    <t>2026-08-03</t>
  </si>
  <si>
    <t>2025-05-21</t>
  </si>
  <si>
    <t>2025-05-10</t>
  </si>
  <si>
    <t>26/01/2025</t>
  </si>
  <si>
    <t>2026-07-21</t>
  </si>
  <si>
    <t>2026-02-01</t>
  </si>
  <si>
    <t>2026-02-07</t>
  </si>
  <si>
    <t>2025.12.18</t>
  </si>
  <si>
    <t>2025-08-05</t>
  </si>
  <si>
    <t>2025-02-13</t>
  </si>
  <si>
    <t>2025-09-10</t>
  </si>
  <si>
    <t>23/05/2025</t>
  </si>
  <si>
    <t>2025-04-22</t>
  </si>
  <si>
    <t>2025-02-20</t>
  </si>
  <si>
    <t>PRD-FUR-201_v2</t>
  </si>
  <si>
    <t>2026.01.16</t>
  </si>
  <si>
    <t>2026-05-23</t>
  </si>
  <si>
    <t>15/11/2025</t>
  </si>
  <si>
    <t>2025-05-19</t>
  </si>
  <si>
    <t>2026-01-09</t>
  </si>
  <si>
    <t>2026-04-15</t>
  </si>
  <si>
    <t>2025-05-27</t>
  </si>
  <si>
    <t>2025-12-13</t>
  </si>
  <si>
    <t>26/09/2025</t>
  </si>
  <si>
    <t>2025-01-30</t>
  </si>
  <si>
    <t>2025.01.08</t>
  </si>
  <si>
    <t>2025-07-20</t>
  </si>
  <si>
    <t>16/04/2026</t>
  </si>
  <si>
    <t>2025-06-05</t>
  </si>
  <si>
    <t>2025-10-03</t>
  </si>
  <si>
    <t>2025-11-02</t>
  </si>
  <si>
    <t>2025-09-28</t>
  </si>
  <si>
    <t xml:space="preserve"> 18 pcs </t>
  </si>
  <si>
    <t>2025-08-16</t>
  </si>
  <si>
    <t>07/07/2026</t>
  </si>
  <si>
    <t>2025-11-26</t>
  </si>
  <si>
    <t>2025.04.04</t>
  </si>
  <si>
    <t>2026-03-14</t>
  </si>
  <si>
    <t>2026-02-04</t>
  </si>
  <si>
    <t>2026-07-08</t>
  </si>
  <si>
    <t>2026-06-29</t>
  </si>
  <si>
    <t>03/02/2026</t>
  </si>
  <si>
    <t>2025.09.17</t>
  </si>
  <si>
    <t>PRD-ELE-104_v3</t>
  </si>
  <si>
    <t xml:space="preserve"> 17 pcs </t>
  </si>
  <si>
    <t>2025-01-08</t>
  </si>
  <si>
    <t>2025-06-09</t>
  </si>
  <si>
    <t>08/08/2025</t>
  </si>
  <si>
    <t>2025-07-02</t>
  </si>
  <si>
    <t>2025-11-25</t>
  </si>
  <si>
    <t>07/02/2025</t>
  </si>
  <si>
    <t>2026-07-02</t>
  </si>
  <si>
    <t>2026-02-12</t>
  </si>
  <si>
    <t>06/01/2026</t>
  </si>
  <si>
    <t>2026-01-17</t>
  </si>
  <si>
    <t>2026.01.30</t>
  </si>
  <si>
    <t>09/12/2025</t>
  </si>
  <si>
    <t>2025-08-01</t>
  </si>
  <si>
    <t>2026-04-01</t>
  </si>
  <si>
    <t>2025-06-11</t>
  </si>
  <si>
    <t>2026-04-18</t>
  </si>
  <si>
    <t>02/05/2025</t>
  </si>
  <si>
    <t>2025-01-19</t>
  </si>
  <si>
    <t>2026-02-14</t>
  </si>
  <si>
    <t>2026-04-05</t>
  </si>
  <si>
    <t>2025.08.15</t>
  </si>
  <si>
    <t>02/06/2025</t>
  </si>
  <si>
    <t>2025-02-24</t>
  </si>
  <si>
    <t>2026-08-16</t>
  </si>
  <si>
    <t>2025-11-29</t>
  </si>
  <si>
    <t>25/03/2025</t>
  </si>
  <si>
    <t>2026.06.23</t>
  </si>
  <si>
    <t>2026-06-26</t>
  </si>
  <si>
    <t>2025-10-17</t>
  </si>
  <si>
    <t>15/10/2025</t>
  </si>
  <si>
    <t>2026-05-24</t>
  </si>
  <si>
    <t>2025-04-09</t>
  </si>
  <si>
    <t>02/08/2026</t>
  </si>
  <si>
    <t>2025.01.27</t>
  </si>
  <si>
    <t>2026-02-26</t>
  </si>
  <si>
    <t>2025-10-07</t>
  </si>
  <si>
    <t>30/03/2026</t>
  </si>
  <si>
    <t>2025-06-12</t>
  </si>
  <si>
    <t>2025-06-25</t>
  </si>
  <si>
    <t>2025-06-29</t>
  </si>
  <si>
    <t>10/10/2025</t>
  </si>
  <si>
    <t>2025-11-09</t>
  </si>
  <si>
    <t>2026-01-10</t>
  </si>
  <si>
    <t>2025-10-10</t>
  </si>
  <si>
    <t>2025-07-29</t>
  </si>
  <si>
    <t>2025-01-01</t>
  </si>
  <si>
    <t xml:space="preserve"> 5 pcs </t>
  </si>
  <si>
    <t>2025-04-11</t>
  </si>
  <si>
    <t>2025-02-25</t>
  </si>
  <si>
    <t>20/05/2026</t>
  </si>
  <si>
    <t>2025-01-06</t>
  </si>
  <si>
    <t>2025-09-03</t>
  </si>
  <si>
    <t>09/09/2025</t>
  </si>
  <si>
    <t>2025-12-31</t>
  </si>
  <si>
    <t>2025-09-19</t>
  </si>
  <si>
    <t>2025.02.06</t>
  </si>
  <si>
    <t>20/12/2025</t>
  </si>
  <si>
    <t>2025-01-24</t>
  </si>
  <si>
    <t>2025-12-11</t>
  </si>
  <si>
    <t>2026-01-06</t>
  </si>
  <si>
    <t>19/06/2026</t>
  </si>
  <si>
    <t>2025-09-22</t>
  </si>
  <si>
    <t>2025-08-07</t>
  </si>
  <si>
    <t>2025.03.19</t>
  </si>
  <si>
    <t>01/04/2025</t>
  </si>
  <si>
    <t>2026-04-25</t>
  </si>
  <si>
    <t>2026-05-02</t>
  </si>
  <si>
    <t>19/02/2025</t>
  </si>
  <si>
    <t>2025.07.27</t>
  </si>
  <si>
    <t>2025-08-02</t>
  </si>
  <si>
    <t>14/09/2025</t>
  </si>
  <si>
    <t>2025-11-15</t>
  </si>
  <si>
    <t>2025-06-14</t>
  </si>
  <si>
    <t>2025-02-02</t>
  </si>
  <si>
    <t>15/04/2025</t>
  </si>
  <si>
    <t>2026.07.01</t>
  </si>
  <si>
    <t>2025-01-04</t>
  </si>
  <si>
    <t>2026-03-13</t>
  </si>
  <si>
    <t>30/10/2025</t>
  </si>
  <si>
    <t>2025-05-23</t>
  </si>
  <si>
    <t>2026-01-25</t>
  </si>
  <si>
    <t>2026-05-09</t>
  </si>
  <si>
    <t>04/02/2026</t>
  </si>
  <si>
    <t>2025.04.30</t>
  </si>
  <si>
    <t>2026-01-30</t>
  </si>
  <si>
    <t>2026-03-12</t>
  </si>
  <si>
    <t>2025-05-28</t>
  </si>
  <si>
    <t>01/07/2025</t>
  </si>
  <si>
    <t>2025-08-18</t>
  </si>
  <si>
    <t>2026-06-17</t>
  </si>
  <si>
    <t>2026-03-09</t>
  </si>
  <si>
    <t>18/05/2026</t>
  </si>
  <si>
    <t>2026-06-01</t>
  </si>
  <si>
    <t>13/07/2025</t>
  </si>
  <si>
    <t>2025-10-08</t>
  </si>
  <si>
    <t>2025-02-03</t>
  </si>
  <si>
    <t xml:space="preserve"> 8 pcs </t>
  </si>
  <si>
    <t>2025.02.26</t>
  </si>
  <si>
    <t>16/09/2025</t>
  </si>
  <si>
    <t>2026-06-09</t>
  </si>
  <si>
    <t>2026-01-22</t>
  </si>
  <si>
    <t>2025-03-28</t>
  </si>
  <si>
    <t>2025-04-26</t>
  </si>
  <si>
    <t>2026-04-02</t>
  </si>
  <si>
    <t>2025.07.04</t>
  </si>
  <si>
    <t>31/03/2025</t>
  </si>
  <si>
    <t>2026-07-18</t>
  </si>
  <si>
    <t>2025-04-25</t>
  </si>
  <si>
    <t>2025-02-04</t>
  </si>
  <si>
    <t>28/02/2026</t>
  </si>
  <si>
    <t>2025-07-05</t>
  </si>
  <si>
    <t>2026-07-17</t>
  </si>
  <si>
    <t>2026.05.01</t>
  </si>
  <si>
    <t>25/02/2025</t>
  </si>
  <si>
    <t>2025-05-29</t>
  </si>
  <si>
    <t>2025-09-04</t>
  </si>
  <si>
    <t>2025-02-28</t>
  </si>
  <si>
    <t>20/04/2025</t>
  </si>
  <si>
    <t>2025-03-16</t>
  </si>
  <si>
    <t>2026.08.03</t>
  </si>
  <si>
    <t>2025-05-09</t>
  </si>
  <si>
    <t>ORD-10510</t>
  </si>
  <si>
    <t>-9</t>
  </si>
  <si>
    <t>2025-03-29</t>
  </si>
  <si>
    <t>2025-07-11</t>
  </si>
  <si>
    <t>2025-02-26</t>
  </si>
  <si>
    <t>16/06/2026</t>
  </si>
  <si>
    <t>2025.06.17</t>
  </si>
  <si>
    <t>2025-06-17</t>
  </si>
  <si>
    <t>2025-04-05</t>
  </si>
  <si>
    <t>18/05/2025</t>
  </si>
  <si>
    <t>2025-09-01</t>
  </si>
  <si>
    <t>2025-04-15</t>
  </si>
  <si>
    <t>2025-12-06</t>
  </si>
  <si>
    <t>11/11/2025</t>
  </si>
  <si>
    <t>2026-08-22</t>
  </si>
  <si>
    <t>2026-04-29</t>
  </si>
  <si>
    <t>07/06/2025</t>
  </si>
  <si>
    <t>2025-08-28</t>
  </si>
  <si>
    <t>2025-06-08</t>
  </si>
  <si>
    <t>2025.04.11</t>
  </si>
  <si>
    <t>31/07/2026</t>
  </si>
  <si>
    <t>2026-02-17</t>
  </si>
  <si>
    <t>2025-12-22</t>
  </si>
  <si>
    <t>2025-06-04</t>
  </si>
  <si>
    <t>2025-11-16</t>
  </si>
  <si>
    <t>2025-07-12</t>
  </si>
  <si>
    <t>2025-09-02</t>
  </si>
  <si>
    <t>2025.04.29</t>
  </si>
  <si>
    <t>2025-12-09</t>
  </si>
  <si>
    <t>06/10/2025</t>
  </si>
  <si>
    <t>2025-01-27</t>
  </si>
  <si>
    <t>2025-11-20</t>
  </si>
  <si>
    <t>02/09/2025</t>
  </si>
  <si>
    <t>2025-12-10</t>
  </si>
  <si>
    <t>2025.02.17</t>
  </si>
  <si>
    <t>2025-12-29</t>
  </si>
  <si>
    <t>2026-08-23</t>
  </si>
  <si>
    <t>30/07/2026</t>
  </si>
  <si>
    <t>2026-06-05</t>
  </si>
  <si>
    <t>2026-07-15</t>
  </si>
  <si>
    <t>2025-03-19</t>
  </si>
  <si>
    <t>04/07/2026</t>
  </si>
  <si>
    <t>2026.07.18</t>
  </si>
  <si>
    <t>2026-04-14</t>
  </si>
  <si>
    <t>19/04/2026</t>
  </si>
  <si>
    <t>2025-12-30</t>
  </si>
  <si>
    <t>2026-02-15</t>
  </si>
  <si>
    <t>2025-10-25</t>
  </si>
  <si>
    <t>12/05/2026</t>
  </si>
  <si>
    <t>2026.08.01</t>
  </si>
  <si>
    <t>16/07/2026</t>
  </si>
  <si>
    <t>2025-04-27</t>
  </si>
  <si>
    <t>2025-03-15</t>
  </si>
  <si>
    <t>18/01/2025</t>
  </si>
  <si>
    <t>2025-01-20</t>
  </si>
  <si>
    <t>2025-11-17</t>
  </si>
  <si>
    <t>2026-06-21</t>
  </si>
  <si>
    <t>22/08/2025</t>
  </si>
  <si>
    <t>2026-02-18</t>
  </si>
  <si>
    <t>2025-02-27</t>
  </si>
  <si>
    <t>2025-02-18</t>
  </si>
  <si>
    <t>2025.07.01</t>
  </si>
  <si>
    <t>28/12/2025</t>
  </si>
  <si>
    <t>2025-10-24</t>
  </si>
  <si>
    <t>2026-05-01</t>
  </si>
  <si>
    <t>29/01/2026</t>
  </si>
  <si>
    <t>2025-08-15</t>
  </si>
  <si>
    <t>2025-05-22</t>
  </si>
  <si>
    <t>2025.11.08</t>
  </si>
  <si>
    <t>11/06/2026</t>
  </si>
  <si>
    <t>2025-11-03</t>
  </si>
  <si>
    <t>2025-11-18</t>
  </si>
  <si>
    <t>2025-03-23</t>
  </si>
  <si>
    <t>2026-04-24</t>
  </si>
  <si>
    <t>2026-01-02</t>
  </si>
  <si>
    <t>08/03/2026</t>
  </si>
  <si>
    <t>2025-12-24</t>
  </si>
  <si>
    <t>2025-02-19</t>
  </si>
  <si>
    <t>2025-11-24</t>
  </si>
  <si>
    <t>2026-04-13</t>
  </si>
  <si>
    <t>2025-03-27</t>
  </si>
  <si>
    <t>2025.10.20</t>
  </si>
  <si>
    <t>2025-09-15</t>
  </si>
  <si>
    <t>17/08/2025</t>
  </si>
  <si>
    <t>2026-07-04</t>
  </si>
  <si>
    <t>26/01/2026</t>
  </si>
  <si>
    <t>2025.04.24</t>
  </si>
  <si>
    <t>2025-01-31</t>
  </si>
  <si>
    <t>2026-03-18</t>
  </si>
  <si>
    <t>14/06/2026</t>
  </si>
  <si>
    <t>2025-10-28</t>
  </si>
  <si>
    <t>19/01/2026</t>
  </si>
  <si>
    <t>2026-01-04</t>
  </si>
  <si>
    <t>2025-05-26</t>
  </si>
  <si>
    <t>05/10/2025</t>
  </si>
  <si>
    <t>2026-08-12</t>
  </si>
  <si>
    <t>2025-09-23</t>
  </si>
  <si>
    <t>2025.10.14</t>
  </si>
  <si>
    <t>11/08/2026</t>
  </si>
  <si>
    <t>2026-03-04</t>
  </si>
  <si>
    <t>2026-05-29</t>
  </si>
  <si>
    <t>22/03/2026</t>
  </si>
  <si>
    <t>2025.01.28</t>
  </si>
  <si>
    <t>07/09/2025</t>
  </si>
  <si>
    <t>2026-05-31</t>
  </si>
  <si>
    <t>16/03/2025</t>
  </si>
  <si>
    <t>2026-03-29</t>
  </si>
  <si>
    <t>2025-02-07</t>
  </si>
  <si>
    <t>2026.08.17</t>
  </si>
  <si>
    <t>02/12/2025</t>
  </si>
  <si>
    <t>2025-04-29</t>
  </si>
  <si>
    <t>2025-07-21</t>
  </si>
  <si>
    <t>15/01/2025</t>
  </si>
  <si>
    <t>2025-02-22</t>
  </si>
  <si>
    <t>2025.04.14</t>
  </si>
  <si>
    <t>2026-05-26</t>
  </si>
  <si>
    <t>04/02/2025</t>
  </si>
  <si>
    <t>2026-01-28</t>
  </si>
  <si>
    <t>30/06/2025</t>
  </si>
  <si>
    <t>2026.07.10</t>
  </si>
  <si>
    <t>2025-05-18</t>
  </si>
  <si>
    <t>2025-10-21</t>
  </si>
  <si>
    <t>2025-07-04</t>
  </si>
  <si>
    <t>30/06/2026</t>
  </si>
  <si>
    <t>2025-04-24</t>
  </si>
  <si>
    <t>2025-07-03</t>
  </si>
  <si>
    <t>09/10/2025</t>
  </si>
  <si>
    <t>2025-12-02</t>
  </si>
  <si>
    <t>2025-05-08</t>
  </si>
  <si>
    <t>2026-06-10</t>
  </si>
  <si>
    <t>29/03/2025</t>
  </si>
  <si>
    <t>2026-01-07</t>
  </si>
  <si>
    <t>2026.07.17</t>
  </si>
  <si>
    <t>09/03/2026</t>
  </si>
  <si>
    <t>2025-06-13</t>
  </si>
  <si>
    <t>24/05/2025</t>
  </si>
  <si>
    <t>2025-03-22</t>
  </si>
  <si>
    <t>2025.11.30</t>
  </si>
  <si>
    <t>01/07/2026</t>
  </si>
  <si>
    <t>2025-08-29</t>
  </si>
  <si>
    <t>2025-04-02</t>
  </si>
  <si>
    <t>2026-08-01</t>
  </si>
  <si>
    <t>2026-01-20</t>
  </si>
  <si>
    <t>15/12/2025</t>
  </si>
  <si>
    <t>12/08/2026</t>
  </si>
  <si>
    <t>2026-01-01</t>
  </si>
  <si>
    <t>2025-08-24</t>
  </si>
  <si>
    <t>2025-07-09</t>
  </si>
  <si>
    <t>2026-07-30</t>
  </si>
  <si>
    <t>24/10/2025</t>
  </si>
  <si>
    <t>2025-05-24</t>
  </si>
  <si>
    <t>2026-06-25</t>
  </si>
  <si>
    <t>2025-01-23</t>
  </si>
  <si>
    <t>2025-12-28</t>
  </si>
  <si>
    <t>ORD-10780</t>
  </si>
  <si>
    <t>22/07/2026</t>
  </si>
  <si>
    <t>-19</t>
  </si>
  <si>
    <t>2025.10.02</t>
  </si>
  <si>
    <t>20/09/2025</t>
  </si>
  <si>
    <t>2025-06-07</t>
  </si>
  <si>
    <t>2025-05-11</t>
  </si>
  <si>
    <t>02/01/2025</t>
  </si>
  <si>
    <t>05/01/2025</t>
  </si>
  <si>
    <t>2026-04-16</t>
  </si>
  <si>
    <t>2026-08-19</t>
  </si>
  <si>
    <t>2025-12-27</t>
  </si>
  <si>
    <t>2026.04.16</t>
  </si>
  <si>
    <t>23/01/2025</t>
  </si>
  <si>
    <t>2026-03-10</t>
  </si>
  <si>
    <t>2025-05-31</t>
  </si>
  <si>
    <t>2025-05-15</t>
  </si>
  <si>
    <t>2025-04-23</t>
  </si>
  <si>
    <t>06/02/2025</t>
  </si>
  <si>
    <t>2025-06-18</t>
  </si>
  <si>
    <t>2025-04-20</t>
  </si>
  <si>
    <t>2025.01.12</t>
  </si>
  <si>
    <t>2025-09-14</t>
  </si>
  <si>
    <t>10/03/2026</t>
  </si>
  <si>
    <t>2026-08-04</t>
  </si>
  <si>
    <t>2025-04-12</t>
  </si>
  <si>
    <t>2026-07-16</t>
  </si>
  <si>
    <t>2025-03-25</t>
  </si>
  <si>
    <t>03/02/2025</t>
  </si>
  <si>
    <t>2026-04-30</t>
  </si>
  <si>
    <t>2026.07.11</t>
  </si>
  <si>
    <t>2025-09-25</t>
  </si>
  <si>
    <t>06/09/2025</t>
  </si>
  <si>
    <t>2025-03-04</t>
  </si>
  <si>
    <t>09/05/2025</t>
  </si>
  <si>
    <t>2025-06-03</t>
  </si>
  <si>
    <t>2025-01-03</t>
  </si>
  <si>
    <t>2025-08-11</t>
  </si>
  <si>
    <t>2026.05.20</t>
  </si>
  <si>
    <t>2026-08-07</t>
  </si>
  <si>
    <t>2025-11-22</t>
  </si>
  <si>
    <t>01/03/2026</t>
  </si>
  <si>
    <t>2026-01-14</t>
  </si>
  <si>
    <t>2025-04-13</t>
  </si>
  <si>
    <t>13/01/2026</t>
  </si>
  <si>
    <t>2026-03-23</t>
  </si>
  <si>
    <t>2025-07-25</t>
  </si>
  <si>
    <t>13/11/2025</t>
  </si>
  <si>
    <t>2026-07-11</t>
  </si>
  <si>
    <t>2026.05.10</t>
  </si>
  <si>
    <t>06/06/2025</t>
  </si>
  <si>
    <t>2025-09-12</t>
  </si>
  <si>
    <t>05/09/2025</t>
  </si>
  <si>
    <t>2025-01-21</t>
  </si>
  <si>
    <t>2025.02.20</t>
  </si>
  <si>
    <t>19/05/2026</t>
  </si>
  <si>
    <t>2026-05-30</t>
  </si>
  <si>
    <t>2025-02-15</t>
  </si>
  <si>
    <t>2025-03-26</t>
  </si>
  <si>
    <t>14/08/2025</t>
  </si>
  <si>
    <t>2026.06.08</t>
  </si>
  <si>
    <t>2025-12-19</t>
  </si>
  <si>
    <t>30/01/2026</t>
  </si>
  <si>
    <t>2026-07-13</t>
  </si>
  <si>
    <t>2025-12-07</t>
  </si>
  <si>
    <t>2025-08-04</t>
  </si>
  <si>
    <t>14/10/2025</t>
  </si>
  <si>
    <t>2025.11.20</t>
  </si>
  <si>
    <t>29/06/2025</t>
  </si>
  <si>
    <t>2025-09-08</t>
  </si>
  <si>
    <t>19/03/2026</t>
  </si>
  <si>
    <t>2026.02.09</t>
  </si>
  <si>
    <t>02/10/2025</t>
  </si>
  <si>
    <t>2026-05-06</t>
  </si>
  <si>
    <t>22/05/2025</t>
  </si>
  <si>
    <t>2025-02-21</t>
  </si>
  <si>
    <t>2025.08.13</t>
  </si>
  <si>
    <t>29/11/2025</t>
  </si>
  <si>
    <t>26/07/2026</t>
  </si>
  <si>
    <t>2026-04-03</t>
  </si>
  <si>
    <t>20/06/2026</t>
  </si>
  <si>
    <t>2025.10.08</t>
  </si>
  <si>
    <t>2025-10-30</t>
  </si>
  <si>
    <t>12/04/2026</t>
  </si>
  <si>
    <t>2026-03-07</t>
  </si>
  <si>
    <t>2025-02-08</t>
  </si>
  <si>
    <t>22/08/2026</t>
  </si>
  <si>
    <t>2026-06-20</t>
  </si>
  <si>
    <t>2026.03.22</t>
  </si>
  <si>
    <t>15/09/2025</t>
  </si>
  <si>
    <t>2026.08.16</t>
  </si>
  <si>
    <t>15/07/2026</t>
  </si>
  <si>
    <t>2025-06-19</t>
  </si>
  <si>
    <t>ORD-10990</t>
  </si>
  <si>
    <t>05/02/2025</t>
  </si>
  <si>
    <t>09/05/2026</t>
  </si>
  <si>
    <t>2025-11-01</t>
  </si>
  <si>
    <t>29/05/2025</t>
  </si>
  <si>
    <t>2025-12-05</t>
  </si>
  <si>
    <t>11/03/2025</t>
  </si>
  <si>
    <t>17/03/2026</t>
  </si>
  <si>
    <t>10/03/2025</t>
  </si>
  <si>
    <t>2025-07-13</t>
  </si>
  <si>
    <t>2025-08-08</t>
  </si>
  <si>
    <t>2025.03.08</t>
  </si>
  <si>
    <t>27/02/2026</t>
  </si>
  <si>
    <t>2025-01-15</t>
  </si>
  <si>
    <t>2026-04-28</t>
  </si>
  <si>
    <t>27/06/2026</t>
  </si>
  <si>
    <t>2025-12-20</t>
  </si>
  <si>
    <t>2026.05.06</t>
  </si>
  <si>
    <t>2026-07-26</t>
  </si>
  <si>
    <t>2025-05-17</t>
  </si>
  <si>
    <t>2025-08-27</t>
  </si>
  <si>
    <t>18/04/2026</t>
  </si>
  <si>
    <t>2026.07.29</t>
  </si>
  <si>
    <t>2025-07-10</t>
  </si>
  <si>
    <t>10/01/2025</t>
  </si>
  <si>
    <t>2026-07-24</t>
  </si>
  <si>
    <t>30/09/2025</t>
  </si>
  <si>
    <t>2025-11-06</t>
  </si>
  <si>
    <t>2025.09.23</t>
  </si>
  <si>
    <t>2026-07-07</t>
  </si>
  <si>
    <t>2025-06-28</t>
  </si>
  <si>
    <t>06/06/2026</t>
  </si>
  <si>
    <t>2025-12-01</t>
  </si>
  <si>
    <t>2026.01.19</t>
  </si>
  <si>
    <t>2025-05-25</t>
  </si>
  <si>
    <t>31/05/2025</t>
  </si>
  <si>
    <t>09/08/2026</t>
  </si>
  <si>
    <t>2026-02-25</t>
  </si>
  <si>
    <t>2026.06.18</t>
  </si>
  <si>
    <t>2025-03-09</t>
  </si>
  <si>
    <t>2026-05-18</t>
  </si>
  <si>
    <t>20/05/2025</t>
  </si>
  <si>
    <t>2026.01.24</t>
  </si>
  <si>
    <t>2025-04-10</t>
  </si>
  <si>
    <t>2026-02-05</t>
  </si>
  <si>
    <t>04/11/2025</t>
  </si>
  <si>
    <t>2026-01-24</t>
  </si>
  <si>
    <t>2026.05.09</t>
  </si>
  <si>
    <t>23/06/2025</t>
  </si>
  <si>
    <t>2025-08-09</t>
  </si>
  <si>
    <t>2026-07-09</t>
  </si>
  <si>
    <t>29/07/2025</t>
  </si>
  <si>
    <t>2026-08-21</t>
  </si>
  <si>
    <t>16/02/2025</t>
  </si>
  <si>
    <t>2025.05.13</t>
  </si>
  <si>
    <t>18/04/2025</t>
  </si>
  <si>
    <t>2026-06-11</t>
  </si>
  <si>
    <t>2025-03-14</t>
  </si>
  <si>
    <t>2026-02-03</t>
  </si>
  <si>
    <t>21/10/2025</t>
  </si>
  <si>
    <t>2026.03.08</t>
  </si>
  <si>
    <t>05/06/2026</t>
  </si>
  <si>
    <t>13/03/2026</t>
  </si>
  <si>
    <t>2025.10.11</t>
  </si>
  <si>
    <t>2026-02-08</t>
  </si>
  <si>
    <t>2026-03-08</t>
  </si>
  <si>
    <t>2025-10-02</t>
  </si>
  <si>
    <t>18/01/2026</t>
  </si>
  <si>
    <t>2026.03.11</t>
  </si>
  <si>
    <t>2025-10-20</t>
  </si>
  <si>
    <t>2025-04-28</t>
  </si>
  <si>
    <t>10/07/2026</t>
  </si>
  <si>
    <t>01/12/2025</t>
  </si>
  <si>
    <t>2026.02.22</t>
  </si>
  <si>
    <t>17/06/2026</t>
  </si>
  <si>
    <t>23/08/2026</t>
  </si>
  <si>
    <t>2025-04-30</t>
  </si>
  <si>
    <t>2025-07-18</t>
  </si>
  <si>
    <t>2026-07-01</t>
  </si>
  <si>
    <t>11/03/2026</t>
  </si>
  <si>
    <t>2025-10-09</t>
  </si>
  <si>
    <t>2025.05.07</t>
  </si>
  <si>
    <t>accessories</t>
  </si>
  <si>
    <t>Profit Margin%</t>
  </si>
  <si>
    <t>Sum of Units_Sold</t>
  </si>
  <si>
    <t>Row Labels</t>
  </si>
  <si>
    <t>Jan</t>
  </si>
  <si>
    <t>Feb</t>
  </si>
  <si>
    <t>Mar</t>
  </si>
  <si>
    <t>Apr</t>
  </si>
  <si>
    <t>Grand Total</t>
  </si>
  <si>
    <t>May</t>
  </si>
  <si>
    <t>Jun</t>
  </si>
  <si>
    <t>Jul</t>
  </si>
  <si>
    <t>Aug</t>
  </si>
  <si>
    <t>Sep</t>
  </si>
  <si>
    <t>Oct</t>
  </si>
  <si>
    <t>Nov</t>
  </si>
  <si>
    <t>Dec</t>
  </si>
  <si>
    <t>Order_Date</t>
  </si>
  <si>
    <t>Salesperson</t>
  </si>
  <si>
    <t>Region</t>
  </si>
  <si>
    <t>Units_Sold</t>
  </si>
  <si>
    <t>Unit_Price</t>
  </si>
  <si>
    <t>Payment_Status</t>
  </si>
  <si>
    <t>Sum of Total_Sales</t>
  </si>
  <si>
    <t>Sum of Profit</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</si>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</sst>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
    <numFmt numFmtId="166" formatCode="&quot;$&quot;#,##0.0,,&quot;M&quot;"/>
  </numFmts>
  <fonts count="4" x14ac:knownFonts="1">
    <font>
      <sz val="11"/>
      <color theme="1"/>
      <name val="Aptos Narrow"/>
      <family val="2"/>
      <scheme val="minor"/>
    </font>
    <font>
      <sz val="11"/>
      <color theme="1"/>
      <name val="Aptos Narrow"/>
      <family val="2"/>
      <scheme val="minor"/>
    </font>
    <font>
      <b/>
      <sz val="11"/>
      <color rgb="FFFFFFFF"/>
      <name val="Calibri"/>
      <family val="2"/>
    </font>
    <font>
      <sz val="8"/>
      <name val="Aptos Narrow"/>
      <family val="2"/>
      <scheme val="minor"/>
    </font>
  </fonts>
  <fills count="6">
    <fill>
      <patternFill patternType="none"/>
    </fill>
    <fill>
      <patternFill patternType="gray125"/>
    </fill>
    <fill>
      <patternFill patternType="solid">
        <fgColor rgb="FF1F4E79"/>
        <bgColor rgb="FF1F4E79"/>
      </patternFill>
    </fill>
    <fill>
      <patternFill patternType="solid">
        <fgColor rgb="FFF9FAFB"/>
        <bgColor rgb="FFF9FAFB"/>
      </patternFill>
    </fill>
    <fill>
      <patternFill patternType="solid">
        <fgColor rgb="FF2E75B6"/>
        <bgColor rgb="FF2E75B6"/>
      </patternFill>
    </fill>
    <fill>
      <patternFill patternType="solid">
        <fgColor theme="4" tint="0.79998168889431442"/>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9" fontId="0" fillId="0" borderId="0" xfId="1" applyFont="1"/>
    <xf numFmtId="0" fontId="0" fillId="0" borderId="2" xfId="0" applyBorder="1"/>
    <xf numFmtId="0" fontId="2" fillId="2" borderId="0" xfId="0" applyFont="1" applyFill="1" applyAlignment="1">
      <alignment horizontal="center" vertical="center"/>
    </xf>
    <xf numFmtId="0" fontId="0" fillId="3" borderId="1" xfId="0" applyFill="1" applyBorder="1"/>
    <xf numFmtId="0" fontId="0" fillId="0" borderId="1" xfId="0" applyBorder="1"/>
    <xf numFmtId="0" fontId="2" fillId="4" borderId="0" xfId="0" applyFont="1" applyFill="1"/>
    <xf numFmtId="164" fontId="0" fillId="0" borderId="0" xfId="0" applyNumberFormat="1"/>
    <xf numFmtId="10" fontId="0" fillId="0" borderId="0" xfId="1" applyNumberFormat="1" applyFont="1"/>
    <xf numFmtId="0" fontId="0" fillId="0" borderId="0" xfId="0" applyAlignment="1">
      <alignment horizontal="left"/>
    </xf>
    <xf numFmtId="166" fontId="0" fillId="0" borderId="0" xfId="0" applyNumberFormat="1"/>
    <xf numFmtId="0" fontId="0" fillId="0" borderId="0" xfId="0" pivotButton="1"/>
    <xf numFmtId="0" fontId="0" fillId="5" borderId="0" xfId="0" applyFill="1"/>
    <xf numFmtId="0" fontId="0" fillId="0" borderId="0" xfId="0" applyNumberFormat="1"/>
  </cellXfs>
  <cellStyles count="2">
    <cellStyle name="Normal" xfId="0" builtinId="0"/>
    <cellStyle name="Percent" xfId="1" builtinId="5"/>
  </cellStyles>
  <dxfs count="167">
    <dxf>
      <numFmt numFmtId="0" formatCode="General"/>
    </dxf>
    <dxf>
      <numFmt numFmtId="0" formatCode="General"/>
    </dxf>
    <dxf>
      <numFmt numFmtId="0" formatCode="General"/>
    </dxf>
    <dxf>
      <numFmt numFmtId="166" formatCode="&quot;$&quot;#,##0.0,,&quot;M&quot;"/>
    </dxf>
    <dxf>
      <numFmt numFmtId="164" formatCode="&quot;$&quot;#,##0.00"/>
    </dxf>
    <dxf>
      <numFmt numFmtId="164" formatCode="&quot;$&quot;#,##0.00"/>
    </dxf>
    <dxf>
      <numFmt numFmtId="166" formatCode="&quot;$&quot;#,##0.0,,&quot;M&quot;"/>
    </dxf>
    <dxf>
      <numFmt numFmtId="0" formatCode="General"/>
    </dxf>
    <dxf>
      <numFmt numFmtId="0" formatCode="General"/>
    </dxf>
    <dxf>
      <numFmt numFmtId="0" formatCode="General"/>
    </dxf>
    <dxf>
      <numFmt numFmtId="166" formatCode="&quot;$&quot;#,##0.0,,&quot;M&quot;"/>
    </dxf>
    <dxf>
      <numFmt numFmtId="166" formatCode="&quot;$&quot;#,##0.0,,&quot;M&quot;"/>
    </dxf>
    <dxf>
      <numFmt numFmtId="166" formatCode="&quot;$&quot;#,##0.0,,&quot;M&quot;"/>
    </dxf>
    <dxf>
      <numFmt numFmtId="166" formatCode="&quot;$&quot;#,##0.0,,&quot;M&quot;"/>
    </dxf>
    <dxf>
      <numFmt numFmtId="0" formatCode="General"/>
    </dxf>
    <dxf>
      <numFmt numFmtId="0" formatCode="General"/>
    </dxf>
    <dxf>
      <numFmt numFmtId="0" formatCode="General"/>
    </dxf>
    <dxf>
      <numFmt numFmtId="166" formatCode="&quot;$&quot;#,##0.0,,&quot;M&quot;"/>
    </dxf>
    <dxf>
      <numFmt numFmtId="164" formatCode="&quot;$&quot;#,##0.00"/>
    </dxf>
    <dxf>
      <numFmt numFmtId="164" formatCode="&quot;$&quot;#,##0.00"/>
    </dxf>
    <dxf>
      <numFmt numFmtId="166" formatCode="&quot;$&quot;#,##0.0,,&quot;M&quot;"/>
    </dxf>
    <dxf>
      <numFmt numFmtId="0" formatCode="General"/>
    </dxf>
    <dxf>
      <numFmt numFmtId="0" formatCode="General"/>
    </dxf>
    <dxf>
      <numFmt numFmtId="0" formatCode="General"/>
    </dxf>
    <dxf>
      <numFmt numFmtId="166" formatCode="&quot;$&quot;#,##0.0,,&quot;M&quot;"/>
    </dxf>
    <dxf>
      <numFmt numFmtId="166" formatCode="&quot;$&quot;#,##0.0,,&quot;M&quot;"/>
    </dxf>
    <dxf>
      <numFmt numFmtId="166" formatCode="&quot;$&quot;#,##0.0,,&quot;M&quot;"/>
    </dxf>
    <dxf>
      <numFmt numFmtId="166" formatCode="&quot;$&quot;#,##0.0,,&quot;M&quot;"/>
    </dxf>
    <dxf>
      <numFmt numFmtId="0" formatCode="General"/>
    </dxf>
    <dxf>
      <numFmt numFmtId="0" formatCode="General"/>
    </dxf>
    <dxf>
      <numFmt numFmtId="0" formatCode="General"/>
    </dxf>
    <dxf>
      <numFmt numFmtId="166" formatCode="&quot;$&quot;#,##0.0,,&quot;M&quot;"/>
    </dxf>
    <dxf>
      <numFmt numFmtId="164" formatCode="&quot;$&quot;#,##0.00"/>
    </dxf>
    <dxf>
      <numFmt numFmtId="164" formatCode="&quot;$&quot;#,##0.00"/>
    </dxf>
    <dxf>
      <numFmt numFmtId="166" formatCode="&quot;$&quot;#,##0.0,,&quot;M&quot;"/>
    </dxf>
    <dxf>
      <numFmt numFmtId="0" formatCode="General"/>
    </dxf>
    <dxf>
      <numFmt numFmtId="0" formatCode="General"/>
    </dxf>
    <dxf>
      <numFmt numFmtId="0" formatCode="General"/>
    </dxf>
    <dxf>
      <numFmt numFmtId="166" formatCode="&quot;$&quot;#,##0.0,,&quot;M&quot;"/>
    </dxf>
    <dxf>
      <numFmt numFmtId="166" formatCode="&quot;$&quot;#,##0.0,,&quot;M&quot;"/>
    </dxf>
    <dxf>
      <numFmt numFmtId="166" formatCode="&quot;$&quot;#,##0.0,,&quot;M&quot;"/>
    </dxf>
    <dxf>
      <numFmt numFmtId="166" formatCode="&quot;$&quot;#,##0.0,,&quot;M&quot;"/>
    </dxf>
    <dxf>
      <numFmt numFmtId="0" formatCode="General"/>
    </dxf>
    <dxf>
      <numFmt numFmtId="0" formatCode="General"/>
    </dxf>
    <dxf>
      <numFmt numFmtId="0" formatCode="General"/>
    </dxf>
    <dxf>
      <numFmt numFmtId="166" formatCode="&quot;$&quot;#,##0.0,,&quot;M&quot;"/>
    </dxf>
    <dxf>
      <numFmt numFmtId="164" formatCode="&quot;$&quot;#,##0.00"/>
    </dxf>
    <dxf>
      <numFmt numFmtId="164" formatCode="&quot;$&quot;#,##0.00"/>
    </dxf>
    <dxf>
      <numFmt numFmtId="166" formatCode="&quot;$&quot;#,##0.0,,&quot;M&quot;"/>
    </dxf>
    <dxf>
      <numFmt numFmtId="0" formatCode="General"/>
    </dxf>
    <dxf>
      <numFmt numFmtId="0" formatCode="General"/>
    </dxf>
    <dxf>
      <numFmt numFmtId="0" formatCode="General"/>
    </dxf>
    <dxf>
      <numFmt numFmtId="166" formatCode="&quot;$&quot;#,##0.0,,&quot;M&quot;"/>
    </dxf>
    <dxf>
      <numFmt numFmtId="166" formatCode="&quot;$&quot;#,##0.0,,&quot;M&quot;"/>
    </dxf>
    <dxf>
      <numFmt numFmtId="166" formatCode="&quot;$&quot;#,##0.0,,&quot;M&quot;"/>
    </dxf>
    <dxf>
      <numFmt numFmtId="166" formatCode="&quot;$&quot;#,##0.0,,&quot;M&quot;"/>
    </dxf>
    <dxf>
      <numFmt numFmtId="0" formatCode="General"/>
    </dxf>
    <dxf>
      <numFmt numFmtId="0" formatCode="General"/>
    </dxf>
    <dxf>
      <numFmt numFmtId="0" formatCode="General"/>
    </dxf>
    <dxf>
      <numFmt numFmtId="166" formatCode="&quot;$&quot;#,##0.0,,&quot;M&quot;"/>
    </dxf>
    <dxf>
      <numFmt numFmtId="164" formatCode="&quot;$&quot;#,##0.00"/>
    </dxf>
    <dxf>
      <numFmt numFmtId="164" formatCode="&quot;$&quot;#,##0.00"/>
    </dxf>
    <dxf>
      <numFmt numFmtId="166" formatCode="&quot;$&quot;#,##0.0,,&quot;M&quot;"/>
    </dxf>
    <dxf>
      <numFmt numFmtId="0" formatCode="General"/>
    </dxf>
    <dxf>
      <numFmt numFmtId="0" formatCode="General"/>
    </dxf>
    <dxf>
      <numFmt numFmtId="0" formatCode="General"/>
    </dxf>
    <dxf>
      <numFmt numFmtId="166" formatCode="&quot;$&quot;#,##0.0,,&quot;M&quot;"/>
    </dxf>
    <dxf>
      <numFmt numFmtId="166" formatCode="&quot;$&quot;#,##0.0,,&quot;M&quot;"/>
    </dxf>
    <dxf>
      <numFmt numFmtId="166" formatCode="&quot;$&quot;#,##0.0,,&quot;M&quot;"/>
    </dxf>
    <dxf>
      <numFmt numFmtId="166" formatCode="&quot;$&quot;#,##0.0,,&quot;M&quot;"/>
    </dxf>
    <dxf>
      <numFmt numFmtId="0" formatCode="General"/>
    </dxf>
    <dxf>
      <numFmt numFmtId="0" formatCode="General"/>
    </dxf>
    <dxf>
      <numFmt numFmtId="0" formatCode="General"/>
    </dxf>
    <dxf>
      <numFmt numFmtId="166" formatCode="&quot;$&quot;#,##0.0,,&quot;M&quot;"/>
    </dxf>
    <dxf>
      <numFmt numFmtId="164" formatCode="&quot;$&quot;#,##0.00"/>
    </dxf>
    <dxf>
      <numFmt numFmtId="164" formatCode="&quot;$&quot;#,##0.00"/>
    </dxf>
    <dxf>
      <numFmt numFmtId="166" formatCode="&quot;$&quot;#,##0.0,,&quot;M&quot;"/>
    </dxf>
    <dxf>
      <numFmt numFmtId="0" formatCode="General"/>
    </dxf>
    <dxf>
      <numFmt numFmtId="0" formatCode="General"/>
    </dxf>
    <dxf>
      <numFmt numFmtId="0" formatCode="General"/>
    </dxf>
    <dxf>
      <numFmt numFmtId="166" formatCode="&quot;$&quot;#,##0.0,,&quot;M&quot;"/>
    </dxf>
    <dxf>
      <numFmt numFmtId="166" formatCode="&quot;$&quot;#,##0.0,,&quot;M&quot;"/>
    </dxf>
    <dxf>
      <numFmt numFmtId="166" formatCode="&quot;$&quot;#,##0.0,,&quot;M&quot;"/>
    </dxf>
    <dxf>
      <numFmt numFmtId="166" formatCode="&quot;$&quot;#,##0.0,,&quot;M&quot;"/>
    </dxf>
    <dxf>
      <numFmt numFmtId="0" formatCode="General"/>
    </dxf>
    <dxf>
      <numFmt numFmtId="0" formatCode="General"/>
    </dxf>
    <dxf>
      <numFmt numFmtId="0" formatCode="General"/>
    </dxf>
    <dxf>
      <numFmt numFmtId="166" formatCode="&quot;$&quot;#,##0.0,,&quot;M&quot;"/>
    </dxf>
    <dxf>
      <numFmt numFmtId="164" formatCode="&quot;$&quot;#,##0.00"/>
    </dxf>
    <dxf>
      <numFmt numFmtId="164" formatCode="&quot;$&quot;#,##0.00"/>
    </dxf>
    <dxf>
      <numFmt numFmtId="166" formatCode="&quot;$&quot;#,##0.0,,&quot;M&quot;"/>
    </dxf>
    <dxf>
      <numFmt numFmtId="0" formatCode="General"/>
    </dxf>
    <dxf>
      <numFmt numFmtId="0" formatCode="General"/>
    </dxf>
    <dxf>
      <numFmt numFmtId="0" formatCode="General"/>
    </dxf>
    <dxf>
      <numFmt numFmtId="166" formatCode="&quot;$&quot;#,##0.0,,&quot;M&quot;"/>
    </dxf>
    <dxf>
      <numFmt numFmtId="166" formatCode="&quot;$&quot;#,##0.0,,&quot;M&quot;"/>
    </dxf>
    <dxf>
      <numFmt numFmtId="166" formatCode="&quot;$&quot;#,##0.0,,&quot;M&quot;"/>
    </dxf>
    <dxf>
      <numFmt numFmtId="166" formatCode="&quot;$&quot;#,##0.0,,&quot;M&quot;"/>
    </dxf>
    <dxf>
      <numFmt numFmtId="0" formatCode="General"/>
    </dxf>
    <dxf>
      <numFmt numFmtId="0" formatCode="General"/>
    </dxf>
    <dxf>
      <numFmt numFmtId="0" formatCode="General"/>
    </dxf>
    <dxf>
      <numFmt numFmtId="166" formatCode="&quot;$&quot;#,##0.0,,&quot;M&quot;"/>
    </dxf>
    <dxf>
      <numFmt numFmtId="164" formatCode="&quot;$&quot;#,##0.00"/>
    </dxf>
    <dxf>
      <numFmt numFmtId="164" formatCode="&quot;$&quot;#,##0.00"/>
    </dxf>
    <dxf>
      <numFmt numFmtId="166" formatCode="&quot;$&quot;#,##0.0,,&quot;M&quot;"/>
    </dxf>
    <dxf>
      <numFmt numFmtId="0" formatCode="General"/>
    </dxf>
    <dxf>
      <numFmt numFmtId="0" formatCode="General"/>
    </dxf>
    <dxf>
      <numFmt numFmtId="0" formatCode="General"/>
    </dxf>
    <dxf>
      <numFmt numFmtId="166" formatCode="&quot;$&quot;#,##0.0,,&quot;M&quot;"/>
    </dxf>
    <dxf>
      <numFmt numFmtId="166" formatCode="&quot;$&quot;#,##0.0,,&quot;M&quot;"/>
    </dxf>
    <dxf>
      <numFmt numFmtId="166" formatCode="&quot;$&quot;#,##0.0,,&quot;M&quot;"/>
    </dxf>
    <dxf>
      <numFmt numFmtId="166" formatCode="&quot;$&quot;#,##0.0,,&quot;M&quot;"/>
    </dxf>
    <dxf>
      <numFmt numFmtId="166" formatCode="&quot;$&quot;#,##0.0,,&quot;M&quot;"/>
    </dxf>
    <dxf>
      <numFmt numFmtId="166" formatCode="&quot;$&quot;#,##0.0,,&quot;M&quot;"/>
    </dxf>
    <dxf>
      <numFmt numFmtId="166" formatCode="&quot;$&quot;#,##0.0,,&quot;M&quot;"/>
    </dxf>
    <dxf>
      <numFmt numFmtId="164" formatCode="&quot;$&quot;#,##0.00"/>
    </dxf>
    <dxf>
      <numFmt numFmtId="164" formatCode="&quot;$&quot;#,##0.00"/>
    </dxf>
    <dxf>
      <numFmt numFmtId="166" formatCode="&quot;$&quot;#,##0.0,,&quot;M&quot;"/>
    </dxf>
    <dxf>
      <numFmt numFmtId="166" formatCode="&quot;$&quot;#,##0.0,,&quot;M&quot;"/>
    </dxf>
    <dxf>
      <numFmt numFmtId="166" formatCode="&quot;$&quot;#,##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diagonalUp="0" diagonalDown="0">
        <left style="thin">
          <color rgb="FFD9D9D9"/>
        </left>
        <right style="thin">
          <color rgb="FFD9D9D9"/>
        </right>
        <top style="thin">
          <color rgb="FFD9D9D9"/>
        </top>
        <bottom style="thin">
          <color rgb="FFD9D9D9"/>
        </bottom>
        <vertical/>
        <horizontal/>
      </border>
    </dxf>
    <dxf>
      <border outline="0">
        <bottom style="thin">
          <color rgb="FFD9D9D9"/>
        </bottom>
      </border>
    </dxf>
    <dxf>
      <font>
        <b/>
        <i val="0"/>
        <strike val="0"/>
        <condense val="0"/>
        <extend val="0"/>
        <outline val="0"/>
        <shadow val="0"/>
        <u val="none"/>
        <vertAlign val="baseline"/>
        <sz val="11"/>
        <color rgb="FFFFFFFF"/>
        <name val="Calibri"/>
        <scheme val="none"/>
      </font>
      <fill>
        <patternFill patternType="solid">
          <fgColor rgb="FF1F4E79"/>
          <bgColor rgb="FF1F4E79"/>
        </patternFill>
      </fill>
      <alignment horizontal="center"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A211549E-C9B5-4AC1-AD0E-39DE47091B95}">
      <tableStyleElement type="wholeTable" dxfId="166"/>
      <tableStyleElement type="headerRow" dxfId="165"/>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[AuraTech_Excel_Project_1200.xlsx]Pivot_Table!PivotTable18</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and Profit by Month</a:t>
            </a:r>
            <a:endParaRPr lang="en-US" b="1">
              <a:solidFill>
                <a:schemeClr val="bg1"/>
              </a:solidFill>
            </a:endParaRPr>
          </a:p>
        </c:rich>
      </c:tx>
      <c:layout>
        <c:manualLayout>
          <c:xMode val="edge"/>
          <c:yMode val="edge"/>
          <c:x val="2.843044619422572E-2"/>
          <c:y val="4.1666666666666664E-2"/>
        </c:manualLayout>
      </c:layout>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6.6777777777777783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6.6777777777777783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6.6777777777777783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Pivot_Table!$B$7</c:f>
              <c:strCache>
                <c:ptCount val="1"/>
                <c:pt idx="0">
                  <c:v>Sum of Total_Sales</c:v>
                </c:pt>
              </c:strCache>
            </c:strRef>
          </c:tx>
          <c:spPr>
            <a:ln w="28575" cap="rnd">
              <a:solidFill>
                <a:schemeClr val="accent1"/>
              </a:solidFill>
              <a:round/>
            </a:ln>
            <a:effectLst/>
          </c:spPr>
          <c:marker>
            <c:symbol val="none"/>
          </c:marker>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0-8D44-41C8-BBDD-61973B5BF8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Pivot_Table!$B$8:$B$20</c:f>
              <c:numCache>
                <c:formatCode>"$"#,##0.0,,"M"</c:formatCode>
                <c:ptCount val="12"/>
                <c:pt idx="0">
                  <c:v>25461000</c:v>
                </c:pt>
                <c:pt idx="1">
                  <c:v>33121000</c:v>
                </c:pt>
                <c:pt idx="2">
                  <c:v>34840500</c:v>
                </c:pt>
                <c:pt idx="3">
                  <c:v>32150500</c:v>
                </c:pt>
                <c:pt idx="4">
                  <c:v>23887000</c:v>
                </c:pt>
                <c:pt idx="5">
                  <c:v>30089500</c:v>
                </c:pt>
                <c:pt idx="6">
                  <c:v>33419000</c:v>
                </c:pt>
                <c:pt idx="7">
                  <c:v>25702000</c:v>
                </c:pt>
                <c:pt idx="8">
                  <c:v>18710000</c:v>
                </c:pt>
                <c:pt idx="9">
                  <c:v>21834000</c:v>
                </c:pt>
                <c:pt idx="10">
                  <c:v>15661500</c:v>
                </c:pt>
                <c:pt idx="11">
                  <c:v>14254000</c:v>
                </c:pt>
              </c:numCache>
            </c:numRef>
          </c:val>
          <c:smooth val="0"/>
          <c:extLst>
            <c:ext xmlns:c16="http://schemas.microsoft.com/office/drawing/2014/chart" uri="{C3380CC4-5D6E-409C-BE32-E72D297353CC}">
              <c16:uniqueId val="{00000001-8D44-41C8-BBDD-61973B5BF81E}"/>
            </c:ext>
          </c:extLst>
        </c:ser>
        <c:ser>
          <c:idx val="1"/>
          <c:order val="1"/>
          <c:tx>
            <c:strRef>
              <c:f>Pivot_Table!$C$7</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Pivot_Table!$C$8:$C$20</c:f>
              <c:numCache>
                <c:formatCode>"$"#,##0.0,,"M"</c:formatCode>
                <c:ptCount val="12"/>
                <c:pt idx="0">
                  <c:v>7684360</c:v>
                </c:pt>
                <c:pt idx="1">
                  <c:v>10044059</c:v>
                </c:pt>
                <c:pt idx="2">
                  <c:v>10554067</c:v>
                </c:pt>
                <c:pt idx="3">
                  <c:v>9343954</c:v>
                </c:pt>
                <c:pt idx="4">
                  <c:v>7200164</c:v>
                </c:pt>
                <c:pt idx="5">
                  <c:v>8948596</c:v>
                </c:pt>
                <c:pt idx="6">
                  <c:v>10431069</c:v>
                </c:pt>
                <c:pt idx="7">
                  <c:v>7820052</c:v>
                </c:pt>
                <c:pt idx="8">
                  <c:v>5726915</c:v>
                </c:pt>
                <c:pt idx="9">
                  <c:v>6790574</c:v>
                </c:pt>
                <c:pt idx="10">
                  <c:v>4872101</c:v>
                </c:pt>
                <c:pt idx="11">
                  <c:v>4074181</c:v>
                </c:pt>
              </c:numCache>
            </c:numRef>
          </c:val>
          <c:smooth val="0"/>
          <c:extLst>
            <c:ext xmlns:c16="http://schemas.microsoft.com/office/drawing/2014/chart" uri="{C3380CC4-5D6E-409C-BE32-E72D297353CC}">
              <c16:uniqueId val="{00000002-8D44-41C8-BBDD-61973B5BF81E}"/>
            </c:ext>
          </c:extLst>
        </c:ser>
        <c:dLbls>
          <c:dLblPos val="t"/>
          <c:showLegendKey val="0"/>
          <c:showVal val="1"/>
          <c:showCatName val="0"/>
          <c:showSerName val="0"/>
          <c:showPercent val="0"/>
          <c:showBubbleSize val="0"/>
        </c:dLbls>
        <c:smooth val="0"/>
        <c:axId val="60931631"/>
        <c:axId val="60933071"/>
      </c:lineChart>
      <c:catAx>
        <c:axId val="6093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3071"/>
        <c:crosses val="autoZero"/>
        <c:auto val="1"/>
        <c:lblAlgn val="ctr"/>
        <c:lblOffset val="100"/>
        <c:noMultiLvlLbl val="0"/>
      </c:catAx>
      <c:valAx>
        <c:axId val="60933071"/>
        <c:scaling>
          <c:orientation val="minMax"/>
        </c:scaling>
        <c:delete val="1"/>
        <c:axPos val="l"/>
        <c:numFmt formatCode="&quot;$&quot;#,##0.0,,&quot;M&quot;" sourceLinked="1"/>
        <c:majorTickMark val="out"/>
        <c:minorTickMark val="none"/>
        <c:tickLblPos val="nextTo"/>
        <c:crossAx val="60931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[AuraTech_Excel_Project_1200.xlsx]Pivot_Table!PivotTable19</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 by Region</a:t>
            </a:r>
          </a:p>
        </c:rich>
      </c:tx>
      <c:layout>
        <c:manualLayout>
          <c:xMode val="edge"/>
          <c:yMode val="edge"/>
          <c:x val="3.2222222222222222E-2"/>
          <c:y val="4.73142309493471E-2"/>
        </c:manualLayout>
      </c:layout>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9534591365734458"/>
          <c:y val="0.21441878664307185"/>
          <c:w val="0.51502624671916009"/>
          <c:h val="0.74132104856187586"/>
        </c:manualLayout>
      </c:layout>
      <c:pieChart>
        <c:varyColors val="1"/>
        <c:ser>
          <c:idx val="0"/>
          <c:order val="0"/>
          <c:tx>
            <c:strRef>
              <c:f>Pivot_Table!$F$7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15-4705-8BBD-A545D35489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15-4705-8BBD-A545D35489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15-4705-8BBD-A545D35489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15-4705-8BBD-A545D35489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15-4705-8BBD-A545D35489A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Pivot_Table!$E$8:$E$13</c:f>
              <c:strCache>
                <c:ptCount val="5"/>
                <c:pt idx="0">
                  <c:v>Central</c:v>
                </c:pt>
                <c:pt idx="1">
                  <c:v>East</c:v>
                </c:pt>
                <c:pt idx="2">
                  <c:v>North</c:v>
                </c:pt>
                <c:pt idx="3">
                  <c:v>South</c:v>
                </c:pt>
                <c:pt idx="4">
                  <c:v>West</c:v>
                </c:pt>
              </c:strCache>
            </c:strRef>
          </c:cat>
          <c:val>
            <c:numRef>
              <c:f>Pivot_Table!$F$8:$F$13</c:f>
              <c:numCache>
                <c:formatCode>"$"#,##0.0,,"M"</c:formatCode>
                <c:ptCount val="5"/>
                <c:pt idx="0">
                  <c:v>40942000</c:v>
                </c:pt>
                <c:pt idx="1">
                  <c:v>89135000</c:v>
                </c:pt>
                <c:pt idx="2">
                  <c:v>87296500</c:v>
                </c:pt>
                <c:pt idx="3">
                  <c:v>50492000</c:v>
                </c:pt>
                <c:pt idx="4">
                  <c:v>41264500</c:v>
                </c:pt>
              </c:numCache>
            </c:numRef>
          </c:val>
          <c:extLst>
            <c:ext xmlns:c16="http://schemas.microsoft.com/office/drawing/2014/chart" uri="{C3380CC4-5D6E-409C-BE32-E72D297353CC}">
              <c16:uniqueId val="{0000000A-C915-4705-8BBD-A545D35489A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[AuraTech_Excel_Project_1200.xlsx]Pivot_Table!PivotTable20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Top</a:t>
            </a:r>
            <a:r>
              <a:rPr lang="en-US" sz="1600" b="1" baseline="0">
                <a:solidFill>
                  <a:schemeClr val="bg1"/>
                </a:solidFill>
              </a:rPr>
              <a:t> 5 Salesperson</a:t>
            </a:r>
            <a:endParaRPr lang="en-US" sz="1600" b="1">
              <a:solidFill>
                <a:schemeClr val="bg1"/>
              </a:solidFill>
            </a:endParaRPr>
          </a:p>
        </c:rich>
      </c:tx>
      <c:layout>
        <c:manualLayout>
          <c:xMode val="edge"/>
          <c:yMode val="edge"/>
          <c:x val="3.4645669291338603E-2"/>
          <c:y val="3.7037037037037035E-2"/>
        </c:manualLayout>
      </c:layout>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Pivot_Table!$I$7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Pivot_Table!$H$8:$H$13</c:f>
              <c:strCache>
                <c:ptCount val="5"/>
                <c:pt idx="0">
                  <c:v>Amit Kumar</c:v>
                </c:pt>
                <c:pt idx="1">
                  <c:v>Ananya Roy</c:v>
                </c:pt>
                <c:pt idx="2">
                  <c:v>Rahul Sharma</c:v>
                </c:pt>
                <c:pt idx="3">
                  <c:v>Rohan Verma</c:v>
                </c:pt>
                <c:pt idx="4">
                  <c:v>Suresh Raina</c:v>
                </c:pt>
              </c:strCache>
            </c:strRef>
          </c:cat>
          <c:val>
            <c:numRef>
              <c:f>Pivot_Table!$I$8:$I$13</c:f>
              <c:numCache>
                <c:formatCode>"$"#,##0.0,,"M"</c:formatCode>
                <c:ptCount val="5"/>
                <c:pt idx="0">
                  <c:v>36687500</c:v>
                </c:pt>
                <c:pt idx="1">
                  <c:v>33976500</c:v>
                </c:pt>
                <c:pt idx="2">
                  <c:v>39354000</c:v>
                </c:pt>
                <c:pt idx="3">
                  <c:v>40264500</c:v>
                </c:pt>
                <c:pt idx="4">
                  <c:v>41534000</c:v>
                </c:pt>
              </c:numCache>
            </c:numRef>
          </c:val>
          <c:extLst>
            <c:ext xmlns:c16="http://schemas.microsoft.com/office/drawing/2014/chart" uri="{C3380CC4-5D6E-409C-BE32-E72D297353CC}">
              <c16:uniqueId val="{00000000-C80B-4457-BF87-C2ABD4A92E8D}"/>
            </c:ext>
          </c:extLst>
        </c:ser>
        <c:dLbls>
          <c:dLblPos val="outEnd"/>
          <c:showLegendKey val="0"/>
          <c:showVal val="1"/>
          <c:showCatName val="0"/>
          <c:showSerName val="0"/>
          <c:showPercent val="0"/>
          <c:showBubbleSize val="0"/>
        </c:dLbls>
        <c:gapWidth val="182"/>
        <c:axId val="62328511"/>
        <c:axId val="62325271"/>
      </c:barChart>
      <c:catAx>
        <c:axId val="6232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25271"/>
        <c:crosses val="autoZero"/>
        <c:auto val="1"/>
        <c:lblAlgn val="ctr"/>
        <c:lblOffset val="100"/>
        <c:noMultiLvlLbl val="0"/>
      </c:catAx>
      <c:valAx>
        <c:axId val="62325271"/>
        <c:scaling>
          <c:orientation val="minMax"/>
        </c:scaling>
        <c:delete val="1"/>
        <c:axPos val="b"/>
        <c:numFmt formatCode="&quot;$&quot;#,##0.0,,&quot;M&quot;" sourceLinked="1"/>
        <c:majorTickMark val="none"/>
        <c:minorTickMark val="none"/>
        <c:tickLblPos val="nextTo"/>
        <c:crossAx val="6232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[AuraTech_Excel_Project_1200.xlsx]Pivot_Table!PivotTable21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rPr>
              <a:t>Sales</a:t>
            </a:r>
            <a:r>
              <a:rPr lang="en-US" sz="1400" b="1" baseline="0">
                <a:solidFill>
                  <a:schemeClr val="bg1"/>
                </a:solidFill>
              </a:rPr>
              <a:t> by Category</a:t>
            </a:r>
            <a:endParaRPr lang="en-US" sz="1400" b="1">
              <a:solidFill>
                <a:schemeClr val="bg1"/>
              </a:solidFill>
            </a:endParaRPr>
          </a:p>
        </c:rich>
      </c:tx>
      <c:layout>
        <c:manualLayout>
          <c:xMode val="edge"/>
          <c:yMode val="edge"/>
          <c:x val="4.1083333333333354E-2"/>
          <c:y val="2.7777777777777776E-2"/>
        </c:manualLayout>
      </c:layout>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Pivot_Table!$K$8:$K$11</c:f>
              <c:strCache>
                <c:ptCount val="3"/>
                <c:pt idx="0">
                  <c:v>Accessories</c:v>
                </c:pt>
                <c:pt idx="1">
                  <c:v>Furniture</c:v>
                </c:pt>
                <c:pt idx="2">
                  <c:v>Electronics</c:v>
                </c:pt>
              </c:strCache>
            </c:strRef>
          </c:cat>
          <c:val>
            <c:numRef>
              <c:f>Pivot_Table!$L$8:$L$11</c:f>
              <c:numCache>
                <c:formatCode>"$"#,##0.0,,"M"</c:formatCode>
                <c:ptCount val="3"/>
                <c:pt idx="0">
                  <c:v>26563500</c:v>
                </c:pt>
                <c:pt idx="1">
                  <c:v>60263000</c:v>
                </c:pt>
                <c:pt idx="2">
                  <c:v>222303500</c:v>
                </c:pt>
              </c:numCache>
            </c:numRef>
          </c:val>
          <c:extLst>
            <c:ext xmlns:c16="http://schemas.microsoft.com/office/drawing/2014/chart" uri="{C3380CC4-5D6E-409C-BE32-E72D297353CC}">
              <c16:uniqueId val="{00000001-7B41-4DED-82D4-CE1F48D701BC}"/>
            </c:ext>
          </c:extLst>
        </c:ser>
        <c:dLbls>
          <c:dLblPos val="outEnd"/>
          <c:showLegendKey val="0"/>
          <c:showVal val="1"/>
          <c:showCatName val="0"/>
          <c:showSerName val="0"/>
          <c:showPercent val="0"/>
          <c:showBubbleSize val="0"/>
        </c:dLbls>
        <c:gapWidth val="182"/>
        <c:axId val="62344351"/>
        <c:axId val="62336431"/>
      </c:barChart>
      <c:catAx>
        <c:axId val="623443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6431"/>
        <c:crosses val="autoZero"/>
        <c:auto val="1"/>
        <c:lblAlgn val="ctr"/>
        <c:lblOffset val="100"/>
        <c:noMultiLvlLbl val="0"/>
      </c:catAx>
      <c:valAx>
        <c:axId val="62336431"/>
        <c:scaling>
          <c:orientation val="minMax"/>
        </c:scaling>
        <c:delete val="1"/>
        <c:axPos val="b"/>
        <c:numFmt formatCode="&quot;$&quot;#,##0.0,,&quot;M&quot;" sourceLinked="1"/>
        <c:majorTickMark val="out"/>
        <c:minorTickMark val="none"/>
        <c:tickLblPos val="nextTo"/>
        <c:crossAx val="6234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ivot_Table!A1"/><Relationship Id="rId5" Type="http://schemas.openxmlformats.org/officeDocument/2006/relationships/hyperlink" Target="#Clean_Sales_Data!A1"/><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231094</xdr:colOff>
      <xdr:row>2</xdr:row>
      <xdr:rowOff>84669</xdr:rowOff>
    </xdr:from>
    <xdr:to>
      <xdr:col>24</xdr:col>
      <xdr:colOff>170962</xdr:colOff>
      <xdr:row>5</xdr:row>
      <xdr:rowOff>41520</xdr:rowOff>
    </xdr:to>
    <xdr:grpSp>
      <xdr:nvGrpSpPr>
        <xdr:cNvPr id="50" name="Group 49">
          <a:extLst>
            <a:ext uri="{FF2B5EF4-FFF2-40B4-BE49-F238E27FC236}">
              <a16:creationId xmlns:a16="http://schemas.microsoft.com/office/drawing/2014/main" id="{85F63F3E-42F5-F4B4-7FCD-845278E6CDD7}"/>
            </a:ext>
          </a:extLst>
        </xdr:cNvPr>
        <xdr:cNvGrpSpPr/>
      </xdr:nvGrpSpPr>
      <xdr:grpSpPr>
        <a:xfrm>
          <a:off x="2049503" y="455773"/>
          <a:ext cx="12668732" cy="513507"/>
          <a:chOff x="188645" y="169335"/>
          <a:chExt cx="12375729" cy="722524"/>
        </a:xfrm>
      </xdr:grpSpPr>
      <xdr:sp macro="" textlink="">
        <xdr:nvSpPr>
          <xdr:cNvPr id="2" name="Rectangle: Rounded Corners 1">
            <a:extLst>
              <a:ext uri="{FF2B5EF4-FFF2-40B4-BE49-F238E27FC236}">
                <a16:creationId xmlns:a16="http://schemas.microsoft.com/office/drawing/2014/main" id="{30E7BCE8-172A-4B99-ADFE-5E38A5719C91}"/>
              </a:ext>
            </a:extLst>
          </xdr:cNvPr>
          <xdr:cNvSpPr/>
        </xdr:nvSpPr>
        <xdr:spPr>
          <a:xfrm>
            <a:off x="672326" y="169335"/>
            <a:ext cx="11892048" cy="6802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E6A42F34-C45D-43F8-A07C-6B6CF8C62976}"/>
              </a:ext>
            </a:extLst>
          </xdr:cNvPr>
          <xdr:cNvSpPr txBox="1"/>
        </xdr:nvSpPr>
        <xdr:spPr>
          <a:xfrm>
            <a:off x="188645" y="177030"/>
            <a:ext cx="4692206" cy="43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solidFill>
                <a:latin typeface="ADLaM Display" panose="02010000000000000000" pitchFamily="2" charset="0"/>
                <a:ea typeface="ADLaM Display" panose="02010000000000000000" pitchFamily="2" charset="0"/>
                <a:cs typeface="ADLaM Display" panose="02010000000000000000" pitchFamily="2" charset="0"/>
              </a:rPr>
              <a:t>SALES</a:t>
            </a:r>
            <a:r>
              <a:rPr lang="en-US" sz="1800" b="1" baseline="0">
                <a:solidFill>
                  <a:schemeClr val="tx2"/>
                </a:solidFill>
                <a:latin typeface="ADLaM Display" panose="02010000000000000000" pitchFamily="2" charset="0"/>
                <a:ea typeface="ADLaM Display" panose="02010000000000000000" pitchFamily="2" charset="0"/>
                <a:cs typeface="ADLaM Display" panose="02010000000000000000" pitchFamily="2" charset="0"/>
              </a:rPr>
              <a:t> PERFORMANCE </a:t>
            </a:r>
            <a:r>
              <a:rPr lang="en-US" sz="1600" b="1" baseline="0">
                <a:solidFill>
                  <a:schemeClr val="tx2"/>
                </a:solidFill>
                <a:latin typeface="ADLaM Display" panose="02010000000000000000" pitchFamily="2" charset="0"/>
                <a:ea typeface="ADLaM Display" panose="02010000000000000000" pitchFamily="2" charset="0"/>
                <a:cs typeface="ADLaM Display" panose="02010000000000000000" pitchFamily="2" charset="0"/>
              </a:rPr>
              <a:t>DASHBOARD</a:t>
            </a:r>
            <a:endParaRPr lang="en-US" sz="1800" b="1">
              <a:solidFill>
                <a:schemeClr val="tx2"/>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4" name="TextBox 3">
            <a:extLst>
              <a:ext uri="{FF2B5EF4-FFF2-40B4-BE49-F238E27FC236}">
                <a16:creationId xmlns:a16="http://schemas.microsoft.com/office/drawing/2014/main" id="{9B22F94E-38F7-48F3-8172-FC93E59CE142}"/>
              </a:ext>
            </a:extLst>
          </xdr:cNvPr>
          <xdr:cNvSpPr txBox="1"/>
        </xdr:nvSpPr>
        <xdr:spPr>
          <a:xfrm>
            <a:off x="875613" y="527036"/>
            <a:ext cx="6674325" cy="364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2"/>
                </a:solidFill>
                <a:latin typeface="+mn-lt"/>
              </a:rPr>
              <a:t>Overview</a:t>
            </a:r>
            <a:r>
              <a:rPr lang="en-US" sz="1200" b="0" baseline="0">
                <a:solidFill>
                  <a:schemeClr val="tx2"/>
                </a:solidFill>
                <a:latin typeface="+mn-lt"/>
              </a:rPr>
              <a:t> of sales, profit, and orders for 2025-2026 </a:t>
            </a:r>
            <a:endParaRPr lang="en-US" sz="1200" b="0">
              <a:solidFill>
                <a:schemeClr val="tx2"/>
              </a:solidFill>
              <a:latin typeface="+mn-lt"/>
            </a:endParaRPr>
          </a:p>
        </xdr:txBody>
      </xdr:sp>
    </xdr:grpSp>
    <xdr:clientData/>
  </xdr:twoCellAnchor>
  <xdr:twoCellAnchor>
    <xdr:from>
      <xdr:col>4</xdr:col>
      <xdr:colOff>291041</xdr:colOff>
      <xdr:row>11</xdr:row>
      <xdr:rowOff>13228</xdr:rowOff>
    </xdr:from>
    <xdr:to>
      <xdr:col>18</xdr:col>
      <xdr:colOff>369919</xdr:colOff>
      <xdr:row>14</xdr:row>
      <xdr:rowOff>13228</xdr:rowOff>
    </xdr:to>
    <xdr:grpSp>
      <xdr:nvGrpSpPr>
        <xdr:cNvPr id="13" name="Group 12">
          <a:extLst>
            <a:ext uri="{FF2B5EF4-FFF2-40B4-BE49-F238E27FC236}">
              <a16:creationId xmlns:a16="http://schemas.microsoft.com/office/drawing/2014/main" id="{BEE31215-73DE-08EF-9FD7-F3EAD4DC0428}"/>
            </a:ext>
          </a:extLst>
        </xdr:cNvPr>
        <xdr:cNvGrpSpPr/>
      </xdr:nvGrpSpPr>
      <xdr:grpSpPr>
        <a:xfrm>
          <a:off x="2715586" y="2054299"/>
          <a:ext cx="8564788" cy="556656"/>
          <a:chOff x="1082774" y="744880"/>
          <a:chExt cx="7971704" cy="588620"/>
        </a:xfrm>
      </xdr:grpSpPr>
      <xdr:grpSp>
        <xdr:nvGrpSpPr>
          <xdr:cNvPr id="24" name="Group 23">
            <a:extLst>
              <a:ext uri="{FF2B5EF4-FFF2-40B4-BE49-F238E27FC236}">
                <a16:creationId xmlns:a16="http://schemas.microsoft.com/office/drawing/2014/main" id="{5DEE5366-0418-6261-BBEB-4CC9FD91F353}"/>
              </a:ext>
            </a:extLst>
          </xdr:cNvPr>
          <xdr:cNvGrpSpPr/>
        </xdr:nvGrpSpPr>
        <xdr:grpSpPr>
          <a:xfrm>
            <a:off x="5178548" y="752475"/>
            <a:ext cx="1710578" cy="581025"/>
            <a:chOff x="762000" y="1019175"/>
            <a:chExt cx="1724025" cy="680269"/>
          </a:xfrm>
        </xdr:grpSpPr>
        <xdr:sp macro="" textlink="">
          <xdr:nvSpPr>
            <xdr:cNvPr id="25" name="Rectangle: Rounded Corners 24">
              <a:extLst>
                <a:ext uri="{FF2B5EF4-FFF2-40B4-BE49-F238E27FC236}">
                  <a16:creationId xmlns:a16="http://schemas.microsoft.com/office/drawing/2014/main" id="{18EB5178-033D-09FA-92B7-10B3FCDB1759}"/>
                </a:ext>
              </a:extLst>
            </xdr:cNvPr>
            <xdr:cNvSpPr/>
          </xdr:nvSpPr>
          <xdr:spPr>
            <a:xfrm>
              <a:off x="762000" y="1019175"/>
              <a:ext cx="1724025" cy="6802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CA60B7AC-5771-491C-042D-4896547FC214}"/>
                </a:ext>
              </a:extLst>
            </xdr:cNvPr>
            <xdr:cNvSpPr txBox="1"/>
          </xdr:nvSpPr>
          <xdr:spPr>
            <a:xfrm>
              <a:off x="866775" y="1038225"/>
              <a:ext cx="1495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Profit</a:t>
              </a:r>
              <a:r>
                <a:rPr lang="en-US" sz="1400" b="1" baseline="0">
                  <a:solidFill>
                    <a:schemeClr val="tx1"/>
                  </a:solidFill>
                </a:rPr>
                <a:t> Margin%</a:t>
              </a:r>
              <a:endParaRPr lang="en-US" sz="1400" b="1">
                <a:solidFill>
                  <a:schemeClr val="tx1"/>
                </a:solidFill>
              </a:endParaRPr>
            </a:p>
          </xdr:txBody>
        </xdr:sp>
        <xdr:sp macro="" textlink="Pivot_Table!E4">
          <xdr:nvSpPr>
            <xdr:cNvPr id="27" name="TextBox 26">
              <a:extLst>
                <a:ext uri="{FF2B5EF4-FFF2-40B4-BE49-F238E27FC236}">
                  <a16:creationId xmlns:a16="http://schemas.microsoft.com/office/drawing/2014/main" id="{37D1DCD3-512A-C0C4-BD52-50CDD6CBB41B}"/>
                </a:ext>
              </a:extLst>
            </xdr:cNvPr>
            <xdr:cNvSpPr txBox="1"/>
          </xdr:nvSpPr>
          <xdr:spPr>
            <a:xfrm>
              <a:off x="800101" y="1333500"/>
              <a:ext cx="1628774"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F51048-96ED-4143-9CD4-0B213A6D1DCA}" type="TxLink">
                <a:rPr lang="en-US" sz="2000" b="1" i="0" u="none" strike="noStrike">
                  <a:solidFill>
                    <a:schemeClr val="tx2"/>
                  </a:solidFill>
                  <a:latin typeface="Aptos Narrow"/>
                </a:rPr>
                <a:pPr algn="ctr"/>
                <a:t>30.24%</a:t>
              </a:fld>
              <a:endParaRPr lang="en-US" sz="2000" b="1">
                <a:solidFill>
                  <a:schemeClr val="tx2"/>
                </a:solidFill>
              </a:endParaRPr>
            </a:p>
          </xdr:txBody>
        </xdr:sp>
      </xdr:grpSp>
      <xdr:grpSp>
        <xdr:nvGrpSpPr>
          <xdr:cNvPr id="12" name="Group 11">
            <a:extLst>
              <a:ext uri="{FF2B5EF4-FFF2-40B4-BE49-F238E27FC236}">
                <a16:creationId xmlns:a16="http://schemas.microsoft.com/office/drawing/2014/main" id="{7AE91938-66AE-1E62-5C8B-18164D176917}"/>
              </a:ext>
            </a:extLst>
          </xdr:cNvPr>
          <xdr:cNvGrpSpPr/>
        </xdr:nvGrpSpPr>
        <xdr:grpSpPr>
          <a:xfrm>
            <a:off x="1082774" y="744880"/>
            <a:ext cx="7971704" cy="577547"/>
            <a:chOff x="993127" y="767292"/>
            <a:chExt cx="7971704" cy="577547"/>
          </a:xfrm>
        </xdr:grpSpPr>
        <xdr:grpSp>
          <xdr:nvGrpSpPr>
            <xdr:cNvPr id="19" name="Group 18">
              <a:extLst>
                <a:ext uri="{FF2B5EF4-FFF2-40B4-BE49-F238E27FC236}">
                  <a16:creationId xmlns:a16="http://schemas.microsoft.com/office/drawing/2014/main" id="{6A1226E7-20DB-4BC3-BBCD-496D09BF53B5}"/>
                </a:ext>
              </a:extLst>
            </xdr:cNvPr>
            <xdr:cNvGrpSpPr/>
          </xdr:nvGrpSpPr>
          <xdr:grpSpPr>
            <a:xfrm>
              <a:off x="993127" y="785422"/>
              <a:ext cx="1710578" cy="559417"/>
              <a:chOff x="762000" y="1019175"/>
              <a:chExt cx="1724025" cy="680269"/>
            </a:xfrm>
          </xdr:grpSpPr>
          <xdr:sp macro="" textlink="">
            <xdr:nvSpPr>
              <xdr:cNvPr id="7" name="Rectangle: Rounded Corners 6">
                <a:extLst>
                  <a:ext uri="{FF2B5EF4-FFF2-40B4-BE49-F238E27FC236}">
                    <a16:creationId xmlns:a16="http://schemas.microsoft.com/office/drawing/2014/main" id="{1125A258-78CE-4EB1-9DC8-DD730E6242AB}"/>
                  </a:ext>
                </a:extLst>
              </xdr:cNvPr>
              <xdr:cNvSpPr/>
            </xdr:nvSpPr>
            <xdr:spPr>
              <a:xfrm>
                <a:off x="762000" y="1019175"/>
                <a:ext cx="1724025" cy="6802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F641722D-70A6-6D01-F54E-C4335273D572}"/>
                  </a:ext>
                </a:extLst>
              </xdr:cNvPr>
              <xdr:cNvSpPr txBox="1"/>
            </xdr:nvSpPr>
            <xdr:spPr>
              <a:xfrm>
                <a:off x="866775" y="1038225"/>
                <a:ext cx="1495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Total Sales</a:t>
                </a:r>
              </a:p>
            </xdr:txBody>
          </xdr:sp>
          <xdr:sp macro="" textlink="Pivot_Table!A4">
            <xdr:nvSpPr>
              <xdr:cNvPr id="10" name="TextBox 9">
                <a:extLst>
                  <a:ext uri="{FF2B5EF4-FFF2-40B4-BE49-F238E27FC236}">
                    <a16:creationId xmlns:a16="http://schemas.microsoft.com/office/drawing/2014/main" id="{B8CD44D6-1A9D-FC0C-0823-AD167C4AF893}"/>
                  </a:ext>
                </a:extLst>
              </xdr:cNvPr>
              <xdr:cNvSpPr txBox="1"/>
            </xdr:nvSpPr>
            <xdr:spPr>
              <a:xfrm>
                <a:off x="807917" y="1330057"/>
                <a:ext cx="1628774" cy="3593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167F58-1265-4D54-AEC7-9BDFDFC7F3FA}" type="TxLink">
                  <a:rPr lang="en-US" sz="2000" b="1" i="0" u="none" strike="noStrike">
                    <a:solidFill>
                      <a:schemeClr val="tx2"/>
                    </a:solidFill>
                    <a:latin typeface="Aptos Narrow"/>
                  </a:rPr>
                  <a:pPr algn="ctr"/>
                  <a:t>$309.1M</a:t>
                </a:fld>
                <a:endParaRPr lang="en-US" sz="2000" b="1">
                  <a:solidFill>
                    <a:schemeClr val="tx2"/>
                  </a:solidFill>
                </a:endParaRPr>
              </a:p>
            </xdr:txBody>
          </xdr:sp>
        </xdr:grpSp>
        <xdr:grpSp>
          <xdr:nvGrpSpPr>
            <xdr:cNvPr id="20" name="Group 19">
              <a:extLst>
                <a:ext uri="{FF2B5EF4-FFF2-40B4-BE49-F238E27FC236}">
                  <a16:creationId xmlns:a16="http://schemas.microsoft.com/office/drawing/2014/main" id="{8C7DE44A-8F90-20ED-3BFD-1C223A533A12}"/>
                </a:ext>
              </a:extLst>
            </xdr:cNvPr>
            <xdr:cNvGrpSpPr/>
          </xdr:nvGrpSpPr>
          <xdr:grpSpPr>
            <a:xfrm>
              <a:off x="3081679" y="767292"/>
              <a:ext cx="1719295" cy="577547"/>
              <a:chOff x="762000" y="1019175"/>
              <a:chExt cx="1724025" cy="680269"/>
            </a:xfrm>
          </xdr:grpSpPr>
          <xdr:sp macro="" textlink="">
            <xdr:nvSpPr>
              <xdr:cNvPr id="21" name="Rectangle: Rounded Corners 20">
                <a:extLst>
                  <a:ext uri="{FF2B5EF4-FFF2-40B4-BE49-F238E27FC236}">
                    <a16:creationId xmlns:a16="http://schemas.microsoft.com/office/drawing/2014/main" id="{2FFB9C52-27DE-A690-01B8-86914C714C50}"/>
                  </a:ext>
                </a:extLst>
              </xdr:cNvPr>
              <xdr:cNvSpPr/>
            </xdr:nvSpPr>
            <xdr:spPr>
              <a:xfrm>
                <a:off x="762000" y="1019175"/>
                <a:ext cx="1724025" cy="6802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A9091800-475A-F9BE-6910-329EA94DD8DF}"/>
                  </a:ext>
                </a:extLst>
              </xdr:cNvPr>
              <xdr:cNvSpPr txBox="1"/>
            </xdr:nvSpPr>
            <xdr:spPr>
              <a:xfrm>
                <a:off x="866775" y="1038225"/>
                <a:ext cx="1495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Total Profit</a:t>
                </a:r>
              </a:p>
            </xdr:txBody>
          </xdr:sp>
          <xdr:sp macro="" textlink="Pivot_Table!C4">
            <xdr:nvSpPr>
              <xdr:cNvPr id="23" name="TextBox 22">
                <a:extLst>
                  <a:ext uri="{FF2B5EF4-FFF2-40B4-BE49-F238E27FC236}">
                    <a16:creationId xmlns:a16="http://schemas.microsoft.com/office/drawing/2014/main" id="{3CDC2DD2-4D56-F2EA-FF35-705FFB39A7FE}"/>
                  </a:ext>
                </a:extLst>
              </xdr:cNvPr>
              <xdr:cNvSpPr txBox="1"/>
            </xdr:nvSpPr>
            <xdr:spPr>
              <a:xfrm>
                <a:off x="800101" y="1309159"/>
                <a:ext cx="1628774"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7D64CA-9993-4C36-8169-C0D3EEE74B23}" type="TxLink">
                  <a:rPr lang="en-US" sz="2000" b="1" i="0" u="none" strike="noStrike">
                    <a:solidFill>
                      <a:schemeClr val="tx2"/>
                    </a:solidFill>
                    <a:latin typeface="Aptos Narrow"/>
                  </a:rPr>
                  <a:pPr algn="ctr"/>
                  <a:t>$93.5M</a:t>
                </a:fld>
                <a:endParaRPr lang="en-US" sz="2000" b="1">
                  <a:solidFill>
                    <a:schemeClr val="tx2"/>
                  </a:solidFill>
                </a:endParaRPr>
              </a:p>
            </xdr:txBody>
          </xdr:sp>
        </xdr:grpSp>
        <xdr:grpSp>
          <xdr:nvGrpSpPr>
            <xdr:cNvPr id="28" name="Group 27">
              <a:extLst>
                <a:ext uri="{FF2B5EF4-FFF2-40B4-BE49-F238E27FC236}">
                  <a16:creationId xmlns:a16="http://schemas.microsoft.com/office/drawing/2014/main" id="{5BEF0723-F531-9452-D817-FF5E392EA4AA}"/>
                </a:ext>
              </a:extLst>
            </xdr:cNvPr>
            <xdr:cNvGrpSpPr/>
          </xdr:nvGrpSpPr>
          <xdr:grpSpPr>
            <a:xfrm>
              <a:off x="7238378" y="774701"/>
              <a:ext cx="1726453" cy="549728"/>
              <a:chOff x="762000" y="1019175"/>
              <a:chExt cx="1724025" cy="680269"/>
            </a:xfrm>
          </xdr:grpSpPr>
          <xdr:sp macro="" textlink="">
            <xdr:nvSpPr>
              <xdr:cNvPr id="29" name="Rectangle: Rounded Corners 28">
                <a:extLst>
                  <a:ext uri="{FF2B5EF4-FFF2-40B4-BE49-F238E27FC236}">
                    <a16:creationId xmlns:a16="http://schemas.microsoft.com/office/drawing/2014/main" id="{57EE4577-E543-4D9D-3AE5-255F797A5F97}"/>
                  </a:ext>
                </a:extLst>
              </xdr:cNvPr>
              <xdr:cNvSpPr/>
            </xdr:nvSpPr>
            <xdr:spPr>
              <a:xfrm>
                <a:off x="762000" y="1019175"/>
                <a:ext cx="1724025" cy="6802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F3CEDAC0-6F7A-43A3-3EC4-A8C4A3C0A857}"/>
                  </a:ext>
                </a:extLst>
              </xdr:cNvPr>
              <xdr:cNvSpPr txBox="1"/>
            </xdr:nvSpPr>
            <xdr:spPr>
              <a:xfrm>
                <a:off x="866775" y="1038225"/>
                <a:ext cx="1495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Total Orders</a:t>
                </a:r>
              </a:p>
            </xdr:txBody>
          </xdr:sp>
          <xdr:sp macro="" textlink="Pivot_Table!H4">
            <xdr:nvSpPr>
              <xdr:cNvPr id="31" name="TextBox 30">
                <a:extLst>
                  <a:ext uri="{FF2B5EF4-FFF2-40B4-BE49-F238E27FC236}">
                    <a16:creationId xmlns:a16="http://schemas.microsoft.com/office/drawing/2014/main" id="{FB81A0BD-7F36-5D3B-2A32-F981452DA109}"/>
                  </a:ext>
                </a:extLst>
              </xdr:cNvPr>
              <xdr:cNvSpPr txBox="1"/>
            </xdr:nvSpPr>
            <xdr:spPr>
              <a:xfrm>
                <a:off x="800101" y="1362074"/>
                <a:ext cx="1628774"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8FB639-D7A2-4865-B72B-9E3D10E5BA7A}" type="TxLink">
                  <a:rPr lang="en-US" sz="2000" b="1" i="0" u="none" strike="noStrike">
                    <a:solidFill>
                      <a:schemeClr val="tx2"/>
                    </a:solidFill>
                    <a:latin typeface="Aptos Narrow"/>
                  </a:rPr>
                  <a:pPr algn="ctr"/>
                  <a:t>1156</a:t>
                </a:fld>
                <a:endParaRPr lang="en-US" sz="2000" b="1">
                  <a:solidFill>
                    <a:schemeClr val="tx2"/>
                  </a:solidFill>
                </a:endParaRPr>
              </a:p>
            </xdr:txBody>
          </xdr:sp>
        </xdr:grpSp>
      </xdr:grpSp>
    </xdr:grpSp>
    <xdr:clientData/>
  </xdr:twoCellAnchor>
  <xdr:twoCellAnchor>
    <xdr:from>
      <xdr:col>4</xdr:col>
      <xdr:colOff>39687</xdr:colOff>
      <xdr:row>14</xdr:row>
      <xdr:rowOff>52917</xdr:rowOff>
    </xdr:from>
    <xdr:to>
      <xdr:col>19</xdr:col>
      <xdr:colOff>16565</xdr:colOff>
      <xdr:row>26</xdr:row>
      <xdr:rowOff>79375</xdr:rowOff>
    </xdr:to>
    <xdr:grpSp>
      <xdr:nvGrpSpPr>
        <xdr:cNvPr id="15" name="Group 14">
          <a:extLst>
            <a:ext uri="{FF2B5EF4-FFF2-40B4-BE49-F238E27FC236}">
              <a16:creationId xmlns:a16="http://schemas.microsoft.com/office/drawing/2014/main" id="{0166B6F0-E9B4-BA9A-A705-FDAE8C663BC7}"/>
            </a:ext>
          </a:extLst>
        </xdr:cNvPr>
        <xdr:cNvGrpSpPr/>
      </xdr:nvGrpSpPr>
      <xdr:grpSpPr>
        <a:xfrm>
          <a:off x="2464232" y="2650644"/>
          <a:ext cx="9068924" cy="2253082"/>
          <a:chOff x="705971" y="2533598"/>
          <a:chExt cx="8460442" cy="2352168"/>
        </a:xfrm>
      </xdr:grpSpPr>
      <xdr:graphicFrame macro="">
        <xdr:nvGraphicFramePr>
          <xdr:cNvPr id="32" name="Chart 31">
            <a:extLst>
              <a:ext uri="{FF2B5EF4-FFF2-40B4-BE49-F238E27FC236}">
                <a16:creationId xmlns:a16="http://schemas.microsoft.com/office/drawing/2014/main" id="{3B9C94BD-9E6C-49F1-970C-61D2E5298BFD}"/>
              </a:ext>
            </a:extLst>
          </xdr:cNvPr>
          <xdr:cNvGraphicFramePr>
            <a:graphicFrameLocks/>
          </xdr:cNvGraphicFramePr>
        </xdr:nvGraphicFramePr>
        <xdr:xfrm>
          <a:off x="705971" y="2533598"/>
          <a:ext cx="4845440" cy="235216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3" name="Chart 32">
            <a:extLst>
              <a:ext uri="{FF2B5EF4-FFF2-40B4-BE49-F238E27FC236}">
                <a16:creationId xmlns:a16="http://schemas.microsoft.com/office/drawing/2014/main" id="{7C8EA4D1-3002-4BEC-A04D-18DEDB17D1FE}"/>
              </a:ext>
            </a:extLst>
          </xdr:cNvPr>
          <xdr:cNvGraphicFramePr>
            <a:graphicFrameLocks/>
          </xdr:cNvGraphicFramePr>
        </xdr:nvGraphicFramePr>
        <xdr:xfrm>
          <a:off x="5703669" y="2554941"/>
          <a:ext cx="3462744" cy="231961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xdr:col>
      <xdr:colOff>52916</xdr:colOff>
      <xdr:row>26</xdr:row>
      <xdr:rowOff>145521</xdr:rowOff>
    </xdr:from>
    <xdr:to>
      <xdr:col>19</xdr:col>
      <xdr:colOff>57978</xdr:colOff>
      <xdr:row>38</xdr:row>
      <xdr:rowOff>66146</xdr:rowOff>
    </xdr:to>
    <xdr:grpSp>
      <xdr:nvGrpSpPr>
        <xdr:cNvPr id="16" name="Group 15">
          <a:extLst>
            <a:ext uri="{FF2B5EF4-FFF2-40B4-BE49-F238E27FC236}">
              <a16:creationId xmlns:a16="http://schemas.microsoft.com/office/drawing/2014/main" id="{242205C6-F608-EE7B-20B4-DEFEA562221B}"/>
            </a:ext>
          </a:extLst>
        </xdr:cNvPr>
        <xdr:cNvGrpSpPr/>
      </xdr:nvGrpSpPr>
      <xdr:grpSpPr>
        <a:xfrm>
          <a:off x="2477461" y="4969872"/>
          <a:ext cx="9097108" cy="2147248"/>
          <a:chOff x="717176" y="4996744"/>
          <a:chExt cx="8471647" cy="2510435"/>
        </a:xfrm>
      </xdr:grpSpPr>
      <xdr:graphicFrame macro="">
        <xdr:nvGraphicFramePr>
          <xdr:cNvPr id="34" name="Chart 33">
            <a:extLst>
              <a:ext uri="{FF2B5EF4-FFF2-40B4-BE49-F238E27FC236}">
                <a16:creationId xmlns:a16="http://schemas.microsoft.com/office/drawing/2014/main" id="{1E014D6F-E7C5-48D7-AC41-BD0C42A3047A}"/>
              </a:ext>
            </a:extLst>
          </xdr:cNvPr>
          <xdr:cNvGraphicFramePr>
            <a:graphicFrameLocks/>
          </xdr:cNvGraphicFramePr>
        </xdr:nvGraphicFramePr>
        <xdr:xfrm>
          <a:off x="717176" y="5032679"/>
          <a:ext cx="4836766" cy="24745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5" name="Chart 34">
            <a:extLst>
              <a:ext uri="{FF2B5EF4-FFF2-40B4-BE49-F238E27FC236}">
                <a16:creationId xmlns:a16="http://schemas.microsoft.com/office/drawing/2014/main" id="{FAA44577-D3CC-44DA-AFBD-779984EEC87A}"/>
              </a:ext>
            </a:extLst>
          </xdr:cNvPr>
          <xdr:cNvGraphicFramePr>
            <a:graphicFrameLocks/>
          </xdr:cNvGraphicFramePr>
        </xdr:nvGraphicFramePr>
        <xdr:xfrm>
          <a:off x="5695024" y="4996744"/>
          <a:ext cx="3493799" cy="251005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21</xdr:col>
      <xdr:colOff>549088</xdr:colOff>
      <xdr:row>2</xdr:row>
      <xdr:rowOff>179970</xdr:rowOff>
    </xdr:from>
    <xdr:to>
      <xdr:col>23</xdr:col>
      <xdr:colOff>555937</xdr:colOff>
      <xdr:row>4</xdr:row>
      <xdr:rowOff>123265</xdr:rowOff>
    </xdr:to>
    <xdr:sp macro="" textlink="">
      <xdr:nvSpPr>
        <xdr:cNvPr id="36" name="Rectangle: Rounded Corners 35">
          <a:hlinkClick xmlns:r="http://schemas.openxmlformats.org/officeDocument/2006/relationships" r:id="rId5"/>
          <a:extLst>
            <a:ext uri="{FF2B5EF4-FFF2-40B4-BE49-F238E27FC236}">
              <a16:creationId xmlns:a16="http://schemas.microsoft.com/office/drawing/2014/main" id="{AEA2271A-58F7-D599-58E7-964B01422FBF}"/>
            </a:ext>
          </a:extLst>
        </xdr:cNvPr>
        <xdr:cNvSpPr/>
      </xdr:nvSpPr>
      <xdr:spPr>
        <a:xfrm>
          <a:off x="10836088" y="179970"/>
          <a:ext cx="1217084" cy="324295"/>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Sales</a:t>
          </a:r>
          <a:r>
            <a:rPr lang="en-US" sz="1400" b="1" baseline="0"/>
            <a:t> Data</a:t>
          </a:r>
          <a:endParaRPr lang="en-US" sz="1400" b="1"/>
        </a:p>
      </xdr:txBody>
    </xdr:sp>
    <xdr:clientData/>
  </xdr:twoCellAnchor>
  <xdr:twoCellAnchor>
    <xdr:from>
      <xdr:col>18</xdr:col>
      <xdr:colOff>582707</xdr:colOff>
      <xdr:row>2</xdr:row>
      <xdr:rowOff>171124</xdr:rowOff>
    </xdr:from>
    <xdr:to>
      <xdr:col>21</xdr:col>
      <xdr:colOff>134472</xdr:colOff>
      <xdr:row>4</xdr:row>
      <xdr:rowOff>123266</xdr:rowOff>
    </xdr:to>
    <xdr:sp macro="" textlink="">
      <xdr:nvSpPr>
        <xdr:cNvPr id="37" name="Rectangle: Rounded Corners 36">
          <a:hlinkClick xmlns:r="http://schemas.openxmlformats.org/officeDocument/2006/relationships" r:id="rId6"/>
          <a:extLst>
            <a:ext uri="{FF2B5EF4-FFF2-40B4-BE49-F238E27FC236}">
              <a16:creationId xmlns:a16="http://schemas.microsoft.com/office/drawing/2014/main" id="{8F59A66C-6288-4336-A123-11EF995B9836}"/>
            </a:ext>
          </a:extLst>
        </xdr:cNvPr>
        <xdr:cNvSpPr/>
      </xdr:nvSpPr>
      <xdr:spPr>
        <a:xfrm>
          <a:off x="9054354" y="171124"/>
          <a:ext cx="1367118" cy="333142"/>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All Pivot Table</a:t>
          </a:r>
        </a:p>
      </xdr:txBody>
    </xdr:sp>
    <xdr:clientData/>
  </xdr:twoCellAnchor>
  <xdr:twoCellAnchor editAs="oneCell">
    <xdr:from>
      <xdr:col>19</xdr:col>
      <xdr:colOff>532800</xdr:colOff>
      <xdr:row>16</xdr:row>
      <xdr:rowOff>130956</xdr:rowOff>
    </xdr:from>
    <xdr:to>
      <xdr:col>24</xdr:col>
      <xdr:colOff>169118</xdr:colOff>
      <xdr:row>30</xdr:row>
      <xdr:rowOff>98961</xdr:rowOff>
    </xdr:to>
    <mc:AlternateContent xmlns:mc="http://schemas.openxmlformats.org/markup-compatibility/2006">
      <mc:Choice xmlns:a14="http://schemas.microsoft.com/office/drawing/2010/main" Requires="a14">
        <xdr:graphicFrame macro="">
          <xdr:nvGraphicFramePr>
            <xdr:cNvPr id="47" name="Region">
              <a:extLst>
                <a:ext uri="{FF2B5EF4-FFF2-40B4-BE49-F238E27FC236}">
                  <a16:creationId xmlns:a16="http://schemas.microsoft.com/office/drawing/2014/main" id="{51A983EB-D3D9-B94F-8BCB-248EFF7372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49391" y="3099787"/>
              <a:ext cx="2667000" cy="2565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1281</xdr:colOff>
      <xdr:row>6</xdr:row>
      <xdr:rowOff>77598</xdr:rowOff>
    </xdr:from>
    <xdr:to>
      <xdr:col>24</xdr:col>
      <xdr:colOff>137055</xdr:colOff>
      <xdr:row>15</xdr:row>
      <xdr:rowOff>98960</xdr:rowOff>
    </xdr:to>
    <mc:AlternateContent xmlns:mc="http://schemas.openxmlformats.org/markup-compatibility/2006">
      <mc:Choice xmlns:a14="http://schemas.microsoft.com/office/drawing/2010/main" Requires="a14">
        <xdr:graphicFrame macro="">
          <xdr:nvGraphicFramePr>
            <xdr:cNvPr id="49" name="Category">
              <a:extLst>
                <a:ext uri="{FF2B5EF4-FFF2-40B4-BE49-F238E27FC236}">
                  <a16:creationId xmlns:a16="http://schemas.microsoft.com/office/drawing/2014/main" id="{0F09D922-38E2-855B-3B3B-4BF4E3C15A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124008" y="1190910"/>
              <a:ext cx="2560320" cy="1691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119062</xdr:colOff>
      <xdr:row>5</xdr:row>
      <xdr:rowOff>52917</xdr:rowOff>
    </xdr:from>
    <xdr:to>
      <xdr:col>18</xdr:col>
      <xdr:colOff>526676</xdr:colOff>
      <xdr:row>11</xdr:row>
      <xdr:rowOff>0</xdr:rowOff>
    </xdr:to>
    <xdr:grpSp>
      <xdr:nvGrpSpPr>
        <xdr:cNvPr id="14" name="Group 13">
          <a:extLst>
            <a:ext uri="{FF2B5EF4-FFF2-40B4-BE49-F238E27FC236}">
              <a16:creationId xmlns:a16="http://schemas.microsoft.com/office/drawing/2014/main" id="{4628B202-A268-4E27-54C1-F7DF94F5110C}"/>
            </a:ext>
          </a:extLst>
        </xdr:cNvPr>
        <xdr:cNvGrpSpPr/>
      </xdr:nvGrpSpPr>
      <xdr:grpSpPr>
        <a:xfrm>
          <a:off x="2543607" y="980677"/>
          <a:ext cx="8893524" cy="1060394"/>
          <a:chOff x="806825" y="762000"/>
          <a:chExt cx="8225116" cy="1063306"/>
        </a:xfrm>
      </xdr:grpSpPr>
      <mc:AlternateContent xmlns:mc="http://schemas.openxmlformats.org/markup-compatibility/2006" xmlns:tsle="http://schemas.microsoft.com/office/drawing/2012/timeslicer">
        <mc:Choice Requires="tsle">
          <xdr:graphicFrame macro="">
            <xdr:nvGraphicFramePr>
              <xdr:cNvPr id="5" name="Order_Date">
                <a:extLst>
                  <a:ext uri="{FF2B5EF4-FFF2-40B4-BE49-F238E27FC236}">
                    <a16:creationId xmlns:a16="http://schemas.microsoft.com/office/drawing/2014/main" id="{02A93DB2-10B6-4BA5-B775-0656A8910554}"/>
                  </a:ext>
                </a:extLst>
              </xdr:cNvPr>
              <xdr:cNvGraphicFramePr/>
            </xdr:nvGraphicFramePr>
            <xdr:xfrm>
              <a:off x="2521724" y="762000"/>
              <a:ext cx="6510217" cy="1019735"/>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4397866" y="615758"/>
                <a:ext cx="7039265" cy="10288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17EC6548-2818-426C-0479-7302F98C055D}"/>
                  </a:ext>
                </a:extLst>
              </xdr:cNvPr>
              <xdr:cNvGraphicFramePr/>
            </xdr:nvGraphicFramePr>
            <xdr:xfrm>
              <a:off x="806825" y="780373"/>
              <a:ext cx="1490380" cy="1044933"/>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43607" y="634294"/>
                <a:ext cx="1611495" cy="1054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13229</xdr:colOff>
      <xdr:row>38</xdr:row>
      <xdr:rowOff>158750</xdr:rowOff>
    </xdr:from>
    <xdr:to>
      <xdr:col>24</xdr:col>
      <xdr:colOff>305289</xdr:colOff>
      <xdr:row>53</xdr:row>
      <xdr:rowOff>146539</xdr:rowOff>
    </xdr:to>
    <xdr:grpSp>
      <xdr:nvGrpSpPr>
        <xdr:cNvPr id="43" name="Group 42">
          <a:extLst>
            <a:ext uri="{FF2B5EF4-FFF2-40B4-BE49-F238E27FC236}">
              <a16:creationId xmlns:a16="http://schemas.microsoft.com/office/drawing/2014/main" id="{4FBE6002-E063-4AD0-1282-4C33ED06CBA0}"/>
            </a:ext>
          </a:extLst>
        </xdr:cNvPr>
        <xdr:cNvGrpSpPr/>
      </xdr:nvGrpSpPr>
      <xdr:grpSpPr>
        <a:xfrm>
          <a:off x="2437774" y="7209724"/>
          <a:ext cx="12414788" cy="2771068"/>
          <a:chOff x="2447396" y="6735568"/>
          <a:chExt cx="12462893" cy="2856596"/>
        </a:xfrm>
      </xdr:grpSpPr>
      <xdr:sp macro="" textlink="">
        <xdr:nvSpPr>
          <xdr:cNvPr id="17" name="Rectangle: Rounded Corners 16">
            <a:extLst>
              <a:ext uri="{FF2B5EF4-FFF2-40B4-BE49-F238E27FC236}">
                <a16:creationId xmlns:a16="http://schemas.microsoft.com/office/drawing/2014/main" id="{5554F467-B5F8-8B45-4EB5-2DF766E3E228}"/>
              </a:ext>
            </a:extLst>
          </xdr:cNvPr>
          <xdr:cNvSpPr/>
        </xdr:nvSpPr>
        <xdr:spPr>
          <a:xfrm>
            <a:off x="2447396" y="6735568"/>
            <a:ext cx="12462893" cy="2856596"/>
          </a:xfrm>
          <a:custGeom>
            <a:avLst/>
            <a:gdLst>
              <a:gd name="csX0" fmla="*/ 0 w 11590139"/>
              <a:gd name="csY0" fmla="*/ 394926 h 4185669"/>
              <a:gd name="csX1" fmla="*/ 740848 w 11590139"/>
              <a:gd name="csY1" fmla="*/ 442 h 4185669"/>
              <a:gd name="csX2" fmla="*/ 10876767 w 11590139"/>
              <a:gd name="csY2" fmla="*/ 442 h 4185669"/>
              <a:gd name="csX3" fmla="*/ 11588751 w 11590139"/>
              <a:gd name="csY3" fmla="*/ 495948 h 4185669"/>
              <a:gd name="csX4" fmla="*/ 11588751 w 11590139"/>
              <a:gd name="csY4" fmla="*/ 3733457 h 4185669"/>
              <a:gd name="csX5" fmla="*/ 10876767 w 11590139"/>
              <a:gd name="csY5" fmla="*/ 4185669 h 4185669"/>
              <a:gd name="csX6" fmla="*/ 740848 w 11590139"/>
              <a:gd name="csY6" fmla="*/ 4185669 h 4185669"/>
              <a:gd name="csX7" fmla="*/ 14433 w 11590139"/>
              <a:gd name="csY7" fmla="*/ 3733458 h 4185669"/>
              <a:gd name="csX8" fmla="*/ 0 w 11590139"/>
              <a:gd name="csY8" fmla="*/ 394926 h 418566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590139" h="4185669">
                <a:moveTo>
                  <a:pt x="0" y="394926"/>
                </a:moveTo>
                <a:cubicBezTo>
                  <a:pt x="0" y="9679"/>
                  <a:pt x="355601" y="442"/>
                  <a:pt x="740848" y="442"/>
                </a:cubicBezTo>
                <a:lnTo>
                  <a:pt x="10876767" y="442"/>
                </a:lnTo>
                <a:cubicBezTo>
                  <a:pt x="11262014" y="442"/>
                  <a:pt x="11545455" y="-33617"/>
                  <a:pt x="11588751" y="495948"/>
                </a:cubicBezTo>
                <a:cubicBezTo>
                  <a:pt x="11593562" y="1507769"/>
                  <a:pt x="11583940" y="2721636"/>
                  <a:pt x="11588751" y="3733457"/>
                </a:cubicBezTo>
                <a:cubicBezTo>
                  <a:pt x="11588751" y="4118704"/>
                  <a:pt x="11262014" y="4185669"/>
                  <a:pt x="10876767" y="4185669"/>
                </a:cubicBezTo>
                <a:lnTo>
                  <a:pt x="740848" y="4185669"/>
                </a:lnTo>
                <a:cubicBezTo>
                  <a:pt x="355601" y="4185669"/>
                  <a:pt x="14433" y="4118705"/>
                  <a:pt x="14433" y="3733458"/>
                </a:cubicBezTo>
                <a:lnTo>
                  <a:pt x="0" y="394926"/>
                </a:ln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E263A5A2-D714-8691-CAE5-48BEF084016E}"/>
              </a:ext>
            </a:extLst>
          </xdr:cNvPr>
          <xdr:cNvSpPr/>
        </xdr:nvSpPr>
        <xdr:spPr>
          <a:xfrm>
            <a:off x="2791989" y="6814038"/>
            <a:ext cx="11898493" cy="407051"/>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sp macro="" textlink="">
        <xdr:nvSpPr>
          <xdr:cNvPr id="38" name="TextBox 37">
            <a:extLst>
              <a:ext uri="{FF2B5EF4-FFF2-40B4-BE49-F238E27FC236}">
                <a16:creationId xmlns:a16="http://schemas.microsoft.com/office/drawing/2014/main" id="{195D279D-10D7-F7E2-2DF1-8AA343932E82}"/>
              </a:ext>
            </a:extLst>
          </xdr:cNvPr>
          <xdr:cNvSpPr txBox="1"/>
        </xdr:nvSpPr>
        <xdr:spPr>
          <a:xfrm>
            <a:off x="3543381" y="6814038"/>
            <a:ext cx="6461940" cy="358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Key Insights - 2025-26</a:t>
            </a:r>
          </a:p>
        </xdr:txBody>
      </xdr:sp>
      <xdr:pic>
        <xdr:nvPicPr>
          <xdr:cNvPr id="41" name="Graphic 40" descr="Lightbulb outline">
            <a:extLst>
              <a:ext uri="{FF2B5EF4-FFF2-40B4-BE49-F238E27FC236}">
                <a16:creationId xmlns:a16="http://schemas.microsoft.com/office/drawing/2014/main" id="{47E17422-F8FD-25CF-0F2D-3D27D436AE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63662" y="6838462"/>
            <a:ext cx="477412" cy="370417"/>
          </a:xfrm>
          <a:prstGeom prst="rect">
            <a:avLst/>
          </a:prstGeom>
        </xdr:spPr>
      </xdr:pic>
      <xdr:sp macro="" textlink="">
        <xdr:nvSpPr>
          <xdr:cNvPr id="42" name="TextBox 41">
            <a:extLst>
              <a:ext uri="{FF2B5EF4-FFF2-40B4-BE49-F238E27FC236}">
                <a16:creationId xmlns:a16="http://schemas.microsoft.com/office/drawing/2014/main" id="{312B5980-8EEE-DF64-2A2F-024CBD426467}"/>
              </a:ext>
            </a:extLst>
          </xdr:cNvPr>
          <xdr:cNvSpPr txBox="1"/>
        </xdr:nvSpPr>
        <xdr:spPr>
          <a:xfrm>
            <a:off x="2848967" y="7259759"/>
            <a:ext cx="11951418" cy="22102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indent="-457200">
              <a:buFont typeface="Arial" panose="020B0604020202020204" pitchFamily="34" charset="0"/>
              <a:buChar char="•"/>
            </a:pPr>
            <a:r>
              <a:rPr lang="en-US" sz="1400">
                <a:solidFill>
                  <a:schemeClr val="tx2"/>
                </a:solidFill>
              </a:rPr>
              <a:t>Overall Performance: The business generated $309.1M in Total Sales with $93.5M in Profit (30.24% Margin) across 1,156 orders, indicating strong profitability and consistent demand over 2025-26.</a:t>
            </a:r>
          </a:p>
          <a:p>
            <a:pPr marL="457200" indent="-457200">
              <a:buFont typeface="Arial" panose="020B0604020202020204" pitchFamily="34" charset="0"/>
              <a:buChar char="•"/>
            </a:pPr>
            <a:r>
              <a:rPr lang="en-US" sz="1400">
                <a:solidFill>
                  <a:schemeClr val="tx2"/>
                </a:solidFill>
              </a:rPr>
              <a:t>Regional Analysis:East (29%) and North (26%) are the top-performing regions, contributing 55% of total revenue. West (14%) shows the lowest contribution, representing a key opportunity for regional expansion and targeted marketing.</a:t>
            </a:r>
          </a:p>
          <a:p>
            <a:pPr marL="457200" indent="-457200">
              <a:buFont typeface="Arial" panose="020B0604020202020204" pitchFamily="34" charset="0"/>
              <a:buChar char="•"/>
            </a:pPr>
            <a:r>
              <a:rPr lang="en-US" sz="1400">
                <a:solidFill>
                  <a:schemeClr val="tx2"/>
                </a:solidFill>
              </a:rPr>
              <a:t>Category Contribution:Electronics dominates with $222.3M (72% of sales), outperforming Furniture ($68.3M) and Accessories ($26.6M) by a significant margin. The business is heavily reliant on Electronics, highlighting the need to diversify and drive growth in other categories.</a:t>
            </a:r>
          </a:p>
          <a:p>
            <a:pPr marL="457200" indent="-457200">
              <a:buFont typeface="Arial" panose="020B0604020202020204" pitchFamily="34" charset="0"/>
              <a:buChar char="•"/>
            </a:pPr>
            <a:r>
              <a:rPr lang="en-US" sz="1400">
                <a:solidFill>
                  <a:schemeClr val="tx2"/>
                </a:solidFill>
              </a:rPr>
              <a:t>Salesperson Performance:Suresh Raina ($41.5M) is the top performer, closely followed by Rohan Verma ($40.3M). The top 5 salespeople contribute ∼62% of total revenue, showcasing a concentrated high-performing sales force.</a:t>
            </a:r>
          </a:p>
          <a:p>
            <a:pPr marL="457200" indent="-457200">
              <a:buFont typeface="Arial" panose="020B0604020202020204" pitchFamily="34" charset="0"/>
              <a:buChar char="•"/>
            </a:pPr>
            <a:r>
              <a:rPr lang="en-US" sz="1400">
                <a:solidFill>
                  <a:schemeClr val="tx2"/>
                </a:solidFill>
              </a:rPr>
              <a:t>Seasonality &amp; Trend:Sales peaked in March ($34.8M) and July ($33.4M), with a noticeable decline in November-December ($14.3M). This seasonal dip in Q4 requires strategic promotional planning to sustain revenue.</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gggyyygyg" refreshedDate="46304.604617129633" createdVersion="8" refreshedVersion="8" minRefreshableVersion="3" recordCount="1156" xr:uid="{8B5D5061-D675-4BCF-A568-B2E3EFE75A61}">
  <cacheSource type="worksheet">
    <worksheetSource name="Clean_Data"/>
  </cacheSource>
  <cacheFields count="19">
    <cacheField name="Order_ID" numFmtId="0">
      <sharedItems/>
    </cacheField>
    <cacheField name="Order_Date" numFmtId="14">
      <sharedItems containsSemiMixedTypes="0" containsNonDate="0" containsDate="1" containsString="0" minDate="2025-01-01T00:00:00" maxDate="2026-08-24T00:00:00" count="509">
        <d v="2026-06-08T00:00:00"/>
        <d v="2025-11-13T00:00:00"/>
        <d v="2026-05-22T00:00:00"/>
        <d v="2025-03-18T00:00:00"/>
        <d v="2025-10-12T00:00:00"/>
        <d v="2025-11-24T00:00:00"/>
        <d v="2026-04-09T00:00:00"/>
        <d v="2026-06-27T00:00:00"/>
        <d v="2025-02-17T00:00:00"/>
        <d v="2025-04-03T00:00:00"/>
        <d v="2025-09-08T00:00:00"/>
        <d v="2025-03-13T00:00:00"/>
        <d v="2026-04-07T00:00:00"/>
        <d v="2026-06-24T00:00:00"/>
        <d v="2026-01-19T00:00:00"/>
        <d v="2025-10-13T00:00:00"/>
        <d v="2025-05-06T00:00:00"/>
        <d v="2025-09-28T00:00:00"/>
        <d v="2025-04-07T00:00:00"/>
        <d v="2025-08-21T00:00:00"/>
        <d v="2026-08-15T00:00:00"/>
        <d v="2025-12-26T00:00:00"/>
        <d v="2025-03-17T00:00:00"/>
        <d v="2025-01-02T00:00:00"/>
        <d v="2025-03-21T00:00:00"/>
        <d v="2025-12-17T00:00:00"/>
        <d v="2026-08-18T00:00:00"/>
        <d v="2025-03-01T00:00:00"/>
        <d v="2025-01-21T00:00:00"/>
        <d v="2025-01-26T00:00:00"/>
        <d v="2026-01-16T00:00:00"/>
        <d v="2026-02-14T00:00:00"/>
        <d v="2026-05-27T00:00:00"/>
        <d v="2026-03-20T00:00:00"/>
        <d v="2025-01-18T00:00:00"/>
        <d v="2025-01-14T00:00:00"/>
        <d v="2026-05-20T00:00:00"/>
        <d v="2025-02-14T00:00:00"/>
        <d v="2026-03-17T00:00:00"/>
        <d v="2025-02-13T00:00:00"/>
        <d v="2025-04-02T00:00:00"/>
        <d v="2026-01-23T00:00:00"/>
        <d v="2025-03-24T00:00:00"/>
        <d v="2026-03-03T00:00:00"/>
        <d v="2025-06-03T00:00:00"/>
        <d v="2025-03-12T00:00:00"/>
        <d v="2025-09-13T00:00:00"/>
        <d v="2025-04-06T00:00:00"/>
        <d v="2026-02-02T00:00:00"/>
        <d v="2025-04-08T00:00:00"/>
        <d v="2026-04-20T00:00:00"/>
        <d v="2025-09-21T00:00:00"/>
        <d v="2025-05-12T00:00:00"/>
        <d v="2026-03-01T00:00:00"/>
        <d v="2026-04-08T00:00:00"/>
        <d v="2025-02-23T00:00:00"/>
        <d v="2026-03-19T00:00:00"/>
        <d v="2025-09-06T00:00:00"/>
        <d v="2026-08-08T00:00:00"/>
        <d v="2025-01-16T00:00:00"/>
        <d v="2026-07-27T00:00:00"/>
        <d v="2026-05-21T00:00:00"/>
        <d v="2025-09-24T00:00:00"/>
        <d v="2026-01-27T00:00:00"/>
        <d v="2026-04-22T00:00:00"/>
        <d v="2025-07-16T00:00:00"/>
        <d v="2026-06-21T00:00:00"/>
        <d v="2026-04-23T00:00:00"/>
        <d v="2025-01-22T00:00:00"/>
        <d v="2026-01-08T00:00:00"/>
        <d v="2026-08-17T00:00:00"/>
        <d v="2026-01-18T00:00:00"/>
        <d v="2026-08-06T00:00:00"/>
        <d v="2026-03-22T00:00:00"/>
        <d v="2025-11-12T00:00:00"/>
        <d v="2026-02-28T00:00:00"/>
        <d v="2026-01-12T00:00:00"/>
        <d v="2026-08-05T00:00:00"/>
        <d v="2026-05-04T00:00:00"/>
        <d v="2025-07-24T00:00:00"/>
        <d v="2026-04-04T00:00:00"/>
        <d v="2026-06-06T00:00:00"/>
        <d v="2026-03-28T00:00:00"/>
        <d v="2025-12-25T00:00:00"/>
        <d v="2025-08-20T00:00:00"/>
        <d v="2026-02-20T00:00:00"/>
        <d v="2025-07-27T00:00:00"/>
        <d v="2025-12-08T00:00:00"/>
        <d v="2025-11-15T00:00:00"/>
        <d v="2026-04-17T00:00:00"/>
        <d v="2025-10-07T00:00:00"/>
        <d v="2026-06-13T00:00:00"/>
        <d v="2025-04-19T00:00:00"/>
        <d v="2026-03-11T00:00:00"/>
        <d v="2026-02-24T00:00:00"/>
        <d v="2026-08-20T00:00:00"/>
        <d v="2025-10-22T00:00:00"/>
        <d v="2025-09-26T00:00:00"/>
        <d v="2025-07-17T00:00:00"/>
        <d v="2026-03-02T00:00:00"/>
        <d v="2025-01-28T00:00:00"/>
        <d v="2025-09-27T00:00:00"/>
        <d v="2025-06-30T00:00:00"/>
        <d v="2025-09-25T00:00:00"/>
        <d v="2025-02-08T00:00:00"/>
        <d v="2025-10-05T00:00:00"/>
        <d v="2026-02-27T00:00:00"/>
        <d v="2026-06-18T00:00:00"/>
        <d v="2025-09-30T00:00:00"/>
        <d v="2025-09-29T00:00:00"/>
        <d v="2025-02-01T00:00:00"/>
        <d v="2026-07-14T00:00:00"/>
        <d v="2026-06-12T00:00:00"/>
        <d v="2026-04-01T00:00:00"/>
        <d v="2026-07-10T00:00:00"/>
        <d v="2025-06-01T00:00:00"/>
        <d v="2025-07-26T00:00:00"/>
        <d v="2025-10-19T00:00:00"/>
        <d v="2025-10-11T00:00:00"/>
        <d v="2025-07-23T00:00:00"/>
        <d v="2026-03-30T00:00:00"/>
        <d v="2026-02-08T00:00:00"/>
        <d v="2025-01-13T00:00:00"/>
        <d v="2025-05-05T00:00:00"/>
        <d v="2025-08-12T00:00:00"/>
        <d v="2025-09-18T00:00:00"/>
        <d v="2026-07-20T00:00:00"/>
        <d v="2026-02-07T00:00:00"/>
        <d v="2025-11-21T00:00:00"/>
        <d v="2025-05-16T00:00:00"/>
        <d v="2026-06-28T00:00:00"/>
        <d v="2025-11-10T00:00:00"/>
        <d v="2025-11-08T00:00:00"/>
        <d v="2025-03-11T00:00:00"/>
        <d v="2025-09-17T00:00:00"/>
        <d v="2025-09-22T00:00:00"/>
        <d v="2026-06-04T00:00:00"/>
        <d v="2025-07-14T00:00:00"/>
        <d v="2025-12-27T00:00:00"/>
        <d v="2026-04-19T00:00:00"/>
        <d v="2026-04-12T00:00:00"/>
        <d v="2025-05-27T00:00:00"/>
        <d v="2025-10-26T00:00:00"/>
        <d v="2026-02-09T00:00:00"/>
        <d v="2025-07-01T00:00:00"/>
        <d v="2025-01-17T00:00:00"/>
        <d v="2025-08-19T00:00:00"/>
        <d v="2025-04-21T00:00:00"/>
        <d v="2025-05-13T00:00:00"/>
        <d v="2026-02-16T00:00:00"/>
        <d v="2025-07-28T00:00:00"/>
        <d v="2025-07-11T00:00:00"/>
        <d v="2025-03-05T00:00:00"/>
        <d v="2025-11-11T00:00:00"/>
        <d v="2026-02-19T00:00:00"/>
        <d v="2025-10-29T00:00:00"/>
        <d v="2026-05-03T00:00:00"/>
        <d v="2025-03-09T00:00:00"/>
        <d v="2026-07-12T00:00:00"/>
        <d v="2025-02-11T00:00:00"/>
        <d v="2025-07-22T00:00:00"/>
        <d v="2025-12-12T00:00:00"/>
        <d v="2025-09-07T00:00:00"/>
        <d v="2025-08-30T00:00:00"/>
        <d v="2025-03-30T00:00:00"/>
        <d v="2026-05-28T00:00:00"/>
        <d v="2025-04-24T00:00:00"/>
        <d v="2025-07-07T00:00:00"/>
        <d v="2025-06-26T00:00:00"/>
        <d v="2025-08-06T00:00:00"/>
        <d v="2025-06-27T00:00:00"/>
        <d v="2026-06-02T00:00:00"/>
        <d v="2026-04-02T00:00:00"/>
        <d v="2025-02-16T00:00:00"/>
        <d v="2026-05-19T00:00:00"/>
        <d v="2026-07-23T00:00:00"/>
        <d v="2026-03-27T00:00:00"/>
        <d v="2025-10-04T00:00:00"/>
        <d v="2025-06-20T00:00:00"/>
        <d v="2025-12-04T00:00:00"/>
        <d v="2026-08-01T00:00:00"/>
        <d v="2025-11-07T00:00:00"/>
        <d v="2025-02-10T00:00:00"/>
        <d v="2026-07-19T00:00:00"/>
        <d v="2026-02-11T00:00:00"/>
        <d v="2026-02-10T00:00:00"/>
        <d v="2025-10-27T00:00:00"/>
        <d v="2026-01-05T00:00:00"/>
        <d v="2025-08-14T00:00:00"/>
        <d v="2026-08-14T00:00:00"/>
        <d v="2025-05-11T00:00:00"/>
        <d v="2026-05-08T00:00:00"/>
        <d v="2025-06-23T00:00:00"/>
        <d v="2026-05-07T00:00:00"/>
        <d v="2025-02-12T00:00:00"/>
        <d v="2026-01-03T00:00:00"/>
        <d v="2025-01-25T00:00:00"/>
        <d v="2025-03-31T00:00:00"/>
        <d v="2026-07-06T00:00:00"/>
        <d v="2026-01-29T00:00:00"/>
        <d v="2025-11-30T00:00:00"/>
        <d v="2025-10-18T00:00:00"/>
        <d v="2025-07-09T00:00:00"/>
        <d v="2025-09-11T00:00:00"/>
        <d v="2026-03-25T00:00:00"/>
        <d v="2025-10-16T00:00:00"/>
        <d v="2025-12-14T00:00:00"/>
        <d v="2026-03-31T00:00:00"/>
        <d v="2026-01-13T00:00:00"/>
        <d v="2025-07-31T00:00:00"/>
        <d v="2026-02-06T00:00:00"/>
        <d v="2025-08-31T00:00:00"/>
        <d v="2026-08-03T00:00:00"/>
        <d v="2025-05-21T00:00:00"/>
        <d v="2025-05-10T00:00:00"/>
        <d v="2026-07-21T00:00:00"/>
        <d v="2026-02-01T00:00:00"/>
        <d v="2025-12-18T00:00:00"/>
        <d v="2025-08-05T00:00:00"/>
        <d v="2025-09-10T00:00:00"/>
        <d v="2025-05-23T00:00:00"/>
        <d v="2025-04-22T00:00:00"/>
        <d v="2025-02-20T00:00:00"/>
        <d v="2026-05-23T00:00:00"/>
        <d v="2025-05-19T00:00:00"/>
        <d v="2026-01-09T00:00:00"/>
        <d v="2026-04-15T00:00:00"/>
        <d v="2025-12-13T00:00:00"/>
        <d v="2025-01-30T00:00:00"/>
        <d v="2025-01-08T00:00:00"/>
        <d v="2025-07-20T00:00:00"/>
        <d v="2026-04-16T00:00:00"/>
        <d v="2025-06-05T00:00:00"/>
        <d v="2025-10-03T00:00:00"/>
        <d v="2025-11-02T00:00:00"/>
        <d v="2025-08-16T00:00:00"/>
        <d v="2026-07-07T00:00:00"/>
        <d v="2025-11-26T00:00:00"/>
        <d v="2025-04-04T00:00:00"/>
        <d v="2026-03-14T00:00:00"/>
        <d v="2026-02-04T00:00:00"/>
        <d v="2026-07-08T00:00:00"/>
        <d v="2026-06-29T00:00:00"/>
        <d v="2026-02-03T00:00:00"/>
        <d v="2025-06-09T00:00:00"/>
        <d v="2025-08-08T00:00:00"/>
        <d v="2025-07-02T00:00:00"/>
        <d v="2025-11-25T00:00:00"/>
        <d v="2025-02-07T00:00:00"/>
        <d v="2026-07-02T00:00:00"/>
        <d v="2026-02-12T00:00:00"/>
        <d v="2026-01-06T00:00:00"/>
        <d v="2026-01-17T00:00:00"/>
        <d v="2026-01-30T00:00:00"/>
        <d v="2025-12-09T00:00:00"/>
        <d v="2025-08-01T00:00:00"/>
        <d v="2025-06-11T00:00:00"/>
        <d v="2026-04-18T00:00:00"/>
        <d v="2025-05-02T00:00:00"/>
        <d v="2025-01-19T00:00:00"/>
        <d v="2026-04-05T00:00:00"/>
        <d v="2025-08-15T00:00:00"/>
        <d v="2025-06-02T00:00:00"/>
        <d v="2025-02-24T00:00:00"/>
        <d v="2026-08-16T00:00:00"/>
        <d v="2025-11-29T00:00:00"/>
        <d v="2025-03-25T00:00:00"/>
        <d v="2026-06-23T00:00:00"/>
        <d v="2026-06-26T00:00:00"/>
        <d v="2025-10-17T00:00:00"/>
        <d v="2025-10-15T00:00:00"/>
        <d v="2026-05-24T00:00:00"/>
        <d v="2025-04-09T00:00:00"/>
        <d v="2026-08-02T00:00:00"/>
        <d v="2025-01-27T00:00:00"/>
        <d v="2026-02-26T00:00:00"/>
        <d v="2025-06-12T00:00:00"/>
        <d v="2025-06-25T00:00:00"/>
        <d v="2025-06-29T00:00:00"/>
        <d v="2025-10-10T00:00:00"/>
        <d v="2025-11-09T00:00:00"/>
        <d v="2026-01-10T00:00:00"/>
        <d v="2025-07-29T00:00:00"/>
        <d v="2025-01-01T00:00:00"/>
        <d v="2025-04-11T00:00:00"/>
        <d v="2025-02-25T00:00:00"/>
        <d v="2025-01-06T00:00:00"/>
        <d v="2025-09-03T00:00:00"/>
        <d v="2025-09-09T00:00:00"/>
        <d v="2025-12-31T00:00:00"/>
        <d v="2025-09-19T00:00:00"/>
        <d v="2025-02-06T00:00:00"/>
        <d v="2025-12-20T00:00:00"/>
        <d v="2025-01-24T00:00:00"/>
        <d v="2025-12-11T00:00:00"/>
        <d v="2026-06-19T00:00:00"/>
        <d v="2025-08-07T00:00:00"/>
        <d v="2025-03-19T00:00:00"/>
        <d v="2026-04-25T00:00:00"/>
        <d v="2026-05-02T00:00:00"/>
        <d v="2025-02-19T00:00:00"/>
        <d v="2025-08-02T00:00:00"/>
        <d v="2025-09-14T00:00:00"/>
        <d v="2025-06-14T00:00:00"/>
        <d v="2025-02-02T00:00:00"/>
        <d v="2025-04-15T00:00:00"/>
        <d v="2026-07-01T00:00:00"/>
        <d v="2025-01-04T00:00:00"/>
        <d v="2026-03-13T00:00:00"/>
        <d v="2025-10-30T00:00:00"/>
        <d v="2026-01-25T00:00:00"/>
        <d v="2026-05-09T00:00:00"/>
        <d v="2025-04-30T00:00:00"/>
        <d v="2026-03-12T00:00:00"/>
        <d v="2025-08-18T00:00:00"/>
        <d v="2026-06-17T00:00:00"/>
        <d v="2026-03-09T00:00:00"/>
        <d v="2026-05-18T00:00:00"/>
        <d v="2026-06-01T00:00:00"/>
        <d v="2025-07-13T00:00:00"/>
        <d v="2025-10-08T00:00:00"/>
        <d v="2025-02-03T00:00:00"/>
        <d v="2025-02-26T00:00:00"/>
        <d v="2025-09-16T00:00:00"/>
        <d v="2026-06-09T00:00:00"/>
        <d v="2026-01-22T00:00:00"/>
        <d v="2025-04-01T00:00:00"/>
        <d v="2025-03-28T00:00:00"/>
        <d v="2025-04-26T00:00:00"/>
        <d v="2025-07-04T00:00:00"/>
        <d v="2026-03-15T00:00:00"/>
        <d v="2026-07-18T00:00:00"/>
        <d v="2025-02-04T00:00:00"/>
        <d v="2025-07-05T00:00:00"/>
        <d v="2026-07-17T00:00:00"/>
        <d v="2026-05-01T00:00:00"/>
        <d v="2025-05-29T00:00:00"/>
        <d v="2025-09-04T00:00:00"/>
        <d v="2025-02-28T00:00:00"/>
        <d v="2025-04-20T00:00:00"/>
        <d v="2025-03-16T00:00:00"/>
        <d v="2025-05-09T00:00:00"/>
        <d v="2025-03-29T00:00:00"/>
        <d v="2026-06-16T00:00:00"/>
        <d v="2025-06-17T00:00:00"/>
        <d v="2025-04-05T00:00:00"/>
        <d v="2025-05-18T00:00:00"/>
        <d v="2025-09-01T00:00:00"/>
        <d v="2025-12-06T00:00:00"/>
        <d v="2026-08-22T00:00:00"/>
        <d v="2026-04-29T00:00:00"/>
        <d v="2025-06-07T00:00:00"/>
        <d v="2025-08-28T00:00:00"/>
        <d v="2025-06-08T00:00:00"/>
        <d v="2026-07-31T00:00:00"/>
        <d v="2026-02-17T00:00:00"/>
        <d v="2025-12-22T00:00:00"/>
        <d v="2025-06-04T00:00:00"/>
        <d v="2025-11-16T00:00:00"/>
        <d v="2025-07-12T00:00:00"/>
        <d v="2025-09-02T00:00:00"/>
        <d v="2025-04-29T00:00:00"/>
        <d v="2025-10-06T00:00:00"/>
        <d v="2025-11-20T00:00:00"/>
        <d v="2025-12-29T00:00:00"/>
        <d v="2026-08-23T00:00:00"/>
        <d v="2026-07-30T00:00:00"/>
        <d v="2026-06-05T00:00:00"/>
        <d v="2026-07-15T00:00:00"/>
        <d v="2026-07-04T00:00:00"/>
        <d v="2026-04-14T00:00:00"/>
        <d v="2025-12-30T00:00:00"/>
        <d v="2026-02-15T00:00:00"/>
        <d v="2025-10-25T00:00:00"/>
        <d v="2026-05-12T00:00:00"/>
        <d v="2026-07-16T00:00:00"/>
        <d v="2025-04-27T00:00:00"/>
        <d v="2025-03-15T00:00:00"/>
        <d v="2025-11-17T00:00:00"/>
        <d v="2026-02-18T00:00:00"/>
        <d v="2025-02-27T00:00:00"/>
        <d v="2025-02-18T00:00:00"/>
        <d v="2025-12-28T00:00:00"/>
        <d v="2025-10-24T00:00:00"/>
        <d v="2025-05-22T00:00:00"/>
        <d v="2026-06-11T00:00:00"/>
        <d v="2025-11-03T00:00:00"/>
        <d v="2025-12-10T00:00:00"/>
        <d v="2025-11-18T00:00:00"/>
        <d v="2025-03-23T00:00:00"/>
        <d v="2026-04-24T00:00:00"/>
        <d v="2026-01-02T00:00:00"/>
        <d v="2025-12-24T00:00:00"/>
        <d v="2026-04-13T00:00:00"/>
        <d v="2025-03-27T00:00:00"/>
        <d v="2025-10-20T00:00:00"/>
        <d v="2025-09-15T00:00:00"/>
        <d v="2025-08-17T00:00:00"/>
        <d v="2026-01-26T00:00:00"/>
        <d v="2025-01-31T00:00:00"/>
        <d v="2026-03-18T00:00:00"/>
        <d v="2026-06-14T00:00:00"/>
        <d v="2025-10-28T00:00:00"/>
        <d v="2026-01-04T00:00:00"/>
        <d v="2025-05-26T00:00:00"/>
        <d v="2026-08-12T00:00:00"/>
        <d v="2025-09-23T00:00:00"/>
        <d v="2025-10-14T00:00:00"/>
        <d v="2026-08-11T00:00:00"/>
        <d v="2026-03-04T00:00:00"/>
        <d v="2026-05-29T00:00:00"/>
        <d v="2026-05-31T00:00:00"/>
        <d v="2026-03-29T00:00:00"/>
        <d v="2025-12-02T00:00:00"/>
        <d v="2025-07-21T00:00:00"/>
        <d v="2025-01-15T00:00:00"/>
        <d v="2025-02-22T00:00:00"/>
        <d v="2025-04-14T00:00:00"/>
        <d v="2026-05-26T00:00:00"/>
        <d v="2026-01-28T00:00:00"/>
        <d v="2025-10-21T00:00:00"/>
        <d v="2026-06-30T00:00:00"/>
        <d v="2025-07-03T00:00:00"/>
        <d v="2025-10-09T00:00:00"/>
        <d v="2025-05-08T00:00:00"/>
        <d v="2026-06-10T00:00:00"/>
        <d v="2025-06-13T00:00:00"/>
        <d v="2025-05-24T00:00:00"/>
        <d v="2025-03-22T00:00:00"/>
        <d v="2025-08-29T00:00:00"/>
        <d v="2026-01-20T00:00:00"/>
        <d v="2025-12-15T00:00:00"/>
        <d v="2026-01-01T00:00:00"/>
        <d v="2025-08-24T00:00:00"/>
        <d v="2026-06-25T00:00:00"/>
        <d v="2025-01-23T00:00:00"/>
        <d v="2025-10-02T00:00:00"/>
        <d v="2025-09-20T00:00:00"/>
        <d v="2025-01-05T00:00:00"/>
        <d v="2026-08-19T00:00:00"/>
        <d v="2026-03-10T00:00:00"/>
        <d v="2025-05-31T00:00:00"/>
        <d v="2025-05-15T00:00:00"/>
        <d v="2025-04-23T00:00:00"/>
        <d v="2025-06-18T00:00:00"/>
        <d v="2025-01-12T00:00:00"/>
        <d v="2026-08-04T00:00:00"/>
        <d v="2025-04-12T00:00:00"/>
        <d v="2026-04-30T00:00:00"/>
        <d v="2026-07-11T00:00:00"/>
        <d v="2025-03-04T00:00:00"/>
        <d v="2025-01-03T00:00:00"/>
        <d v="2025-08-11T00:00:00"/>
        <d v="2026-08-07T00:00:00"/>
        <d v="2025-11-22T00:00:00"/>
        <d v="2026-01-14T00:00:00"/>
        <d v="2025-04-13T00:00:00"/>
        <d v="2026-03-23T00:00:00"/>
        <d v="2025-07-25T00:00:00"/>
        <d v="2026-05-10T00:00:00"/>
        <d v="2025-06-06T00:00:00"/>
        <d v="2025-09-05T00:00:00"/>
        <d v="2026-05-30T00:00:00"/>
        <d v="2025-09-12T00:00:00"/>
        <d v="2025-02-15T00:00:00"/>
        <d v="2025-03-26T00:00:00"/>
        <d v="2025-12-19T00:00:00"/>
        <d v="2026-07-13T00:00:00"/>
        <d v="2025-12-07T00:00:00"/>
        <d v="2025-08-04T00:00:00"/>
        <d v="2026-05-06T00:00:00"/>
        <d v="2025-02-21T00:00:00"/>
        <d v="2025-08-13T00:00:00"/>
        <d v="2026-01-07T00:00:00"/>
        <d v="2026-07-26T00:00:00"/>
        <d v="2026-04-03T00:00:00"/>
        <d v="2026-06-20T00:00:00"/>
        <d v="2026-03-07T00:00:00"/>
        <d v="2025-06-19T00:00:00"/>
        <d v="2025-11-01T00:00:00"/>
        <d v="2025-12-05T00:00:00"/>
        <d v="2025-03-10T00:00:00"/>
        <d v="2025-03-08T00:00:00"/>
        <d v="2026-04-28T00:00:00"/>
        <d v="2025-05-17T00:00:00"/>
        <d v="2025-08-27T00:00:00"/>
        <d v="2026-07-29T00:00:00"/>
        <d v="2025-07-10T00:00:00"/>
        <d v="2026-07-24T00:00:00"/>
        <d v="2025-11-06T00:00:00"/>
        <d v="2025-06-28T00:00:00"/>
        <d v="2025-12-01T00:00:00"/>
        <d v="2025-05-25T00:00:00"/>
        <d v="2026-08-09T00:00:00"/>
        <d v="2026-02-25T00:00:00"/>
        <d v="2025-05-20T00:00:00"/>
        <d v="2026-01-24T00:00:00"/>
        <d v="2025-04-10T00:00:00"/>
        <d v="2026-02-05T00:00:00"/>
        <d v="2025-11-04T00:00:00"/>
        <d v="2025-08-09T00:00:00"/>
        <d v="2026-08-21T00:00:00"/>
        <d v="2025-04-18T00:00:00"/>
        <d v="2025-03-14T00:00:00"/>
        <d v="2026-03-08T00:00:00"/>
        <d v="2025-04-28T00:00:00"/>
        <d v="2026-02-22T00:00:00"/>
        <d v="2025-07-18T00:00:00"/>
        <d v="2025-05-07T00:00:00"/>
      </sharedItems>
    </cacheField>
    <cacheField name="Salesperson" numFmtId="0">
      <sharedItems count="9">
        <s v="Priya Patel"/>
        <s v="Neha Gupta"/>
        <s v="Pooja Sharma"/>
        <s v="Vikram Singh"/>
        <s v="Rahul Sharma"/>
        <s v="Ananya Roy"/>
        <s v="Suresh Raina"/>
        <s v="Rohan Verma"/>
        <s v="Amit Kumar"/>
      </sharedItems>
    </cacheField>
    <cacheField name="Region" numFmtId="0">
      <sharedItems count="5">
        <s v="East"/>
        <s v="West"/>
        <s v="South"/>
        <s v="Central"/>
        <s v="North"/>
      </sharedItems>
    </cacheField>
    <cacheField name="Product_Code" numFmtId="0">
      <sharedItems/>
    </cacheField>
    <cacheField name="Product_Name" numFmtId="0">
      <sharedItems/>
    </cacheField>
    <cacheField name="Units_Sold" numFmtId="0">
      <sharedItems containsSemiMixedTypes="0" containsString="0" containsNumber="1" containsInteger="1" minValue="1" maxValue="19"/>
    </cacheField>
    <cacheField name="Unit_Price" numFmtId="0">
      <sharedItems containsSemiMixedTypes="0" containsString="0" containsNumber="1" containsInteger="1" minValue="2500" maxValue="75000"/>
    </cacheField>
    <cacheField name="Cost_Price" numFmtId="0">
      <sharedItems containsSemiMixedTypes="0" containsString="0" containsNumber="1" containsInteger="1" minValue="1502" maxValue="59993"/>
    </cacheField>
    <cacheField name="Payment_Method" numFmtId="0">
      <sharedItems/>
    </cacheField>
    <cacheField name="Payment_Status" numFmtId="0">
      <sharedItems/>
    </cacheField>
    <cacheField name="Total_Sales" numFmtId="0">
      <sharedItems containsSemiMixedTypes="0" containsString="0" containsNumber="1" containsInteger="1" minValue="2500" maxValue="1425000"/>
    </cacheField>
    <cacheField name="Total_Cost" numFmtId="0">
      <sharedItems containsSemiMixedTypes="0" containsString="0" containsNumber="1" containsInteger="1" minValue="1537" maxValue="1135440"/>
    </cacheField>
    <cacheField name="Profit" numFmtId="0">
      <sharedItems containsSemiMixedTypes="0" containsString="0" containsNumber="1" containsInteger="1" minValue="504" maxValue="560804"/>
    </cacheField>
    <cacheField name="Profit_Margin%" numFmtId="9">
      <sharedItems containsSemiMixedTypes="0" containsString="0" containsNumber="1" minValue="0.20003571428571429" maxValue="0.4"/>
    </cacheField>
    <cacheField name="Category" numFmtId="0">
      <sharedItems count="3">
        <s v="Accessories"/>
        <s v="Furniture"/>
        <s v="Electronics"/>
      </sharedItems>
    </cacheField>
    <cacheField name="Year" numFmtId="0">
      <sharedItems containsSemiMixedTypes="0" containsString="0" containsNumber="1" containsInteger="1" minValue="2025" maxValue="2026" count="2">
        <n v="2026"/>
        <n v="2025"/>
      </sharedItems>
    </cacheField>
    <cacheField name="Month" numFmtId="0">
      <sharedItems count="12">
        <s v="Jun"/>
        <s v="Nov"/>
        <s v="May"/>
        <s v="Mar"/>
        <s v="Oct"/>
        <s v="Apr"/>
        <s v="Feb"/>
        <s v="Sep"/>
        <s v="Jan"/>
        <s v="Aug"/>
        <s v="Dec"/>
        <s v="Jul"/>
      </sharedItems>
    </cacheField>
    <cacheField name="Month_Year" numFmtId="0">
      <sharedItems count="20">
        <s v="Jun-26"/>
        <s v="Nov-25"/>
        <s v="May-26"/>
        <s v="Mar-25"/>
        <s v="Oct-25"/>
        <s v="Apr-26"/>
        <s v="Feb-25"/>
        <s v="Apr-25"/>
        <s v="Sep-25"/>
        <s v="Jan-26"/>
        <s v="May-25"/>
        <s v="Aug-25"/>
        <s v="Aug-26"/>
        <s v="Dec-25"/>
        <s v="Jan-25"/>
        <s v="Feb-26"/>
        <s v="Mar-26"/>
        <s v="Jun-25"/>
        <s v="Jul-26"/>
        <s v="Jul-25"/>
      </sharedItems>
    </cacheField>
  </cacheFields>
  <extLst>
    <ext xmlns:x14="http://schemas.microsoft.com/office/spreadsheetml/2009/9/main" uri="{725AE2AE-9491-48be-B2B4-4EB974FC3084}">
      <x14:pivotCacheDefinition pivotCacheId="588290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6">
  <r>
    <s v="ORD-10001"/>
    <x v="0"/>
    <x v="0"/>
    <x v="0"/>
    <s v="PRD-ACC-302"/>
    <s v="Noise Cancelling Headphones"/>
    <n v="12"/>
    <n v="12500"/>
    <n v="8267"/>
    <s v="UPI"/>
    <s v="Paid"/>
    <n v="150000"/>
    <n v="99204"/>
    <n v="50796"/>
    <n v="0.33864"/>
    <x v="0"/>
    <x v="0"/>
    <x v="0"/>
    <x v="0"/>
  </r>
  <r>
    <s v="ORD-10002"/>
    <x v="1"/>
    <x v="1"/>
    <x v="0"/>
    <s v="PRD-ACC-301"/>
    <s v="USB-C Docking Station"/>
    <n v="13"/>
    <n v="8500"/>
    <n v="5143"/>
    <s v="Credit Card"/>
    <s v="Pending"/>
    <n v="110500"/>
    <n v="66859"/>
    <n v="43641"/>
    <n v="0.39494117647058824"/>
    <x v="0"/>
    <x v="1"/>
    <x v="1"/>
    <x v="1"/>
  </r>
  <r>
    <s v="ORD-10003"/>
    <x v="2"/>
    <x v="2"/>
    <x v="1"/>
    <s v="PRD-FUR-201"/>
    <s v="Ergonomic Desk Chair"/>
    <n v="3"/>
    <n v="14000"/>
    <n v="10441"/>
    <s v="Cash on Delivery"/>
    <s v="Paid"/>
    <n v="42000"/>
    <n v="31323"/>
    <n v="10677"/>
    <n v="0.25421428571428573"/>
    <x v="1"/>
    <x v="0"/>
    <x v="2"/>
    <x v="2"/>
  </r>
  <r>
    <s v="ORD-10004"/>
    <x v="3"/>
    <x v="3"/>
    <x v="0"/>
    <s v="PRD-ACC-302"/>
    <s v="Noise Cancelling Headphones"/>
    <n v="10"/>
    <n v="12500"/>
    <n v="8801"/>
    <s v="Credit Card"/>
    <s v="Pending"/>
    <n v="125000"/>
    <n v="88010"/>
    <n v="36990"/>
    <n v="0.29592000000000002"/>
    <x v="0"/>
    <x v="1"/>
    <x v="3"/>
    <x v="3"/>
  </r>
  <r>
    <s v="ORD-10005"/>
    <x v="4"/>
    <x v="3"/>
    <x v="2"/>
    <s v="PRD-FUR-202"/>
    <s v="Standing Executive Desk"/>
    <n v="8"/>
    <n v="35000"/>
    <n v="22572"/>
    <s v="UPI"/>
    <s v="Pending"/>
    <n v="280000"/>
    <n v="180576"/>
    <n v="99424"/>
    <n v="0.35508571428571428"/>
    <x v="1"/>
    <x v="1"/>
    <x v="4"/>
    <x v="4"/>
  </r>
  <r>
    <s v="ORD-10006"/>
    <x v="5"/>
    <x v="3"/>
    <x v="3"/>
    <s v="PRD-ELE-101"/>
    <s v="Monitor 27inch"/>
    <n v="11"/>
    <n v="55000"/>
    <n v="38919"/>
    <s v="Cash on Delivery"/>
    <s v="Pending"/>
    <n v="605000"/>
    <n v="428109"/>
    <n v="176891"/>
    <n v="0.29238181818181819"/>
    <x v="2"/>
    <x v="1"/>
    <x v="1"/>
    <x v="1"/>
  </r>
  <r>
    <s v="ORD-10007"/>
    <x v="6"/>
    <x v="0"/>
    <x v="4"/>
    <s v="PRD-ELE-105"/>
    <s v="Android Tablet 10inch"/>
    <n v="5"/>
    <n v="28000"/>
    <n v="21639"/>
    <s v="Cash on Delivery"/>
    <s v="Paid"/>
    <n v="140000"/>
    <n v="108195"/>
    <n v="31805"/>
    <n v="0.22717857142857142"/>
    <x v="2"/>
    <x v="0"/>
    <x v="5"/>
    <x v="5"/>
  </r>
  <r>
    <s v="ORD-10008"/>
    <x v="7"/>
    <x v="4"/>
    <x v="3"/>
    <s v="PRD-ACC-302"/>
    <s v="Noise Cancelling Headphones"/>
    <n v="9"/>
    <n v="12500"/>
    <n v="9201"/>
    <s v="Net Banking"/>
    <s v="Failed"/>
    <n v="112500"/>
    <n v="82809"/>
    <n v="29691"/>
    <n v="0.26391999999999999"/>
    <x v="0"/>
    <x v="0"/>
    <x v="0"/>
    <x v="0"/>
  </r>
  <r>
    <s v="ORD-10009"/>
    <x v="8"/>
    <x v="5"/>
    <x v="4"/>
    <s v="PRD-ELE-104"/>
    <s v="Core i7 Laptop"/>
    <n v="10"/>
    <n v="75000"/>
    <n v="52501"/>
    <s v="Net Banking"/>
    <s v="Failed"/>
    <n v="750000"/>
    <n v="525010"/>
    <n v="224990"/>
    <n v="0.29998666666666668"/>
    <x v="2"/>
    <x v="1"/>
    <x v="6"/>
    <x v="6"/>
  </r>
  <r>
    <s v="ORD-10010"/>
    <x v="9"/>
    <x v="0"/>
    <x v="0"/>
    <s v="PRD-FUR-201"/>
    <s v="Ergonomic Desk Chair"/>
    <n v="4"/>
    <n v="14000"/>
    <n v="10260"/>
    <s v="Cash on Delivery"/>
    <s v="Pending"/>
    <n v="56000"/>
    <n v="41040"/>
    <n v="14960"/>
    <n v="0.26714285714285713"/>
    <x v="1"/>
    <x v="1"/>
    <x v="5"/>
    <x v="7"/>
  </r>
  <r>
    <s v="ORD-10011"/>
    <x v="10"/>
    <x v="6"/>
    <x v="4"/>
    <s v="PRD-ACC-301"/>
    <s v="USB-C Docking Station"/>
    <n v="7"/>
    <n v="8500"/>
    <n v="6184"/>
    <s v="Credit Card"/>
    <s v="Paid"/>
    <n v="59500"/>
    <n v="43288"/>
    <n v="16212"/>
    <n v="0.27247058823529413"/>
    <x v="0"/>
    <x v="1"/>
    <x v="7"/>
    <x v="8"/>
  </r>
  <r>
    <s v="ORD-10012"/>
    <x v="11"/>
    <x v="6"/>
    <x v="3"/>
    <s v="PRD-FUR-202"/>
    <s v="Standing Executive Desk"/>
    <n v="4"/>
    <n v="35000"/>
    <n v="22680"/>
    <s v="Net Banking"/>
    <s v="Paid"/>
    <n v="140000"/>
    <n v="90720"/>
    <n v="49280"/>
    <n v="0.35199999999999998"/>
    <x v="1"/>
    <x v="1"/>
    <x v="3"/>
    <x v="3"/>
  </r>
  <r>
    <s v="ORD-10013"/>
    <x v="12"/>
    <x v="4"/>
    <x v="0"/>
    <s v="PRD-ACC-301"/>
    <s v="USB-C Docking Station"/>
    <n v="18"/>
    <n v="8500"/>
    <n v="5445"/>
    <s v="Cash on Delivery"/>
    <s v="Pending"/>
    <n v="153000"/>
    <n v="98010"/>
    <n v="54990"/>
    <n v="0.35941176470588238"/>
    <x v="0"/>
    <x v="0"/>
    <x v="5"/>
    <x v="5"/>
  </r>
  <r>
    <s v="ORD-10014"/>
    <x v="13"/>
    <x v="6"/>
    <x v="4"/>
    <s v="PRD-ELE-104"/>
    <s v="Core i7 Laptop"/>
    <n v="19"/>
    <n v="75000"/>
    <n v="54462"/>
    <s v="Cash on Delivery"/>
    <s v="Paid"/>
    <n v="1425000"/>
    <n v="1034778"/>
    <n v="390222"/>
    <n v="0.27383999999999997"/>
    <x v="2"/>
    <x v="0"/>
    <x v="0"/>
    <x v="0"/>
  </r>
  <r>
    <s v="ORD-10015"/>
    <x v="14"/>
    <x v="0"/>
    <x v="3"/>
    <s v="PRD-ELE-102"/>
    <s v="Mechanical Keyboard"/>
    <n v="1"/>
    <n v="4500"/>
    <n v="2798"/>
    <s v="Cash on Delivery"/>
    <s v="Pending"/>
    <n v="4500"/>
    <n v="2798"/>
    <n v="1702"/>
    <n v="0.37822222222222224"/>
    <x v="2"/>
    <x v="0"/>
    <x v="8"/>
    <x v="9"/>
  </r>
  <r>
    <s v="ORD-10016"/>
    <x v="15"/>
    <x v="6"/>
    <x v="1"/>
    <s v="PRD-ELE-105"/>
    <s v="Android Tablet 10inch"/>
    <n v="14"/>
    <n v="28000"/>
    <n v="18415"/>
    <s v="UPI"/>
    <s v="Paid"/>
    <n v="392000"/>
    <n v="257810"/>
    <n v="134190"/>
    <n v="0.34232142857142855"/>
    <x v="2"/>
    <x v="1"/>
    <x v="4"/>
    <x v="4"/>
  </r>
  <r>
    <s v="ORD-10017"/>
    <x v="16"/>
    <x v="7"/>
    <x v="1"/>
    <s v="PRD-ELE-102"/>
    <s v="Mechanical Keyboard"/>
    <n v="16"/>
    <n v="4500"/>
    <n v="3522"/>
    <s v="Cash on Delivery"/>
    <s v="Pending"/>
    <n v="72000"/>
    <n v="56352"/>
    <n v="15648"/>
    <n v="0.21733333333333332"/>
    <x v="2"/>
    <x v="1"/>
    <x v="2"/>
    <x v="10"/>
  </r>
  <r>
    <s v="ORD-10018"/>
    <x v="17"/>
    <x v="0"/>
    <x v="0"/>
    <s v="PRD-FUR-202"/>
    <s v="Standing Executive Desk"/>
    <n v="17"/>
    <n v="35000"/>
    <n v="24490"/>
    <s v="Cash on Delivery"/>
    <s v="Failed"/>
    <n v="595000"/>
    <n v="416330"/>
    <n v="178670"/>
    <n v="0.30028571428571427"/>
    <x v="1"/>
    <x v="1"/>
    <x v="7"/>
    <x v="8"/>
  </r>
  <r>
    <s v="ORD-10019"/>
    <x v="18"/>
    <x v="3"/>
    <x v="2"/>
    <s v="PRD-ELE-103"/>
    <s v="Wireless Mouse"/>
    <n v="8"/>
    <n v="2500"/>
    <n v="1654"/>
    <s v="UPI"/>
    <s v="Failed"/>
    <n v="20000"/>
    <n v="13232"/>
    <n v="6768"/>
    <n v="0.33839999999999998"/>
    <x v="2"/>
    <x v="1"/>
    <x v="5"/>
    <x v="7"/>
  </r>
  <r>
    <s v="ORD-10020"/>
    <x v="19"/>
    <x v="5"/>
    <x v="4"/>
    <s v="PRD-ELE-102"/>
    <s v="Mechanical Keyboard"/>
    <n v="3"/>
    <n v="4500"/>
    <n v="3020"/>
    <s v="Credit Card"/>
    <s v="Failed"/>
    <n v="13500"/>
    <n v="9060"/>
    <n v="4440"/>
    <n v="0.3288888888888889"/>
    <x v="2"/>
    <x v="1"/>
    <x v="9"/>
    <x v="11"/>
  </r>
  <r>
    <s v="ORD-10021"/>
    <x v="20"/>
    <x v="5"/>
    <x v="3"/>
    <s v="PRD-ELE-104"/>
    <s v="Core i7 Laptop"/>
    <n v="17"/>
    <n v="75000"/>
    <n v="58384"/>
    <s v="Cash on Delivery"/>
    <s v="Pending"/>
    <n v="1275000"/>
    <n v="992528"/>
    <n v="282472"/>
    <n v="0.22154666666666667"/>
    <x v="2"/>
    <x v="0"/>
    <x v="9"/>
    <x v="12"/>
  </r>
  <r>
    <s v="ORD-10023"/>
    <x v="21"/>
    <x v="1"/>
    <x v="0"/>
    <s v="PRD-ACC-302"/>
    <s v="Noise Cancelling Headphones"/>
    <n v="8"/>
    <n v="12500"/>
    <n v="9578"/>
    <s v="Cash on Delivery"/>
    <s v="Paid"/>
    <n v="100000"/>
    <n v="76624"/>
    <n v="23376"/>
    <n v="0.23376"/>
    <x v="0"/>
    <x v="1"/>
    <x v="10"/>
    <x v="13"/>
  </r>
  <r>
    <s v="ORD-10024"/>
    <x v="22"/>
    <x v="2"/>
    <x v="1"/>
    <s v="PRD-ELE-102"/>
    <s v="Mechanical Keyboard"/>
    <n v="19"/>
    <n v="4500"/>
    <n v="3519"/>
    <s v="Cash on Delivery"/>
    <s v="Failed"/>
    <n v="85500"/>
    <n v="66861"/>
    <n v="18639"/>
    <n v="0.218"/>
    <x v="2"/>
    <x v="1"/>
    <x v="3"/>
    <x v="3"/>
  </r>
  <r>
    <s v="ORD-10025"/>
    <x v="23"/>
    <x v="8"/>
    <x v="4"/>
    <s v="PRD-FUR-201"/>
    <s v="Ergonomic Desk Chair"/>
    <n v="6"/>
    <n v="14000"/>
    <n v="9825"/>
    <s v="Cash on Delivery"/>
    <s v="Failed"/>
    <n v="84000"/>
    <n v="58950"/>
    <n v="25050"/>
    <n v="0.29821428571428571"/>
    <x v="1"/>
    <x v="1"/>
    <x v="8"/>
    <x v="14"/>
  </r>
  <r>
    <s v="ORD-10026"/>
    <x v="24"/>
    <x v="6"/>
    <x v="1"/>
    <s v="PRD-ACC-302"/>
    <s v="Noise Cancelling Headphones"/>
    <n v="10"/>
    <n v="12500"/>
    <n v="8116"/>
    <s v="Cash on Delivery"/>
    <s v="Paid"/>
    <n v="125000"/>
    <n v="81160"/>
    <n v="43840"/>
    <n v="0.35071999999999998"/>
    <x v="0"/>
    <x v="1"/>
    <x v="3"/>
    <x v="3"/>
  </r>
  <r>
    <s v="ORD-10027"/>
    <x v="25"/>
    <x v="3"/>
    <x v="0"/>
    <s v="PRD-ACC-301"/>
    <s v="USB-C Docking Station"/>
    <n v="18"/>
    <n v="8500"/>
    <n v="5244"/>
    <s v="Cash on Delivery"/>
    <s v="Pending"/>
    <n v="153000"/>
    <n v="94392"/>
    <n v="58608"/>
    <n v="0.38305882352941178"/>
    <x v="0"/>
    <x v="1"/>
    <x v="10"/>
    <x v="13"/>
  </r>
  <r>
    <s v="ORD-10028"/>
    <x v="26"/>
    <x v="3"/>
    <x v="1"/>
    <s v="PRD-ELE-103"/>
    <s v="Wireless Mouse"/>
    <n v="13"/>
    <n v="2500"/>
    <n v="1661"/>
    <s v="UPI"/>
    <s v="Pending"/>
    <n v="32500"/>
    <n v="21593"/>
    <n v="10907"/>
    <n v="0.33560000000000001"/>
    <x v="2"/>
    <x v="0"/>
    <x v="9"/>
    <x v="12"/>
  </r>
  <r>
    <s v="ORD-10029"/>
    <x v="27"/>
    <x v="8"/>
    <x v="0"/>
    <s v="PRD-ACC-301"/>
    <s v="USB-C Docking Station"/>
    <n v="15"/>
    <n v="8500"/>
    <n v="5490"/>
    <s v="Cash on Delivery"/>
    <s v="Failed"/>
    <n v="127500"/>
    <n v="82350"/>
    <n v="45150"/>
    <n v="0.35411764705882354"/>
    <x v="0"/>
    <x v="1"/>
    <x v="3"/>
    <x v="3"/>
  </r>
  <r>
    <s v="ORD-10030"/>
    <x v="28"/>
    <x v="8"/>
    <x v="0"/>
    <s v="PRD-FUR-201"/>
    <s v="Ergonomic Desk Chair"/>
    <n v="16"/>
    <n v="14000"/>
    <n v="11055"/>
    <s v="Credit Card"/>
    <s v="Paid"/>
    <n v="224000"/>
    <n v="176880"/>
    <n v="47120"/>
    <n v="0.21035714285714285"/>
    <x v="1"/>
    <x v="1"/>
    <x v="8"/>
    <x v="14"/>
  </r>
  <r>
    <s v="ORD-10031"/>
    <x v="29"/>
    <x v="5"/>
    <x v="4"/>
    <s v="PRD-ACC-301"/>
    <s v="USB-C Docking Station"/>
    <n v="7"/>
    <n v="8500"/>
    <n v="5597"/>
    <s v="Cash on Delivery"/>
    <s v="Paid"/>
    <n v="59500"/>
    <n v="39179"/>
    <n v="20321"/>
    <n v="0.34152941176470586"/>
    <x v="0"/>
    <x v="1"/>
    <x v="8"/>
    <x v="14"/>
  </r>
  <r>
    <s v="ORD-10032"/>
    <x v="30"/>
    <x v="1"/>
    <x v="0"/>
    <s v="PRD-ELE-101"/>
    <s v="Monitor 27inch"/>
    <n v="15"/>
    <n v="55000"/>
    <n v="40999"/>
    <s v="Credit Card"/>
    <s v="Pending"/>
    <n v="825000"/>
    <n v="614985"/>
    <n v="210015"/>
    <n v="0.25456363636363638"/>
    <x v="2"/>
    <x v="0"/>
    <x v="8"/>
    <x v="9"/>
  </r>
  <r>
    <s v="ORD-10033"/>
    <x v="31"/>
    <x v="1"/>
    <x v="0"/>
    <s v="PRD-ACC-302"/>
    <s v="Noise Cancelling Headphones"/>
    <n v="15"/>
    <n v="12500"/>
    <n v="9244"/>
    <s v="Credit Card"/>
    <s v="Pending"/>
    <n v="187500"/>
    <n v="138660"/>
    <n v="48840"/>
    <n v="0.26047999999999999"/>
    <x v="0"/>
    <x v="0"/>
    <x v="6"/>
    <x v="15"/>
  </r>
  <r>
    <s v="ORD-10034"/>
    <x v="32"/>
    <x v="3"/>
    <x v="0"/>
    <s v="PRD-ELE-101"/>
    <s v="Monitor 27inch"/>
    <n v="4"/>
    <n v="55000"/>
    <n v="34871"/>
    <s v="Cash on Delivery"/>
    <s v="Pending"/>
    <n v="220000"/>
    <n v="139484"/>
    <n v="80516"/>
    <n v="0.36598181818181819"/>
    <x v="2"/>
    <x v="0"/>
    <x v="2"/>
    <x v="2"/>
  </r>
  <r>
    <s v="ORD-10036"/>
    <x v="33"/>
    <x v="7"/>
    <x v="0"/>
    <s v="PRD-ELE-102"/>
    <s v="Mechanical Keyboard"/>
    <n v="10"/>
    <n v="4500"/>
    <n v="3413"/>
    <s v="UPI"/>
    <s v="Pending"/>
    <n v="45000"/>
    <n v="34130"/>
    <n v="10870"/>
    <n v="0.24155555555555555"/>
    <x v="2"/>
    <x v="0"/>
    <x v="3"/>
    <x v="16"/>
  </r>
  <r>
    <s v="ORD-10037"/>
    <x v="34"/>
    <x v="1"/>
    <x v="1"/>
    <s v="PRD-ELE-102"/>
    <s v="Mechanical Keyboard"/>
    <n v="8"/>
    <n v="4500"/>
    <n v="2705"/>
    <s v="Net Banking"/>
    <s v="Paid"/>
    <n v="36000"/>
    <n v="21640"/>
    <n v="14360"/>
    <n v="0.3988888888888889"/>
    <x v="2"/>
    <x v="1"/>
    <x v="8"/>
    <x v="14"/>
  </r>
  <r>
    <s v="ORD-10038"/>
    <x v="35"/>
    <x v="5"/>
    <x v="3"/>
    <s v="PRD-ELE-103"/>
    <s v="Wireless Mouse"/>
    <n v="17"/>
    <n v="2500"/>
    <n v="1511"/>
    <s v="UPI"/>
    <s v="Paid"/>
    <n v="42500"/>
    <n v="25687"/>
    <n v="16813"/>
    <n v="0.39560000000000001"/>
    <x v="2"/>
    <x v="1"/>
    <x v="8"/>
    <x v="14"/>
  </r>
  <r>
    <s v="ORD-10039"/>
    <x v="36"/>
    <x v="6"/>
    <x v="0"/>
    <s v="PRD-FUR-201"/>
    <s v="Ergonomic Desk Chair"/>
    <n v="18"/>
    <n v="14000"/>
    <n v="9343"/>
    <s v="Cash on Delivery"/>
    <s v="Paid"/>
    <n v="252000"/>
    <n v="168174"/>
    <n v="83826"/>
    <n v="0.33264285714285713"/>
    <x v="1"/>
    <x v="0"/>
    <x v="2"/>
    <x v="2"/>
  </r>
  <r>
    <s v="ORD-10040"/>
    <x v="37"/>
    <x v="7"/>
    <x v="1"/>
    <s v="PRD-ELE-102"/>
    <s v="Mechanical Keyboard"/>
    <n v="19"/>
    <n v="4500"/>
    <n v="2999"/>
    <s v="Credit Card"/>
    <s v="Pending"/>
    <n v="85500"/>
    <n v="56981"/>
    <n v="28519"/>
    <n v="0.33355555555555555"/>
    <x v="2"/>
    <x v="1"/>
    <x v="6"/>
    <x v="6"/>
  </r>
  <r>
    <s v="ORD-10041"/>
    <x v="38"/>
    <x v="4"/>
    <x v="0"/>
    <s v="PRD-ACC-302"/>
    <s v="Noise Cancelling Headphones"/>
    <n v="6"/>
    <n v="12500"/>
    <n v="7656"/>
    <s v="Cash on Delivery"/>
    <s v="Pending"/>
    <n v="75000"/>
    <n v="45936"/>
    <n v="29064"/>
    <n v="0.38751999999999998"/>
    <x v="0"/>
    <x v="0"/>
    <x v="3"/>
    <x v="16"/>
  </r>
  <r>
    <s v="ORD-10042"/>
    <x v="39"/>
    <x v="8"/>
    <x v="4"/>
    <s v="PRD-FUR-201"/>
    <s v="Ergonomic Desk Chair"/>
    <n v="7"/>
    <n v="14000"/>
    <n v="9033"/>
    <s v="UPI"/>
    <s v="Paid"/>
    <n v="98000"/>
    <n v="63231"/>
    <n v="34769"/>
    <n v="0.35478571428571426"/>
    <x v="1"/>
    <x v="1"/>
    <x v="6"/>
    <x v="6"/>
  </r>
  <r>
    <s v="ORD-10043"/>
    <x v="22"/>
    <x v="6"/>
    <x v="3"/>
    <s v="PRD-ACC-301"/>
    <s v="USB-C Docking Station"/>
    <n v="10"/>
    <n v="8500"/>
    <n v="5453"/>
    <s v="UPI"/>
    <s v="Pending"/>
    <n v="85000"/>
    <n v="54530"/>
    <n v="30470"/>
    <n v="0.3584705882352941"/>
    <x v="0"/>
    <x v="1"/>
    <x v="3"/>
    <x v="3"/>
  </r>
  <r>
    <s v="ORD-10044"/>
    <x v="40"/>
    <x v="4"/>
    <x v="0"/>
    <s v="PRD-ELE-104"/>
    <s v="Core i7 Laptop"/>
    <n v="16"/>
    <n v="75000"/>
    <n v="56812"/>
    <s v="Net Banking"/>
    <s v="Pending"/>
    <n v="1200000"/>
    <n v="908992"/>
    <n v="291008"/>
    <n v="0.24250666666666668"/>
    <x v="2"/>
    <x v="1"/>
    <x v="5"/>
    <x v="7"/>
  </r>
  <r>
    <s v="ORD-10045"/>
    <x v="41"/>
    <x v="2"/>
    <x v="0"/>
    <s v="PRD-ELE-105"/>
    <s v="Android Tablet 10inch"/>
    <n v="12"/>
    <n v="28000"/>
    <n v="16935"/>
    <s v="Credit Card"/>
    <s v="Unknown"/>
    <n v="336000"/>
    <n v="203220"/>
    <n v="132780"/>
    <n v="0.39517857142857143"/>
    <x v="2"/>
    <x v="0"/>
    <x v="8"/>
    <x v="9"/>
  </r>
  <r>
    <s v="ORD-10046"/>
    <x v="42"/>
    <x v="8"/>
    <x v="0"/>
    <s v="PRD-ACC-301"/>
    <s v="USB-C Docking Station"/>
    <n v="15"/>
    <n v="8500"/>
    <n v="5585"/>
    <s v="Cash on Delivery"/>
    <s v="Pending"/>
    <n v="127500"/>
    <n v="83775"/>
    <n v="43725"/>
    <n v="0.34294117647058825"/>
    <x v="0"/>
    <x v="1"/>
    <x v="3"/>
    <x v="3"/>
  </r>
  <r>
    <s v="ORD-10047"/>
    <x v="43"/>
    <x v="7"/>
    <x v="0"/>
    <s v="PRD-ELE-105"/>
    <s v="Android Tablet 10inch"/>
    <n v="2"/>
    <n v="28000"/>
    <n v="19913"/>
    <s v="Net Banking"/>
    <s v="Paid"/>
    <n v="56000"/>
    <n v="39826"/>
    <n v="16174"/>
    <n v="0.28882142857142856"/>
    <x v="2"/>
    <x v="0"/>
    <x v="3"/>
    <x v="16"/>
  </r>
  <r>
    <s v="ORD-10048"/>
    <x v="44"/>
    <x v="4"/>
    <x v="4"/>
    <s v="PRD-ELE-105"/>
    <s v="Android Tablet 10inch"/>
    <n v="14"/>
    <n v="28000"/>
    <n v="20306"/>
    <s v="Net Banking"/>
    <s v="Pending"/>
    <n v="392000"/>
    <n v="284284"/>
    <n v="107716"/>
    <n v="0.2747857142857143"/>
    <x v="2"/>
    <x v="1"/>
    <x v="0"/>
    <x v="17"/>
  </r>
  <r>
    <s v="ORD-10049"/>
    <x v="45"/>
    <x v="0"/>
    <x v="1"/>
    <s v="PRD-ELE-101"/>
    <s v="Monitor 27inch"/>
    <n v="18"/>
    <n v="55000"/>
    <n v="43704"/>
    <s v="UPI"/>
    <s v="Failed"/>
    <n v="990000"/>
    <n v="786672"/>
    <n v="203328"/>
    <n v="0.20538181818181819"/>
    <x v="2"/>
    <x v="1"/>
    <x v="3"/>
    <x v="3"/>
  </r>
  <r>
    <s v="ORD-10051"/>
    <x v="46"/>
    <x v="1"/>
    <x v="4"/>
    <s v="PRD-ACC-302"/>
    <s v="Noise Cancelling Headphones"/>
    <n v="11"/>
    <n v="12500"/>
    <n v="8576"/>
    <s v="Cash on Delivery"/>
    <s v="Paid"/>
    <n v="137500"/>
    <n v="94336"/>
    <n v="43164"/>
    <n v="0.31391999999999998"/>
    <x v="0"/>
    <x v="1"/>
    <x v="7"/>
    <x v="8"/>
  </r>
  <r>
    <s v="ORD-10052"/>
    <x v="47"/>
    <x v="4"/>
    <x v="0"/>
    <s v="PRD-ELE-104"/>
    <s v="Core i7 Laptop"/>
    <n v="7"/>
    <n v="75000"/>
    <n v="45542"/>
    <s v="Credit Card"/>
    <s v="Pending"/>
    <n v="525000"/>
    <n v="318794"/>
    <n v="206206"/>
    <n v="0.39277333333333331"/>
    <x v="2"/>
    <x v="1"/>
    <x v="5"/>
    <x v="7"/>
  </r>
  <r>
    <s v="ORD-10053"/>
    <x v="48"/>
    <x v="4"/>
    <x v="4"/>
    <s v="PRD-ACC-302"/>
    <s v="Noise Cancelling Headphones"/>
    <n v="3"/>
    <n v="12500"/>
    <n v="7524"/>
    <s v="UPI"/>
    <s v="Failed"/>
    <n v="37500"/>
    <n v="22572"/>
    <n v="14928"/>
    <n v="0.39807999999999999"/>
    <x v="0"/>
    <x v="0"/>
    <x v="6"/>
    <x v="15"/>
  </r>
  <r>
    <s v="ORD-10054"/>
    <x v="49"/>
    <x v="4"/>
    <x v="0"/>
    <s v="PRD-ELE-104"/>
    <s v="Core i7 Laptop"/>
    <n v="5"/>
    <n v="75000"/>
    <n v="56214"/>
    <s v="Cash on Delivery"/>
    <s v="Paid"/>
    <n v="375000"/>
    <n v="281070"/>
    <n v="93930"/>
    <n v="0.25047999999999998"/>
    <x v="2"/>
    <x v="1"/>
    <x v="5"/>
    <x v="7"/>
  </r>
  <r>
    <s v="ORD-10055"/>
    <x v="50"/>
    <x v="8"/>
    <x v="4"/>
    <s v="PRD-ELE-104"/>
    <s v="Core i7 Laptop"/>
    <n v="13"/>
    <n v="75000"/>
    <n v="50799"/>
    <s v="Net Banking"/>
    <s v="Paid"/>
    <n v="975000"/>
    <n v="660387"/>
    <n v="314613"/>
    <n v="0.32268000000000002"/>
    <x v="2"/>
    <x v="0"/>
    <x v="5"/>
    <x v="5"/>
  </r>
  <r>
    <s v="ORD-10056"/>
    <x v="51"/>
    <x v="8"/>
    <x v="4"/>
    <s v="PRD-ACC-301"/>
    <s v="USB-C Docking Station"/>
    <n v="3"/>
    <n v="8500"/>
    <n v="5667"/>
    <s v="Cash on Delivery"/>
    <s v="Pending"/>
    <n v="25500"/>
    <n v="17001"/>
    <n v="8499"/>
    <n v="0.3332941176470588"/>
    <x v="0"/>
    <x v="1"/>
    <x v="7"/>
    <x v="8"/>
  </r>
  <r>
    <s v="ORD-10057"/>
    <x v="52"/>
    <x v="5"/>
    <x v="3"/>
    <s v="PRD-ELE-103"/>
    <s v="Wireless Mouse"/>
    <n v="6"/>
    <n v="2500"/>
    <n v="1948"/>
    <s v="Net Banking"/>
    <s v="Paid"/>
    <n v="15000"/>
    <n v="11688"/>
    <n v="3312"/>
    <n v="0.2208"/>
    <x v="2"/>
    <x v="1"/>
    <x v="2"/>
    <x v="10"/>
  </r>
  <r>
    <s v="ORD-10058"/>
    <x v="53"/>
    <x v="5"/>
    <x v="0"/>
    <s v="PRD-ELE-104"/>
    <s v="Core i7 Laptop"/>
    <n v="9"/>
    <n v="75000"/>
    <n v="48377"/>
    <s v="Cash on Delivery"/>
    <s v="Paid"/>
    <n v="675000"/>
    <n v="435393"/>
    <n v="239607"/>
    <n v="0.35497333333333331"/>
    <x v="2"/>
    <x v="0"/>
    <x v="3"/>
    <x v="16"/>
  </r>
  <r>
    <s v="ORD-10059"/>
    <x v="54"/>
    <x v="3"/>
    <x v="2"/>
    <s v="PRD-ELE-104"/>
    <s v="Core i7 Laptop"/>
    <n v="11"/>
    <n v="75000"/>
    <n v="46534"/>
    <s v="Cash on Delivery"/>
    <s v="Paid"/>
    <n v="825000"/>
    <n v="511874"/>
    <n v="313126"/>
    <n v="0.37954666666666664"/>
    <x v="2"/>
    <x v="0"/>
    <x v="5"/>
    <x v="5"/>
  </r>
  <r>
    <s v="ORD-10060"/>
    <x v="55"/>
    <x v="6"/>
    <x v="0"/>
    <s v="PRD-ELE-105"/>
    <s v="Android Tablet 10inch"/>
    <n v="13"/>
    <n v="28000"/>
    <n v="17023"/>
    <s v="Net Banking"/>
    <s v="Paid"/>
    <n v="364000"/>
    <n v="221299"/>
    <n v="142701"/>
    <n v="0.39203571428571427"/>
    <x v="2"/>
    <x v="1"/>
    <x v="6"/>
    <x v="6"/>
  </r>
  <r>
    <s v="ORD-10061"/>
    <x v="56"/>
    <x v="6"/>
    <x v="2"/>
    <s v="PRD-ACC-302"/>
    <s v="Noise Cancelling Headphones"/>
    <n v="7"/>
    <n v="12500"/>
    <n v="8504"/>
    <s v="Cash on Delivery"/>
    <s v="Pending"/>
    <n v="87500"/>
    <n v="59528"/>
    <n v="27972"/>
    <n v="0.31968000000000002"/>
    <x v="0"/>
    <x v="0"/>
    <x v="3"/>
    <x v="16"/>
  </r>
  <r>
    <s v="ORD-10062"/>
    <x v="57"/>
    <x v="1"/>
    <x v="4"/>
    <s v="PRD-ELE-101"/>
    <s v="Monitor 27inch"/>
    <n v="6"/>
    <n v="55000"/>
    <n v="38989"/>
    <s v="Net Banking"/>
    <s v="Pending"/>
    <n v="330000"/>
    <n v="233934"/>
    <n v="96066"/>
    <n v="0.29110909090909093"/>
    <x v="2"/>
    <x v="1"/>
    <x v="7"/>
    <x v="8"/>
  </r>
  <r>
    <s v="ORD-10063"/>
    <x v="58"/>
    <x v="5"/>
    <x v="1"/>
    <s v="PRD-ELE-104"/>
    <s v="Core i7 Laptop"/>
    <n v="7"/>
    <n v="75000"/>
    <n v="50367"/>
    <s v="Credit Card"/>
    <s v="Pending"/>
    <n v="525000"/>
    <n v="352569"/>
    <n v="172431"/>
    <n v="0.32844000000000001"/>
    <x v="2"/>
    <x v="0"/>
    <x v="9"/>
    <x v="12"/>
  </r>
  <r>
    <s v="ORD-10064"/>
    <x v="59"/>
    <x v="8"/>
    <x v="4"/>
    <s v="PRD-ELE-101"/>
    <s v="Monitor 27inch"/>
    <n v="3"/>
    <n v="55000"/>
    <n v="37428"/>
    <s v="Net Banking"/>
    <s v="Failed"/>
    <n v="165000"/>
    <n v="112284"/>
    <n v="52716"/>
    <n v="0.3194909090909091"/>
    <x v="2"/>
    <x v="1"/>
    <x v="8"/>
    <x v="14"/>
  </r>
  <r>
    <s v="ORD-10065"/>
    <x v="60"/>
    <x v="6"/>
    <x v="2"/>
    <s v="PRD-FUR-202"/>
    <s v="Standing Executive Desk"/>
    <n v="19"/>
    <n v="35000"/>
    <n v="22490"/>
    <s v="Net Banking"/>
    <s v="Pending"/>
    <n v="665000"/>
    <n v="427310"/>
    <n v="237690"/>
    <n v="0.35742857142857143"/>
    <x v="1"/>
    <x v="0"/>
    <x v="11"/>
    <x v="18"/>
  </r>
  <r>
    <s v="ORD-10066"/>
    <x v="61"/>
    <x v="3"/>
    <x v="4"/>
    <s v="PRD-ELE-102"/>
    <s v="Mechanical Keyboard"/>
    <n v="19"/>
    <n v="4500"/>
    <n v="3006"/>
    <s v="Cash on Delivery"/>
    <s v="Paid"/>
    <n v="85500"/>
    <n v="57114"/>
    <n v="28386"/>
    <n v="0.33200000000000002"/>
    <x v="2"/>
    <x v="0"/>
    <x v="2"/>
    <x v="2"/>
  </r>
  <r>
    <s v="ORD-10067"/>
    <x v="62"/>
    <x v="5"/>
    <x v="2"/>
    <s v="PRD-ELE-104"/>
    <s v="Core i7 Laptop"/>
    <n v="13"/>
    <n v="75000"/>
    <n v="57988"/>
    <s v="UPI"/>
    <s v="Pending"/>
    <n v="975000"/>
    <n v="753844"/>
    <n v="221156"/>
    <n v="0.22682666666666668"/>
    <x v="2"/>
    <x v="1"/>
    <x v="7"/>
    <x v="8"/>
  </r>
  <r>
    <s v="ORD-10068"/>
    <x v="63"/>
    <x v="0"/>
    <x v="2"/>
    <s v="PRD-ACC-301"/>
    <s v="USB-C Docking Station"/>
    <n v="5"/>
    <n v="8500"/>
    <n v="6394"/>
    <s v="Net Banking"/>
    <s v="Pending"/>
    <n v="42500"/>
    <n v="31970"/>
    <n v="10530"/>
    <n v="0.24776470588235294"/>
    <x v="0"/>
    <x v="0"/>
    <x v="8"/>
    <x v="9"/>
  </r>
  <r>
    <s v="ORD-10069"/>
    <x v="64"/>
    <x v="8"/>
    <x v="1"/>
    <s v="PRD-ELE-103"/>
    <s v="Wireless Mouse"/>
    <n v="15"/>
    <n v="2500"/>
    <n v="1740"/>
    <s v="Cash on Delivery"/>
    <s v="Paid"/>
    <n v="37500"/>
    <n v="26100"/>
    <n v="11400"/>
    <n v="0.30399999999999999"/>
    <x v="2"/>
    <x v="0"/>
    <x v="5"/>
    <x v="5"/>
  </r>
  <r>
    <s v="ORD-10071"/>
    <x v="65"/>
    <x v="1"/>
    <x v="4"/>
    <s v="PRD-ELE-101"/>
    <s v="Monitor 27inch"/>
    <n v="2"/>
    <n v="55000"/>
    <n v="43496"/>
    <s v="Cash on Delivery"/>
    <s v="Failed"/>
    <n v="110000"/>
    <n v="86992"/>
    <n v="23008"/>
    <n v="0.20916363636363636"/>
    <x v="2"/>
    <x v="1"/>
    <x v="11"/>
    <x v="19"/>
  </r>
  <r>
    <s v="ORD-10072"/>
    <x v="66"/>
    <x v="7"/>
    <x v="4"/>
    <s v="PRD-ELE-101"/>
    <s v="Monitor 27inch"/>
    <n v="2"/>
    <n v="55000"/>
    <n v="43601"/>
    <s v="UPI"/>
    <s v="Pending"/>
    <n v="110000"/>
    <n v="87202"/>
    <n v="22798"/>
    <n v="0.20725454545454544"/>
    <x v="2"/>
    <x v="0"/>
    <x v="0"/>
    <x v="0"/>
  </r>
  <r>
    <s v="ORD-10073"/>
    <x v="67"/>
    <x v="1"/>
    <x v="4"/>
    <s v="PRD-FUR-201"/>
    <s v="Ergonomic Desk Chair"/>
    <n v="2"/>
    <n v="14000"/>
    <n v="9284"/>
    <s v="Net Banking"/>
    <s v="Pending"/>
    <n v="28000"/>
    <n v="18568"/>
    <n v="9432"/>
    <n v="0.33685714285714285"/>
    <x v="1"/>
    <x v="0"/>
    <x v="5"/>
    <x v="5"/>
  </r>
  <r>
    <s v="ORD-10074"/>
    <x v="68"/>
    <x v="7"/>
    <x v="0"/>
    <s v="PRD-FUR-201"/>
    <s v="Ergonomic Desk Chair"/>
    <n v="5"/>
    <n v="14000"/>
    <n v="9260"/>
    <s v="Cash on Delivery"/>
    <s v="Paid"/>
    <n v="70000"/>
    <n v="46300"/>
    <n v="23700"/>
    <n v="0.33857142857142858"/>
    <x v="1"/>
    <x v="1"/>
    <x v="8"/>
    <x v="14"/>
  </r>
  <r>
    <s v="ORD-10075"/>
    <x v="0"/>
    <x v="3"/>
    <x v="3"/>
    <s v="PRD-ELE-103"/>
    <s v="Wireless Mouse"/>
    <n v="18"/>
    <n v="2500"/>
    <n v="1590"/>
    <s v="Net Banking"/>
    <s v="Paid"/>
    <n v="45000"/>
    <n v="28620"/>
    <n v="16380"/>
    <n v="0.36399999999999999"/>
    <x v="2"/>
    <x v="0"/>
    <x v="0"/>
    <x v="0"/>
  </r>
  <r>
    <s v="ORD-10076"/>
    <x v="0"/>
    <x v="4"/>
    <x v="4"/>
    <s v="PRD-ELE-101"/>
    <s v="Monitor 27inch"/>
    <n v="9"/>
    <n v="55000"/>
    <n v="41193"/>
    <s v="Net Banking"/>
    <s v="Paid"/>
    <n v="495000"/>
    <n v="370737"/>
    <n v="124263"/>
    <n v="0.25103636363636361"/>
    <x v="2"/>
    <x v="0"/>
    <x v="0"/>
    <x v="0"/>
  </r>
  <r>
    <s v="ORD-10077"/>
    <x v="33"/>
    <x v="0"/>
    <x v="0"/>
    <s v="PRD-ELE-102"/>
    <s v="Mechanical Keyboard"/>
    <n v="6"/>
    <n v="4500"/>
    <n v="2975"/>
    <s v="Cash on Delivery"/>
    <s v="Pending"/>
    <n v="27000"/>
    <n v="17850"/>
    <n v="9150"/>
    <n v="0.33888888888888891"/>
    <x v="2"/>
    <x v="0"/>
    <x v="3"/>
    <x v="16"/>
  </r>
  <r>
    <s v="ORD-10078"/>
    <x v="69"/>
    <x v="5"/>
    <x v="0"/>
    <s v="PRD-ELE-102"/>
    <s v="Mechanical Keyboard"/>
    <n v="14"/>
    <n v="4500"/>
    <n v="3314"/>
    <s v="Credit Card"/>
    <s v="Failed"/>
    <n v="63000"/>
    <n v="46396"/>
    <n v="16604"/>
    <n v="0.26355555555555554"/>
    <x v="2"/>
    <x v="0"/>
    <x v="8"/>
    <x v="9"/>
  </r>
  <r>
    <s v="ORD-10079"/>
    <x v="70"/>
    <x v="7"/>
    <x v="2"/>
    <s v="PRD-ACC-301"/>
    <s v="USB-C Docking Station"/>
    <n v="7"/>
    <n v="8500"/>
    <n v="6109"/>
    <s v="UPI"/>
    <s v="Failed"/>
    <n v="59500"/>
    <n v="42763"/>
    <n v="16737"/>
    <n v="0.28129411764705881"/>
    <x v="0"/>
    <x v="0"/>
    <x v="9"/>
    <x v="12"/>
  </r>
  <r>
    <s v="ORD-10080"/>
    <x v="71"/>
    <x v="6"/>
    <x v="0"/>
    <s v="PRD-FUR-202"/>
    <s v="Standing Executive Desk"/>
    <n v="1"/>
    <n v="35000"/>
    <n v="26990"/>
    <s v="Cash on Delivery"/>
    <s v="Pending"/>
    <n v="35000"/>
    <n v="26990"/>
    <n v="8010"/>
    <n v="0.22885714285714287"/>
    <x v="1"/>
    <x v="0"/>
    <x v="8"/>
    <x v="9"/>
  </r>
  <r>
    <s v="ORD-10081"/>
    <x v="72"/>
    <x v="5"/>
    <x v="4"/>
    <s v="PRD-ELE-102"/>
    <s v="Mechanical Keyboard"/>
    <n v="8"/>
    <n v="4500"/>
    <n v="3388"/>
    <s v="Net Banking"/>
    <s v="Paid"/>
    <n v="36000"/>
    <n v="27104"/>
    <n v="8896"/>
    <n v="0.24711111111111111"/>
    <x v="2"/>
    <x v="0"/>
    <x v="9"/>
    <x v="12"/>
  </r>
  <r>
    <s v="ORD-10082"/>
    <x v="73"/>
    <x v="2"/>
    <x v="1"/>
    <s v="PRD-ELE-103"/>
    <s v="Wireless Mouse"/>
    <n v="8"/>
    <n v="2500"/>
    <n v="1931"/>
    <s v="Credit Card"/>
    <s v="Pending"/>
    <n v="20000"/>
    <n v="15448"/>
    <n v="4552"/>
    <n v="0.2276"/>
    <x v="2"/>
    <x v="0"/>
    <x v="3"/>
    <x v="16"/>
  </r>
  <r>
    <s v="ORD-10083"/>
    <x v="48"/>
    <x v="6"/>
    <x v="0"/>
    <s v="PRD-FUR-202"/>
    <s v="Standing Executive Desk"/>
    <n v="7"/>
    <n v="35000"/>
    <n v="27748"/>
    <s v="Credit Card"/>
    <s v="Paid"/>
    <n v="245000"/>
    <n v="194236"/>
    <n v="50764"/>
    <n v="0.2072"/>
    <x v="1"/>
    <x v="0"/>
    <x v="6"/>
    <x v="15"/>
  </r>
  <r>
    <s v="ORD-10084"/>
    <x v="74"/>
    <x v="0"/>
    <x v="4"/>
    <s v="PRD-ELE-105"/>
    <s v="Android Tablet 10inch"/>
    <n v="13"/>
    <n v="28000"/>
    <n v="20663"/>
    <s v="Cash on Delivery"/>
    <s v="Paid"/>
    <n v="364000"/>
    <n v="268619"/>
    <n v="95381"/>
    <n v="0.26203571428571426"/>
    <x v="2"/>
    <x v="1"/>
    <x v="1"/>
    <x v="1"/>
  </r>
  <r>
    <s v="ORD-10085"/>
    <x v="75"/>
    <x v="5"/>
    <x v="0"/>
    <s v="PRD-FUR-201"/>
    <s v="Ergonomic Desk Chair"/>
    <n v="1"/>
    <n v="14000"/>
    <n v="9301"/>
    <s v="Credit Card"/>
    <s v="Pending"/>
    <n v="14000"/>
    <n v="9301"/>
    <n v="4699"/>
    <n v="0.33564285714285713"/>
    <x v="1"/>
    <x v="0"/>
    <x v="6"/>
    <x v="15"/>
  </r>
  <r>
    <s v="ORD-10086"/>
    <x v="76"/>
    <x v="6"/>
    <x v="4"/>
    <s v="PRD-FUR-202"/>
    <s v="Standing Executive Desk"/>
    <n v="5"/>
    <n v="35000"/>
    <n v="22780"/>
    <s v="Cash on Delivery"/>
    <s v="Pending"/>
    <n v="175000"/>
    <n v="113900"/>
    <n v="61100"/>
    <n v="0.34914285714285714"/>
    <x v="1"/>
    <x v="0"/>
    <x v="8"/>
    <x v="9"/>
  </r>
  <r>
    <s v="ORD-10087"/>
    <x v="77"/>
    <x v="4"/>
    <x v="1"/>
    <s v="PRD-ELE-101"/>
    <s v="Monitor 27inch"/>
    <n v="17"/>
    <n v="55000"/>
    <n v="35758"/>
    <s v="Net Banking"/>
    <s v="Pending"/>
    <n v="935000"/>
    <n v="607886"/>
    <n v="327114"/>
    <n v="0.34985454545454547"/>
    <x v="2"/>
    <x v="0"/>
    <x v="9"/>
    <x v="12"/>
  </r>
  <r>
    <s v="ORD-10088"/>
    <x v="78"/>
    <x v="1"/>
    <x v="2"/>
    <s v="PRD-ELE-102"/>
    <s v="Mechanical Keyboard"/>
    <n v="2"/>
    <n v="4500"/>
    <n v="3481"/>
    <s v="Credit Card"/>
    <s v="Pending"/>
    <n v="9000"/>
    <n v="6962"/>
    <n v="2038"/>
    <n v="0.22644444444444445"/>
    <x v="2"/>
    <x v="0"/>
    <x v="2"/>
    <x v="2"/>
  </r>
  <r>
    <s v="ORD-10089"/>
    <x v="13"/>
    <x v="0"/>
    <x v="0"/>
    <s v="PRD-FUR-201"/>
    <s v="Ergonomic Desk Chair"/>
    <n v="1"/>
    <n v="14000"/>
    <n v="9948"/>
    <s v="Cash on Delivery"/>
    <s v="Paid"/>
    <n v="14000"/>
    <n v="9948"/>
    <n v="4052"/>
    <n v="0.28942857142857142"/>
    <x v="1"/>
    <x v="0"/>
    <x v="0"/>
    <x v="0"/>
  </r>
  <r>
    <s v="ORD-10090"/>
    <x v="79"/>
    <x v="2"/>
    <x v="3"/>
    <s v="PRD-ELE-105"/>
    <s v="Android Tablet 10inch"/>
    <n v="5"/>
    <n v="28000"/>
    <n v="21936"/>
    <s v="Cash on Delivery"/>
    <s v="Unknown"/>
    <n v="140000"/>
    <n v="109680"/>
    <n v="30320"/>
    <n v="0.21657142857142858"/>
    <x v="2"/>
    <x v="1"/>
    <x v="11"/>
    <x v="19"/>
  </r>
  <r>
    <s v="ORD-10091"/>
    <x v="80"/>
    <x v="5"/>
    <x v="2"/>
    <s v="PRD-ELE-102"/>
    <s v="Mechanical Keyboard"/>
    <n v="15"/>
    <n v="4500"/>
    <n v="3099"/>
    <s v="Credit Card"/>
    <s v="Failed"/>
    <n v="67500"/>
    <n v="46485"/>
    <n v="21015"/>
    <n v="0.31133333333333335"/>
    <x v="2"/>
    <x v="0"/>
    <x v="5"/>
    <x v="5"/>
  </r>
  <r>
    <s v="ORD-10092"/>
    <x v="81"/>
    <x v="0"/>
    <x v="1"/>
    <s v="PRD-ELE-104"/>
    <s v="Core i7 Laptop"/>
    <n v="2"/>
    <n v="75000"/>
    <n v="48516"/>
    <s v="Net Banking"/>
    <s v="Failed"/>
    <n v="150000"/>
    <n v="97032"/>
    <n v="52968"/>
    <n v="0.35311999999999999"/>
    <x v="2"/>
    <x v="0"/>
    <x v="0"/>
    <x v="0"/>
  </r>
  <r>
    <s v="ORD-10093"/>
    <x v="82"/>
    <x v="3"/>
    <x v="0"/>
    <s v="PRD-ELE-101"/>
    <s v="Monitor 27inch"/>
    <n v="11"/>
    <n v="55000"/>
    <n v="37624"/>
    <s v="Net Banking"/>
    <s v="Paid"/>
    <n v="605000"/>
    <n v="413864"/>
    <n v="191136"/>
    <n v="0.31592727272727272"/>
    <x v="2"/>
    <x v="0"/>
    <x v="3"/>
    <x v="16"/>
  </r>
  <r>
    <s v="ORD-10094"/>
    <x v="83"/>
    <x v="7"/>
    <x v="0"/>
    <s v="PRD-ACC-302"/>
    <s v="Noise Cancelling Headphones"/>
    <n v="8"/>
    <n v="12500"/>
    <n v="8390"/>
    <s v="Cash on Delivery"/>
    <s v="Paid"/>
    <n v="100000"/>
    <n v="67120"/>
    <n v="32880"/>
    <n v="0.32879999999999998"/>
    <x v="0"/>
    <x v="1"/>
    <x v="10"/>
    <x v="13"/>
  </r>
  <r>
    <s v="ORD-10095"/>
    <x v="84"/>
    <x v="1"/>
    <x v="3"/>
    <s v="PRD-FUR-202"/>
    <s v="Standing Executive Desk"/>
    <n v="15"/>
    <n v="35000"/>
    <n v="24361"/>
    <s v="Credit Card"/>
    <s v="Failed"/>
    <n v="525000"/>
    <n v="365415"/>
    <n v="159585"/>
    <n v="0.30397142857142856"/>
    <x v="1"/>
    <x v="1"/>
    <x v="9"/>
    <x v="11"/>
  </r>
  <r>
    <s v="ORD-10096"/>
    <x v="85"/>
    <x v="3"/>
    <x v="0"/>
    <s v="PRD-ELE-102"/>
    <s v="Mechanical Keyboard"/>
    <n v="3"/>
    <n v="4500"/>
    <n v="2794"/>
    <s v="Net Banking"/>
    <s v="Paid"/>
    <n v="13500"/>
    <n v="8382"/>
    <n v="5118"/>
    <n v="0.37911111111111112"/>
    <x v="2"/>
    <x v="0"/>
    <x v="6"/>
    <x v="15"/>
  </r>
  <r>
    <s v="ORD-10097"/>
    <x v="86"/>
    <x v="8"/>
    <x v="4"/>
    <s v="PRD-ELE-104"/>
    <s v="Core i7 Laptop"/>
    <n v="16"/>
    <n v="75000"/>
    <n v="49011"/>
    <s v="Cash on Delivery"/>
    <s v="Paid"/>
    <n v="1200000"/>
    <n v="784176"/>
    <n v="415824"/>
    <n v="0.34651999999999999"/>
    <x v="2"/>
    <x v="1"/>
    <x v="11"/>
    <x v="19"/>
  </r>
  <r>
    <s v="ORD-10098"/>
    <x v="87"/>
    <x v="7"/>
    <x v="2"/>
    <s v="PRD-FUR-202"/>
    <s v="Standing Executive Desk"/>
    <n v="15"/>
    <n v="35000"/>
    <n v="25649"/>
    <s v="Cash on Delivery"/>
    <s v="Pending"/>
    <n v="525000"/>
    <n v="384735"/>
    <n v="140265"/>
    <n v="0.26717142857142856"/>
    <x v="1"/>
    <x v="1"/>
    <x v="10"/>
    <x v="13"/>
  </r>
  <r>
    <s v="ORD-10099"/>
    <x v="88"/>
    <x v="6"/>
    <x v="0"/>
    <s v="PRD-ELE-102"/>
    <s v="Mechanical Keyboard"/>
    <n v="16"/>
    <n v="4500"/>
    <n v="3562"/>
    <s v="Net Banking"/>
    <s v="Paid"/>
    <n v="72000"/>
    <n v="56992"/>
    <n v="15008"/>
    <n v="0.20844444444444443"/>
    <x v="2"/>
    <x v="1"/>
    <x v="1"/>
    <x v="1"/>
  </r>
  <r>
    <s v="ORD-10100"/>
    <x v="89"/>
    <x v="6"/>
    <x v="3"/>
    <s v="PRD-ELE-102"/>
    <s v="Mechanical Keyboard"/>
    <n v="17"/>
    <n v="4500"/>
    <n v="3574"/>
    <s v="Net Banking"/>
    <s v="Failed"/>
    <n v="76500"/>
    <n v="60758"/>
    <n v="15742"/>
    <n v="0.20577777777777778"/>
    <x v="2"/>
    <x v="0"/>
    <x v="5"/>
    <x v="5"/>
  </r>
  <r>
    <s v="ORD-10101"/>
    <x v="8"/>
    <x v="6"/>
    <x v="4"/>
    <s v="PRD-FUR-201"/>
    <s v="Ergonomic Desk Chair"/>
    <n v="9"/>
    <n v="14000"/>
    <n v="10944"/>
    <s v="Cash on Delivery"/>
    <s v="Pending"/>
    <n v="126000"/>
    <n v="98496"/>
    <n v="27504"/>
    <n v="0.21828571428571428"/>
    <x v="1"/>
    <x v="1"/>
    <x v="6"/>
    <x v="6"/>
  </r>
  <r>
    <s v="ORD-10102"/>
    <x v="90"/>
    <x v="3"/>
    <x v="4"/>
    <s v="PRD-ELE-101"/>
    <s v="Monitor 27inch"/>
    <n v="19"/>
    <n v="55000"/>
    <n v="39279"/>
    <s v="Credit Card"/>
    <s v="Failed"/>
    <n v="1045000"/>
    <n v="746301"/>
    <n v="298699"/>
    <n v="0.28583636363636361"/>
    <x v="2"/>
    <x v="1"/>
    <x v="4"/>
    <x v="4"/>
  </r>
  <r>
    <s v="ORD-10103"/>
    <x v="91"/>
    <x v="8"/>
    <x v="1"/>
    <s v="PRD-FUR-202"/>
    <s v="Standing Executive Desk"/>
    <n v="14"/>
    <n v="35000"/>
    <n v="21847"/>
    <s v="Net Banking"/>
    <s v="Pending"/>
    <n v="490000"/>
    <n v="305858"/>
    <n v="184142"/>
    <n v="0.37580000000000002"/>
    <x v="1"/>
    <x v="0"/>
    <x v="0"/>
    <x v="0"/>
  </r>
  <r>
    <s v="ORD-10104"/>
    <x v="92"/>
    <x v="0"/>
    <x v="4"/>
    <s v="PRD-ELE-105"/>
    <s v="Android Tablet 10inch"/>
    <n v="3"/>
    <n v="28000"/>
    <n v="17810"/>
    <s v="Cash on Delivery"/>
    <s v="Failed"/>
    <n v="84000"/>
    <n v="53430"/>
    <n v="30570"/>
    <n v="0.36392857142857143"/>
    <x v="2"/>
    <x v="1"/>
    <x v="5"/>
    <x v="7"/>
  </r>
  <r>
    <s v="ORD-10106"/>
    <x v="93"/>
    <x v="6"/>
    <x v="3"/>
    <s v="PRD-ELE-103"/>
    <s v="Wireless Mouse"/>
    <n v="7"/>
    <n v="2500"/>
    <n v="1863"/>
    <s v="UPI"/>
    <s v="Failed"/>
    <n v="17500"/>
    <n v="13041"/>
    <n v="4459"/>
    <n v="0.25480000000000003"/>
    <x v="2"/>
    <x v="0"/>
    <x v="3"/>
    <x v="16"/>
  </r>
  <r>
    <s v="ORD-10107"/>
    <x v="94"/>
    <x v="6"/>
    <x v="4"/>
    <s v="PRD-FUR-201"/>
    <s v="Ergonomic Desk Chair"/>
    <n v="13"/>
    <n v="14000"/>
    <n v="10379"/>
    <s v="Cash on Delivery"/>
    <s v="Paid"/>
    <n v="182000"/>
    <n v="134927"/>
    <n v="47073"/>
    <n v="0.25864285714285712"/>
    <x v="1"/>
    <x v="0"/>
    <x v="6"/>
    <x v="15"/>
  </r>
  <r>
    <s v="ORD-10108"/>
    <x v="26"/>
    <x v="5"/>
    <x v="3"/>
    <s v="PRD-ELE-104"/>
    <s v="Core i7 Laptop"/>
    <n v="1"/>
    <n v="75000"/>
    <n v="53904"/>
    <s v="Net Banking"/>
    <s v="Paid"/>
    <n v="75000"/>
    <n v="53904"/>
    <n v="21096"/>
    <n v="0.28127999999999997"/>
    <x v="2"/>
    <x v="0"/>
    <x v="9"/>
    <x v="12"/>
  </r>
  <r>
    <s v="ORD-10109"/>
    <x v="93"/>
    <x v="6"/>
    <x v="2"/>
    <s v="PRD-ACC-301"/>
    <s v="USB-C Docking Station"/>
    <n v="14"/>
    <n v="8500"/>
    <n v="6335"/>
    <s v="UPI"/>
    <s v="Pending"/>
    <n v="119000"/>
    <n v="88690"/>
    <n v="30310"/>
    <n v="0.25470588235294117"/>
    <x v="0"/>
    <x v="0"/>
    <x v="3"/>
    <x v="16"/>
  </r>
  <r>
    <s v="ORD-10110"/>
    <x v="95"/>
    <x v="5"/>
    <x v="4"/>
    <s v="PRD-ELE-101"/>
    <s v="Monitor 27inch"/>
    <n v="11"/>
    <n v="55000"/>
    <n v="34203"/>
    <s v="Net Banking"/>
    <s v="Failed"/>
    <n v="605000"/>
    <n v="376233"/>
    <n v="228767"/>
    <n v="0.3781272727272727"/>
    <x v="2"/>
    <x v="0"/>
    <x v="9"/>
    <x v="12"/>
  </r>
  <r>
    <s v="ORD-10111"/>
    <x v="96"/>
    <x v="5"/>
    <x v="0"/>
    <s v="PRD-FUR-201"/>
    <s v="Ergonomic Desk Chair"/>
    <n v="3"/>
    <n v="14000"/>
    <n v="8562"/>
    <s v="UPI"/>
    <s v="Pending"/>
    <n v="42000"/>
    <n v="25686"/>
    <n v="16314"/>
    <n v="0.3884285714285714"/>
    <x v="1"/>
    <x v="1"/>
    <x v="4"/>
    <x v="4"/>
  </r>
  <r>
    <s v="ORD-10112"/>
    <x v="97"/>
    <x v="7"/>
    <x v="0"/>
    <s v="PRD-ACC-301"/>
    <s v="USB-C Docking Station"/>
    <n v="6"/>
    <n v="8500"/>
    <n v="6734"/>
    <s v="UPI"/>
    <s v="Pending"/>
    <n v="51000"/>
    <n v="40404"/>
    <n v="10596"/>
    <n v="0.20776470588235293"/>
    <x v="0"/>
    <x v="1"/>
    <x v="7"/>
    <x v="8"/>
  </r>
  <r>
    <s v="ORD-10113"/>
    <x v="98"/>
    <x v="1"/>
    <x v="4"/>
    <s v="PRD-ELE-102"/>
    <s v="Mechanical Keyboard"/>
    <n v="12"/>
    <n v="4500"/>
    <n v="3447"/>
    <s v="Credit Card"/>
    <s v="Paid"/>
    <n v="54000"/>
    <n v="41364"/>
    <n v="12636"/>
    <n v="0.23400000000000001"/>
    <x v="2"/>
    <x v="1"/>
    <x v="11"/>
    <x v="19"/>
  </r>
  <r>
    <s v="ORD-10114"/>
    <x v="51"/>
    <x v="5"/>
    <x v="4"/>
    <s v="PRD-ELE-105"/>
    <s v="Android Tablet 10inch"/>
    <n v="15"/>
    <n v="28000"/>
    <n v="17914"/>
    <s v="Cash on Delivery"/>
    <s v="Pending"/>
    <n v="420000"/>
    <n v="268710"/>
    <n v="151290"/>
    <n v="0.36021428571428571"/>
    <x v="2"/>
    <x v="1"/>
    <x v="7"/>
    <x v="8"/>
  </r>
  <r>
    <s v="ORD-10115"/>
    <x v="55"/>
    <x v="0"/>
    <x v="4"/>
    <s v="PRD-ELE-101"/>
    <s v="Monitor 27inch"/>
    <n v="13"/>
    <n v="55000"/>
    <n v="38115"/>
    <s v="Cash on Delivery"/>
    <s v="Pending"/>
    <n v="715000"/>
    <n v="495495"/>
    <n v="219505"/>
    <n v="0.307"/>
    <x v="2"/>
    <x v="1"/>
    <x v="6"/>
    <x v="6"/>
  </r>
  <r>
    <s v="ORD-10116"/>
    <x v="99"/>
    <x v="0"/>
    <x v="2"/>
    <s v="PRD-ELE-101"/>
    <s v="Monitor 27inch"/>
    <n v="2"/>
    <n v="55000"/>
    <n v="38874"/>
    <s v="Cash on Delivery"/>
    <s v="Paid"/>
    <n v="110000"/>
    <n v="77748"/>
    <n v="32252"/>
    <n v="0.29320000000000002"/>
    <x v="2"/>
    <x v="0"/>
    <x v="3"/>
    <x v="16"/>
  </r>
  <r>
    <s v="ORD-10117"/>
    <x v="100"/>
    <x v="2"/>
    <x v="4"/>
    <s v="PRD-ELE-101"/>
    <s v="Monitor 27inch"/>
    <n v="2"/>
    <n v="55000"/>
    <n v="42082"/>
    <s v="Cash on Delivery"/>
    <s v="Paid"/>
    <n v="110000"/>
    <n v="84164"/>
    <n v="25836"/>
    <n v="0.23487272727272726"/>
    <x v="2"/>
    <x v="1"/>
    <x v="8"/>
    <x v="14"/>
  </r>
  <r>
    <s v="ORD-10118"/>
    <x v="101"/>
    <x v="7"/>
    <x v="3"/>
    <s v="PRD-ACC-301"/>
    <s v="USB-C Docking Station"/>
    <n v="16"/>
    <n v="8500"/>
    <n v="5452"/>
    <s v="Cash on Delivery"/>
    <s v="Paid"/>
    <n v="136000"/>
    <n v="87232"/>
    <n v="48768"/>
    <n v="0.35858823529411765"/>
    <x v="0"/>
    <x v="1"/>
    <x v="7"/>
    <x v="8"/>
  </r>
  <r>
    <s v="ORD-10119"/>
    <x v="102"/>
    <x v="4"/>
    <x v="0"/>
    <s v="PRD-ELE-101"/>
    <s v="Monitor 27inch"/>
    <n v="12"/>
    <n v="55000"/>
    <n v="38126"/>
    <s v="Cash on Delivery"/>
    <s v="Paid"/>
    <n v="660000"/>
    <n v="457512"/>
    <n v="202488"/>
    <n v="0.30680000000000002"/>
    <x v="2"/>
    <x v="1"/>
    <x v="0"/>
    <x v="17"/>
  </r>
  <r>
    <s v="ORD-10120"/>
    <x v="103"/>
    <x v="7"/>
    <x v="1"/>
    <s v="PRD-ELE-101"/>
    <s v="Monitor 27inch"/>
    <n v="1"/>
    <n v="55000"/>
    <n v="35185"/>
    <s v="Credit Card"/>
    <s v="Pending"/>
    <n v="55000"/>
    <n v="35185"/>
    <n v="19815"/>
    <n v="0.3602727272727273"/>
    <x v="2"/>
    <x v="1"/>
    <x v="7"/>
    <x v="8"/>
  </r>
  <r>
    <s v="ORD-10121"/>
    <x v="104"/>
    <x v="6"/>
    <x v="2"/>
    <s v="PRD-ELE-103"/>
    <s v="Wireless Mouse"/>
    <n v="15"/>
    <n v="2500"/>
    <n v="1937"/>
    <s v="UPI"/>
    <s v="Paid"/>
    <n v="37500"/>
    <n v="29055"/>
    <n v="8445"/>
    <n v="0.22520000000000001"/>
    <x v="2"/>
    <x v="1"/>
    <x v="6"/>
    <x v="6"/>
  </r>
  <r>
    <s v="ORD-10122"/>
    <x v="43"/>
    <x v="8"/>
    <x v="4"/>
    <s v="PRD-ELE-105"/>
    <s v="Android Tablet 10inch"/>
    <n v="2"/>
    <n v="28000"/>
    <n v="22399"/>
    <s v="UPI"/>
    <s v="Pending"/>
    <n v="56000"/>
    <n v="44798"/>
    <n v="11202"/>
    <n v="0.20003571428571429"/>
    <x v="2"/>
    <x v="0"/>
    <x v="3"/>
    <x v="16"/>
  </r>
  <r>
    <s v="ORD-10123"/>
    <x v="54"/>
    <x v="2"/>
    <x v="3"/>
    <s v="PRD-ELE-102"/>
    <s v="Mechanical Keyboard"/>
    <n v="1"/>
    <n v="4500"/>
    <n v="3177"/>
    <s v="Cash on Delivery"/>
    <s v="Pending"/>
    <n v="4500"/>
    <n v="3177"/>
    <n v="1323"/>
    <n v="0.29399999999999998"/>
    <x v="2"/>
    <x v="0"/>
    <x v="5"/>
    <x v="5"/>
  </r>
  <r>
    <s v="ORD-10124"/>
    <x v="105"/>
    <x v="6"/>
    <x v="4"/>
    <s v="PRD-ELE-105"/>
    <s v="Android Tablet 10inch"/>
    <n v="11"/>
    <n v="28000"/>
    <n v="21333"/>
    <s v="Net Banking"/>
    <s v="Paid"/>
    <n v="308000"/>
    <n v="234663"/>
    <n v="73337"/>
    <n v="0.23810714285714285"/>
    <x v="2"/>
    <x v="1"/>
    <x v="4"/>
    <x v="4"/>
  </r>
  <r>
    <s v="ORD-10125"/>
    <x v="106"/>
    <x v="7"/>
    <x v="0"/>
    <s v="PRD-FUR-201"/>
    <s v="Ergonomic Desk Chair"/>
    <n v="18"/>
    <n v="14000"/>
    <n v="8692"/>
    <s v="UPI"/>
    <s v="Paid"/>
    <n v="252000"/>
    <n v="156456"/>
    <n v="95544"/>
    <n v="0.37914285714285717"/>
    <x v="1"/>
    <x v="0"/>
    <x v="6"/>
    <x v="15"/>
  </r>
  <r>
    <s v="ORD-10126"/>
    <x v="107"/>
    <x v="2"/>
    <x v="0"/>
    <s v="PRD-ACC-301"/>
    <s v="USB-C Docking Station"/>
    <n v="14"/>
    <n v="8500"/>
    <n v="5222"/>
    <s v="Cash on Delivery"/>
    <s v="Failed"/>
    <n v="119000"/>
    <n v="73108"/>
    <n v="45892"/>
    <n v="0.3856470588235294"/>
    <x v="0"/>
    <x v="0"/>
    <x v="0"/>
    <x v="0"/>
  </r>
  <r>
    <s v="ORD-10127"/>
    <x v="108"/>
    <x v="3"/>
    <x v="0"/>
    <s v="PRD-ACC-302"/>
    <s v="Noise Cancelling Headphones"/>
    <n v="1"/>
    <n v="12500"/>
    <n v="7640"/>
    <s v="UPI"/>
    <s v="Paid"/>
    <n v="12500"/>
    <n v="7640"/>
    <n v="4860"/>
    <n v="0.38879999999999998"/>
    <x v="0"/>
    <x v="1"/>
    <x v="7"/>
    <x v="8"/>
  </r>
  <r>
    <s v="ORD-10128"/>
    <x v="109"/>
    <x v="6"/>
    <x v="1"/>
    <s v="PRD-FUR-201"/>
    <s v="Ergonomic Desk Chair"/>
    <n v="16"/>
    <n v="14000"/>
    <n v="8912"/>
    <s v="Net Banking"/>
    <s v="Paid"/>
    <n v="224000"/>
    <n v="142592"/>
    <n v="81408"/>
    <n v="0.36342857142857143"/>
    <x v="1"/>
    <x v="1"/>
    <x v="7"/>
    <x v="8"/>
  </r>
  <r>
    <s v="ORD-10129"/>
    <x v="110"/>
    <x v="2"/>
    <x v="4"/>
    <s v="PRD-ELE-102"/>
    <s v="Mechanical Keyboard"/>
    <n v="5"/>
    <n v="4500"/>
    <n v="3074"/>
    <s v="Cash on Delivery"/>
    <s v="Failed"/>
    <n v="22500"/>
    <n v="15370"/>
    <n v="7130"/>
    <n v="0.31688888888888889"/>
    <x v="2"/>
    <x v="1"/>
    <x v="6"/>
    <x v="6"/>
  </r>
  <r>
    <s v="ORD-10130"/>
    <x v="111"/>
    <x v="5"/>
    <x v="3"/>
    <s v="PRD-ACC-302"/>
    <s v="Noise Cancelling Headphones"/>
    <n v="4"/>
    <n v="12500"/>
    <n v="8112"/>
    <s v="UPI"/>
    <s v="Pending"/>
    <n v="50000"/>
    <n v="32448"/>
    <n v="17552"/>
    <n v="0.35104000000000002"/>
    <x v="0"/>
    <x v="0"/>
    <x v="11"/>
    <x v="18"/>
  </r>
  <r>
    <s v="ORD-10131"/>
    <x v="112"/>
    <x v="2"/>
    <x v="4"/>
    <s v="PRD-ACC-302"/>
    <s v="Noise Cancelling Headphones"/>
    <n v="15"/>
    <n v="12500"/>
    <n v="8344"/>
    <s v="Cash on Delivery"/>
    <s v="Failed"/>
    <n v="187500"/>
    <n v="125160"/>
    <n v="62340"/>
    <n v="0.33248"/>
    <x v="0"/>
    <x v="0"/>
    <x v="0"/>
    <x v="0"/>
  </r>
  <r>
    <s v="ORD-10132"/>
    <x v="113"/>
    <x v="0"/>
    <x v="4"/>
    <s v="PRD-ACC-302"/>
    <s v="Noise Cancelling Headphones"/>
    <n v="4"/>
    <n v="12500"/>
    <n v="7853"/>
    <s v="Cash on Delivery"/>
    <s v="Pending"/>
    <n v="50000"/>
    <n v="31412"/>
    <n v="18588"/>
    <n v="0.37175999999999998"/>
    <x v="0"/>
    <x v="0"/>
    <x v="5"/>
    <x v="5"/>
  </r>
  <r>
    <s v="ORD-10133"/>
    <x v="98"/>
    <x v="6"/>
    <x v="4"/>
    <s v="PRD-ACC-301"/>
    <s v="USB-C Docking Station"/>
    <n v="6"/>
    <n v="8500"/>
    <n v="5341"/>
    <s v="Cash on Delivery"/>
    <s v="Paid"/>
    <n v="51000"/>
    <n v="32046"/>
    <n v="18954"/>
    <n v="0.37164705882352939"/>
    <x v="0"/>
    <x v="1"/>
    <x v="11"/>
    <x v="19"/>
  </r>
  <r>
    <s v="ORD-10134"/>
    <x v="114"/>
    <x v="1"/>
    <x v="3"/>
    <s v="PRD-ACC-302"/>
    <s v="Noise Cancelling Headphones"/>
    <n v="18"/>
    <n v="12500"/>
    <n v="8212"/>
    <s v="Cash on Delivery"/>
    <s v="Paid"/>
    <n v="225000"/>
    <n v="147816"/>
    <n v="77184"/>
    <n v="0.34304000000000001"/>
    <x v="0"/>
    <x v="0"/>
    <x v="11"/>
    <x v="18"/>
  </r>
  <r>
    <s v="ORD-10135"/>
    <x v="115"/>
    <x v="1"/>
    <x v="1"/>
    <s v="PRD-ACC-301"/>
    <s v="USB-C Docking Station"/>
    <n v="9"/>
    <n v="8500"/>
    <n v="6402"/>
    <s v="Net Banking"/>
    <s v="Unknown"/>
    <n v="76500"/>
    <n v="57618"/>
    <n v="18882"/>
    <n v="0.24682352941176472"/>
    <x v="0"/>
    <x v="1"/>
    <x v="0"/>
    <x v="17"/>
  </r>
  <r>
    <s v="ORD-10136"/>
    <x v="79"/>
    <x v="4"/>
    <x v="4"/>
    <s v="PRD-ELE-102"/>
    <s v="Mechanical Keyboard"/>
    <n v="19"/>
    <n v="4500"/>
    <n v="3101"/>
    <s v="Net Banking"/>
    <s v="Pending"/>
    <n v="85500"/>
    <n v="58919"/>
    <n v="26581"/>
    <n v="0.31088888888888888"/>
    <x v="2"/>
    <x v="1"/>
    <x v="11"/>
    <x v="19"/>
  </r>
  <r>
    <s v="ORD-10137"/>
    <x v="116"/>
    <x v="2"/>
    <x v="1"/>
    <s v="PRD-ELE-102"/>
    <s v="Mechanical Keyboard"/>
    <n v="13"/>
    <n v="4500"/>
    <n v="2906"/>
    <s v="Cash on Delivery"/>
    <s v="Paid"/>
    <n v="58500"/>
    <n v="37778"/>
    <n v="20722"/>
    <n v="0.35422222222222222"/>
    <x v="2"/>
    <x v="1"/>
    <x v="11"/>
    <x v="19"/>
  </r>
  <r>
    <s v="ORD-10138"/>
    <x v="117"/>
    <x v="4"/>
    <x v="0"/>
    <s v="PRD-ELE-101"/>
    <s v="Monitor 27inch"/>
    <n v="11"/>
    <n v="55000"/>
    <n v="36566"/>
    <s v="Cash on Delivery"/>
    <s v="Paid"/>
    <n v="605000"/>
    <n v="402226"/>
    <n v="202774"/>
    <n v="0.33516363636363639"/>
    <x v="2"/>
    <x v="1"/>
    <x v="4"/>
    <x v="4"/>
  </r>
  <r>
    <s v="ORD-10139"/>
    <x v="118"/>
    <x v="6"/>
    <x v="2"/>
    <s v="PRD-FUR-201"/>
    <s v="Ergonomic Desk Chair"/>
    <n v="11"/>
    <n v="14000"/>
    <n v="9338"/>
    <s v="Cash on Delivery"/>
    <s v="Pending"/>
    <n v="154000"/>
    <n v="102718"/>
    <n v="51282"/>
    <n v="0.33300000000000002"/>
    <x v="1"/>
    <x v="1"/>
    <x v="4"/>
    <x v="4"/>
  </r>
  <r>
    <s v="ORD-10141"/>
    <x v="119"/>
    <x v="5"/>
    <x v="2"/>
    <s v="PRD-ELE-105"/>
    <s v="Android Tablet 10inch"/>
    <n v="12"/>
    <n v="28000"/>
    <n v="20889"/>
    <s v="Cash on Delivery"/>
    <s v="Failed"/>
    <n v="336000"/>
    <n v="250668"/>
    <n v="85332"/>
    <n v="0.2539642857142857"/>
    <x v="2"/>
    <x v="1"/>
    <x v="11"/>
    <x v="19"/>
  </r>
  <r>
    <s v="ORD-10142"/>
    <x v="120"/>
    <x v="0"/>
    <x v="0"/>
    <s v="PRD-ELE-105"/>
    <s v="Android Tablet 10inch"/>
    <n v="19"/>
    <n v="28000"/>
    <n v="17842"/>
    <s v="Cash on Delivery"/>
    <s v="Pending"/>
    <n v="532000"/>
    <n v="338998"/>
    <n v="193002"/>
    <n v="0.36278571428571427"/>
    <x v="2"/>
    <x v="0"/>
    <x v="3"/>
    <x v="16"/>
  </r>
  <r>
    <s v="ORD-10143"/>
    <x v="121"/>
    <x v="1"/>
    <x v="0"/>
    <s v="PRD-ELE-103"/>
    <s v="Wireless Mouse"/>
    <n v="12"/>
    <n v="2500"/>
    <n v="1906"/>
    <s v="Cash on Delivery"/>
    <s v="Pending"/>
    <n v="30000"/>
    <n v="22872"/>
    <n v="7128"/>
    <n v="0.23760000000000001"/>
    <x v="2"/>
    <x v="0"/>
    <x v="6"/>
    <x v="15"/>
  </r>
  <r>
    <s v="ORD-10144"/>
    <x v="3"/>
    <x v="7"/>
    <x v="0"/>
    <s v="PRD-ELE-103"/>
    <s v="Wireless Mouse"/>
    <n v="10"/>
    <n v="2500"/>
    <n v="1575"/>
    <s v="Net Banking"/>
    <s v="Failed"/>
    <n v="25000"/>
    <n v="15750"/>
    <n v="9250"/>
    <n v="0.37"/>
    <x v="2"/>
    <x v="1"/>
    <x v="3"/>
    <x v="3"/>
  </r>
  <r>
    <s v="ORD-10145"/>
    <x v="38"/>
    <x v="6"/>
    <x v="1"/>
    <s v="PRD-FUR-201"/>
    <s v="Ergonomic Desk Chair"/>
    <n v="15"/>
    <n v="14000"/>
    <n v="11154"/>
    <s v="Cash on Delivery"/>
    <s v="Paid"/>
    <n v="210000"/>
    <n v="167310"/>
    <n v="42690"/>
    <n v="0.20328571428571429"/>
    <x v="1"/>
    <x v="0"/>
    <x v="3"/>
    <x v="16"/>
  </r>
  <r>
    <s v="ORD-10146"/>
    <x v="23"/>
    <x v="4"/>
    <x v="0"/>
    <s v="PRD-ACC-301"/>
    <s v="USB-C Docking Station"/>
    <n v="11"/>
    <n v="8500"/>
    <n v="6344"/>
    <s v="Net Banking"/>
    <s v="Failed"/>
    <n v="93500"/>
    <n v="69784"/>
    <n v="23716"/>
    <n v="0.25364705882352939"/>
    <x v="0"/>
    <x v="1"/>
    <x v="8"/>
    <x v="14"/>
  </r>
  <r>
    <s v="ORD-10147"/>
    <x v="122"/>
    <x v="7"/>
    <x v="4"/>
    <s v="PRD-FUR-202"/>
    <s v="Standing Executive Desk"/>
    <n v="10"/>
    <n v="35000"/>
    <n v="22441"/>
    <s v="UPI"/>
    <s v="Pending"/>
    <n v="350000"/>
    <n v="224410"/>
    <n v="125590"/>
    <n v="0.35882857142857144"/>
    <x v="1"/>
    <x v="1"/>
    <x v="8"/>
    <x v="14"/>
  </r>
  <r>
    <s v="ORD-10148"/>
    <x v="22"/>
    <x v="0"/>
    <x v="2"/>
    <s v="PRD-FUR-201"/>
    <s v="Ergonomic Desk Chair"/>
    <n v="6"/>
    <n v="14000"/>
    <n v="9328"/>
    <s v="UPI"/>
    <s v="Pending"/>
    <n v="84000"/>
    <n v="55968"/>
    <n v="28032"/>
    <n v="0.33371428571428574"/>
    <x v="1"/>
    <x v="1"/>
    <x v="3"/>
    <x v="3"/>
  </r>
  <r>
    <s v="ORD-10149"/>
    <x v="123"/>
    <x v="6"/>
    <x v="0"/>
    <s v="PRD-ELE-104"/>
    <s v="Core i7 Laptop"/>
    <n v="1"/>
    <n v="75000"/>
    <n v="57161"/>
    <s v="Credit Card"/>
    <s v="Paid"/>
    <n v="75000"/>
    <n v="57161"/>
    <n v="17839"/>
    <n v="0.23785333333333333"/>
    <x v="2"/>
    <x v="1"/>
    <x v="2"/>
    <x v="10"/>
  </r>
  <r>
    <s v="ORD-10151"/>
    <x v="124"/>
    <x v="5"/>
    <x v="3"/>
    <s v="PRD-ACC-301"/>
    <s v="USB-C Docking Station"/>
    <n v="1"/>
    <n v="8500"/>
    <n v="5295"/>
    <s v="Credit Card"/>
    <s v="Pending"/>
    <n v="8500"/>
    <n v="5295"/>
    <n v="3205"/>
    <n v="0.37705882352941178"/>
    <x v="0"/>
    <x v="1"/>
    <x v="9"/>
    <x v="11"/>
  </r>
  <r>
    <s v="ORD-10152"/>
    <x v="125"/>
    <x v="4"/>
    <x v="3"/>
    <s v="PRD-FUR-202"/>
    <s v="Standing Executive Desk"/>
    <n v="14"/>
    <n v="35000"/>
    <n v="25750"/>
    <s v="Credit Card"/>
    <s v="Paid"/>
    <n v="490000"/>
    <n v="360500"/>
    <n v="129500"/>
    <n v="0.26428571428571429"/>
    <x v="1"/>
    <x v="1"/>
    <x v="7"/>
    <x v="8"/>
  </r>
  <r>
    <s v="ORD-10153"/>
    <x v="126"/>
    <x v="8"/>
    <x v="4"/>
    <s v="PRD-FUR-201"/>
    <s v="Ergonomic Desk Chair"/>
    <n v="11"/>
    <n v="14000"/>
    <n v="9589"/>
    <s v="Credit Card"/>
    <s v="Pending"/>
    <n v="154000"/>
    <n v="105479"/>
    <n v="48521"/>
    <n v="0.31507142857142856"/>
    <x v="1"/>
    <x v="0"/>
    <x v="11"/>
    <x v="18"/>
  </r>
  <r>
    <s v="ORD-10154"/>
    <x v="127"/>
    <x v="2"/>
    <x v="0"/>
    <s v="PRD-ELE-103"/>
    <s v="Wireless Mouse"/>
    <n v="9"/>
    <n v="2500"/>
    <n v="1908"/>
    <s v="Cash on Delivery"/>
    <s v="Paid"/>
    <n v="22500"/>
    <n v="17172"/>
    <n v="5328"/>
    <n v="0.23680000000000001"/>
    <x v="2"/>
    <x v="0"/>
    <x v="6"/>
    <x v="15"/>
  </r>
  <r>
    <s v="ORD-10155"/>
    <x v="128"/>
    <x v="8"/>
    <x v="4"/>
    <s v="PRD-FUR-201"/>
    <s v="Ergonomic Desk Chair"/>
    <n v="14"/>
    <n v="14000"/>
    <n v="11104"/>
    <s v="Credit Card"/>
    <s v="Paid"/>
    <n v="196000"/>
    <n v="155456"/>
    <n v="40544"/>
    <n v="0.20685714285714285"/>
    <x v="1"/>
    <x v="1"/>
    <x v="1"/>
    <x v="1"/>
  </r>
  <r>
    <s v="ORD-10156"/>
    <x v="129"/>
    <x v="2"/>
    <x v="3"/>
    <s v="PRD-FUR-201"/>
    <s v="Ergonomic Desk Chair"/>
    <n v="9"/>
    <n v="14000"/>
    <n v="10481"/>
    <s v="Credit Card"/>
    <s v="Paid"/>
    <n v="126000"/>
    <n v="94329"/>
    <n v="31671"/>
    <n v="0.25135714285714283"/>
    <x v="1"/>
    <x v="1"/>
    <x v="2"/>
    <x v="10"/>
  </r>
  <r>
    <s v="ORD-10157"/>
    <x v="130"/>
    <x v="5"/>
    <x v="2"/>
    <s v="PRD-ELE-102"/>
    <s v="Mechanical Keyboard"/>
    <n v="9"/>
    <n v="4500"/>
    <n v="3036"/>
    <s v="Cash on Delivery"/>
    <s v="Paid"/>
    <n v="40500"/>
    <n v="27324"/>
    <n v="13176"/>
    <n v="0.32533333333333331"/>
    <x v="2"/>
    <x v="0"/>
    <x v="0"/>
    <x v="0"/>
  </r>
  <r>
    <s v="ORD-10158"/>
    <x v="131"/>
    <x v="7"/>
    <x v="4"/>
    <s v="PRD-FUR-201"/>
    <s v="Ergonomic Desk Chair"/>
    <n v="19"/>
    <n v="14000"/>
    <n v="9967"/>
    <s v="Cash on Delivery"/>
    <s v="Paid"/>
    <n v="266000"/>
    <n v="189373"/>
    <n v="76627"/>
    <n v="0.28807142857142859"/>
    <x v="1"/>
    <x v="1"/>
    <x v="1"/>
    <x v="1"/>
  </r>
  <r>
    <s v="ORD-10159"/>
    <x v="132"/>
    <x v="5"/>
    <x v="0"/>
    <s v="PRD-ELE-105"/>
    <s v="Android Tablet 10inch"/>
    <n v="15"/>
    <n v="28000"/>
    <n v="19948"/>
    <s v="Credit Card"/>
    <s v="Failed"/>
    <n v="420000"/>
    <n v="299220"/>
    <n v="120780"/>
    <n v="0.28757142857142859"/>
    <x v="2"/>
    <x v="1"/>
    <x v="1"/>
    <x v="1"/>
  </r>
  <r>
    <s v="ORD-10160"/>
    <x v="133"/>
    <x v="4"/>
    <x v="4"/>
    <s v="PRD-ELE-103"/>
    <s v="Wireless Mouse"/>
    <n v="16"/>
    <n v="2500"/>
    <n v="1663"/>
    <s v="UPI"/>
    <s v="Failed"/>
    <n v="40000"/>
    <n v="26608"/>
    <n v="13392"/>
    <n v="0.33479999999999999"/>
    <x v="2"/>
    <x v="1"/>
    <x v="3"/>
    <x v="3"/>
  </r>
  <r>
    <s v="ORD-10161"/>
    <x v="134"/>
    <x v="5"/>
    <x v="3"/>
    <s v="PRD-ELE-103"/>
    <s v="Wireless Mouse"/>
    <n v="6"/>
    <n v="2500"/>
    <n v="1512"/>
    <s v="Cash on Delivery"/>
    <s v="Paid"/>
    <n v="15000"/>
    <n v="9072"/>
    <n v="5928"/>
    <n v="0.3952"/>
    <x v="2"/>
    <x v="1"/>
    <x v="7"/>
    <x v="8"/>
  </r>
  <r>
    <s v="ORD-10162"/>
    <x v="135"/>
    <x v="0"/>
    <x v="2"/>
    <s v="PRD-FUR-202"/>
    <s v="Standing Executive Desk"/>
    <n v="19"/>
    <n v="35000"/>
    <n v="23301"/>
    <s v="UPI"/>
    <s v="Pending"/>
    <n v="665000"/>
    <n v="442719"/>
    <n v="222281"/>
    <n v="0.33425714285714286"/>
    <x v="1"/>
    <x v="1"/>
    <x v="7"/>
    <x v="8"/>
  </r>
  <r>
    <s v="ORD-10163"/>
    <x v="136"/>
    <x v="1"/>
    <x v="0"/>
    <s v="PRD-ACC-302"/>
    <s v="Noise Cancelling Headphones"/>
    <n v="13"/>
    <n v="12500"/>
    <n v="8785"/>
    <s v="Cash on Delivery"/>
    <s v="Failed"/>
    <n v="162500"/>
    <n v="114205"/>
    <n v="48295"/>
    <n v="0.29720000000000002"/>
    <x v="0"/>
    <x v="0"/>
    <x v="0"/>
    <x v="0"/>
  </r>
  <r>
    <s v="ORD-10164"/>
    <x v="137"/>
    <x v="2"/>
    <x v="4"/>
    <s v="PRD-ELE-102"/>
    <s v="Mechanical Keyboard"/>
    <n v="4"/>
    <n v="4500"/>
    <n v="3427"/>
    <s v="Credit Card"/>
    <s v="Pending"/>
    <n v="18000"/>
    <n v="13708"/>
    <n v="4292"/>
    <n v="0.23844444444444443"/>
    <x v="2"/>
    <x v="1"/>
    <x v="11"/>
    <x v="19"/>
  </r>
  <r>
    <s v="ORD-10165"/>
    <x v="138"/>
    <x v="5"/>
    <x v="3"/>
    <s v="PRD-ELE-104"/>
    <s v="Core i7 Laptop"/>
    <n v="3"/>
    <n v="75000"/>
    <n v="48921"/>
    <s v="UPI"/>
    <s v="Paid"/>
    <n v="225000"/>
    <n v="146763"/>
    <n v="78237"/>
    <n v="0.34771999999999997"/>
    <x v="2"/>
    <x v="1"/>
    <x v="10"/>
    <x v="13"/>
  </r>
  <r>
    <s v="ORD-10166"/>
    <x v="139"/>
    <x v="7"/>
    <x v="0"/>
    <s v="PRD-ELE-104"/>
    <s v="Core i7 Laptop"/>
    <n v="17"/>
    <n v="75000"/>
    <n v="46478"/>
    <s v="UPI"/>
    <s v="Failed"/>
    <n v="1275000"/>
    <n v="790126"/>
    <n v="484874"/>
    <n v="0.38029333333333332"/>
    <x v="2"/>
    <x v="0"/>
    <x v="5"/>
    <x v="5"/>
  </r>
  <r>
    <s v="ORD-10167"/>
    <x v="140"/>
    <x v="5"/>
    <x v="3"/>
    <s v="PRD-FUR-201"/>
    <s v="Ergonomic Desk Chair"/>
    <n v="13"/>
    <n v="14000"/>
    <n v="9168"/>
    <s v="Cash on Delivery"/>
    <s v="Pending"/>
    <n v="182000"/>
    <n v="119184"/>
    <n v="62816"/>
    <n v="0.34514285714285714"/>
    <x v="1"/>
    <x v="0"/>
    <x v="5"/>
    <x v="5"/>
  </r>
  <r>
    <s v="ORD-10168"/>
    <x v="141"/>
    <x v="3"/>
    <x v="3"/>
    <s v="PRD-ELE-102"/>
    <s v="Mechanical Keyboard"/>
    <n v="13"/>
    <n v="4500"/>
    <n v="3392"/>
    <s v="Cash on Delivery"/>
    <s v="Pending"/>
    <n v="58500"/>
    <n v="44096"/>
    <n v="14404"/>
    <n v="0.24622222222222223"/>
    <x v="2"/>
    <x v="1"/>
    <x v="2"/>
    <x v="10"/>
  </r>
  <r>
    <s v="ORD-10169"/>
    <x v="142"/>
    <x v="3"/>
    <x v="0"/>
    <s v="PRD-ELE-101"/>
    <s v="Monitor 27inch"/>
    <n v="11"/>
    <n v="55000"/>
    <n v="38640"/>
    <s v="Credit Card"/>
    <s v="Pending"/>
    <n v="605000"/>
    <n v="425040"/>
    <n v="179960"/>
    <n v="0.29745454545454547"/>
    <x v="2"/>
    <x v="1"/>
    <x v="4"/>
    <x v="4"/>
  </r>
  <r>
    <s v="ORD-10170"/>
    <x v="143"/>
    <x v="5"/>
    <x v="2"/>
    <s v="PRD-FUR-202"/>
    <s v="Standing Executive Desk"/>
    <n v="9"/>
    <n v="35000"/>
    <n v="24671"/>
    <s v="UPI"/>
    <s v="Paid"/>
    <n v="315000"/>
    <n v="222039"/>
    <n v="92961"/>
    <n v="0.29511428571428572"/>
    <x v="1"/>
    <x v="0"/>
    <x v="6"/>
    <x v="15"/>
  </r>
  <r>
    <s v="ORD-10171"/>
    <x v="144"/>
    <x v="6"/>
    <x v="4"/>
    <s v="PRD-ACC-301"/>
    <s v="USB-C Docking Station"/>
    <n v="19"/>
    <n v="8500"/>
    <n v="6561"/>
    <s v="Net Banking"/>
    <s v="Paid"/>
    <n v="161500"/>
    <n v="124659"/>
    <n v="36841"/>
    <n v="0.22811764705882354"/>
    <x v="0"/>
    <x v="1"/>
    <x v="11"/>
    <x v="19"/>
  </r>
  <r>
    <s v="ORD-10172"/>
    <x v="145"/>
    <x v="0"/>
    <x v="4"/>
    <s v="PRD-FUR-201"/>
    <s v="Ergonomic Desk Chair"/>
    <n v="17"/>
    <n v="14000"/>
    <n v="8652"/>
    <s v="UPI"/>
    <s v="Failed"/>
    <n v="238000"/>
    <n v="147084"/>
    <n v="90916"/>
    <n v="0.38200000000000001"/>
    <x v="1"/>
    <x v="1"/>
    <x v="8"/>
    <x v="14"/>
  </r>
  <r>
    <s v="ORD-10173"/>
    <x v="146"/>
    <x v="6"/>
    <x v="1"/>
    <s v="PRD-ELE-103"/>
    <s v="Wireless Mouse"/>
    <n v="12"/>
    <n v="2500"/>
    <n v="1973"/>
    <s v="Net Banking"/>
    <s v="Paid"/>
    <n v="30000"/>
    <n v="23676"/>
    <n v="6324"/>
    <n v="0.21079999999999999"/>
    <x v="2"/>
    <x v="1"/>
    <x v="9"/>
    <x v="11"/>
  </r>
  <r>
    <s v="ORD-10174"/>
    <x v="147"/>
    <x v="8"/>
    <x v="4"/>
    <s v="PRD-FUR-201"/>
    <s v="Ergonomic Desk Chair"/>
    <n v="14"/>
    <n v="14000"/>
    <n v="10906"/>
    <s v="UPI"/>
    <s v="Pending"/>
    <n v="196000"/>
    <n v="152684"/>
    <n v="43316"/>
    <n v="0.221"/>
    <x v="1"/>
    <x v="1"/>
    <x v="5"/>
    <x v="7"/>
  </r>
  <r>
    <s v="ORD-10176"/>
    <x v="20"/>
    <x v="4"/>
    <x v="4"/>
    <s v="PRD-ELE-103"/>
    <s v="Wireless Mouse"/>
    <n v="1"/>
    <n v="2500"/>
    <n v="1912"/>
    <s v="Cash on Delivery"/>
    <s v="Pending"/>
    <n v="2500"/>
    <n v="1912"/>
    <n v="588"/>
    <n v="0.23519999999999999"/>
    <x v="2"/>
    <x v="0"/>
    <x v="9"/>
    <x v="12"/>
  </r>
  <r>
    <s v="ORD-10177"/>
    <x v="148"/>
    <x v="1"/>
    <x v="1"/>
    <s v="PRD-ELE-103"/>
    <s v="Wireless Mouse"/>
    <n v="14"/>
    <n v="2500"/>
    <n v="1732"/>
    <s v="Credit Card"/>
    <s v="Pending"/>
    <n v="35000"/>
    <n v="24248"/>
    <n v="10752"/>
    <n v="0.30719999999999997"/>
    <x v="2"/>
    <x v="1"/>
    <x v="2"/>
    <x v="10"/>
  </r>
  <r>
    <s v="ORD-10178"/>
    <x v="149"/>
    <x v="2"/>
    <x v="3"/>
    <s v="PRD-ACC-302"/>
    <s v="Noise Cancelling Headphones"/>
    <n v="18"/>
    <n v="12500"/>
    <n v="9347"/>
    <s v="UPI"/>
    <s v="Paid"/>
    <n v="225000"/>
    <n v="168246"/>
    <n v="56754"/>
    <n v="0.25224000000000002"/>
    <x v="0"/>
    <x v="0"/>
    <x v="6"/>
    <x v="15"/>
  </r>
  <r>
    <s v="ORD-10179"/>
    <x v="150"/>
    <x v="1"/>
    <x v="3"/>
    <s v="PRD-ELE-101"/>
    <s v="Monitor 27inch"/>
    <n v="18"/>
    <n v="55000"/>
    <n v="35068"/>
    <s v="Cash on Delivery"/>
    <s v="Paid"/>
    <n v="990000"/>
    <n v="631224"/>
    <n v="358776"/>
    <n v="0.3624"/>
    <x v="2"/>
    <x v="1"/>
    <x v="11"/>
    <x v="19"/>
  </r>
  <r>
    <s v="ORD-10180"/>
    <x v="151"/>
    <x v="6"/>
    <x v="0"/>
    <s v="PRD-ELE-105"/>
    <s v="Android Tablet 10inch"/>
    <n v="6"/>
    <n v="28000"/>
    <n v="18399"/>
    <s v="Cash on Delivery"/>
    <s v="Unknown"/>
    <n v="168000"/>
    <n v="110394"/>
    <n v="57606"/>
    <n v="0.34289285714285717"/>
    <x v="2"/>
    <x v="1"/>
    <x v="11"/>
    <x v="19"/>
  </r>
  <r>
    <s v="ORD-10181"/>
    <x v="152"/>
    <x v="6"/>
    <x v="4"/>
    <s v="PRD-FUR-201"/>
    <s v="Ergonomic Desk Chair"/>
    <n v="14"/>
    <n v="14000"/>
    <n v="8896"/>
    <s v="Cash on Delivery"/>
    <s v="Paid"/>
    <n v="196000"/>
    <n v="124544"/>
    <n v="71456"/>
    <n v="0.36457142857142855"/>
    <x v="1"/>
    <x v="1"/>
    <x v="3"/>
    <x v="3"/>
  </r>
  <r>
    <s v="ORD-10182"/>
    <x v="153"/>
    <x v="4"/>
    <x v="3"/>
    <s v="PRD-ELE-102"/>
    <s v="Mechanical Keyboard"/>
    <n v="14"/>
    <n v="4500"/>
    <n v="3341"/>
    <s v="Net Banking"/>
    <s v="Pending"/>
    <n v="63000"/>
    <n v="46774"/>
    <n v="16226"/>
    <n v="0.25755555555555554"/>
    <x v="2"/>
    <x v="1"/>
    <x v="1"/>
    <x v="1"/>
  </r>
  <r>
    <s v="ORD-10183"/>
    <x v="154"/>
    <x v="2"/>
    <x v="1"/>
    <s v="PRD-ELE-105"/>
    <s v="Android Tablet 10inch"/>
    <n v="15"/>
    <n v="28000"/>
    <n v="18089"/>
    <s v="Net Banking"/>
    <s v="Failed"/>
    <n v="420000"/>
    <n v="271335"/>
    <n v="148665"/>
    <n v="0.35396428571428573"/>
    <x v="2"/>
    <x v="0"/>
    <x v="6"/>
    <x v="15"/>
  </r>
  <r>
    <s v="ORD-10184"/>
    <x v="155"/>
    <x v="3"/>
    <x v="4"/>
    <s v="PRD-ELE-105"/>
    <s v="Android Tablet 10inch"/>
    <n v="11"/>
    <n v="28000"/>
    <n v="21485"/>
    <s v="Cash on Delivery"/>
    <s v="Pending"/>
    <n v="308000"/>
    <n v="236335"/>
    <n v="71665"/>
    <n v="0.23267857142857143"/>
    <x v="2"/>
    <x v="1"/>
    <x v="4"/>
    <x v="4"/>
  </r>
  <r>
    <s v="ORD-10185"/>
    <x v="156"/>
    <x v="2"/>
    <x v="2"/>
    <s v="PRD-ACC-301"/>
    <s v="USB-C Docking Station"/>
    <n v="17"/>
    <n v="8500"/>
    <n v="5664"/>
    <s v="Credit Card"/>
    <s v="Paid"/>
    <n v="144500"/>
    <n v="96288"/>
    <n v="48212"/>
    <n v="0.33364705882352941"/>
    <x v="0"/>
    <x v="0"/>
    <x v="2"/>
    <x v="2"/>
  </r>
  <r>
    <s v="ORD-10186"/>
    <x v="157"/>
    <x v="8"/>
    <x v="0"/>
    <s v="PRD-FUR-202"/>
    <s v="Standing Executive Desk"/>
    <n v="17"/>
    <n v="35000"/>
    <n v="21870"/>
    <s v="UPI"/>
    <s v="Pending"/>
    <n v="595000"/>
    <n v="371790"/>
    <n v="223210"/>
    <n v="0.37514285714285717"/>
    <x v="1"/>
    <x v="1"/>
    <x v="3"/>
    <x v="3"/>
  </r>
  <r>
    <s v="ORD-10187"/>
    <x v="158"/>
    <x v="4"/>
    <x v="0"/>
    <s v="PRD-ELE-104"/>
    <s v="Core i7 Laptop"/>
    <n v="2"/>
    <n v="75000"/>
    <n v="45115"/>
    <s v="Cash on Delivery"/>
    <s v="Pending"/>
    <n v="150000"/>
    <n v="90230"/>
    <n v="59770"/>
    <n v="0.39846666666666669"/>
    <x v="2"/>
    <x v="0"/>
    <x v="11"/>
    <x v="18"/>
  </r>
  <r>
    <s v="ORD-10188"/>
    <x v="11"/>
    <x v="8"/>
    <x v="0"/>
    <s v="PRD-ELE-104"/>
    <s v="Core i7 Laptop"/>
    <n v="18"/>
    <n v="75000"/>
    <n v="51496"/>
    <s v="Cash on Delivery"/>
    <s v="Failed"/>
    <n v="1350000"/>
    <n v="926928"/>
    <n v="423072"/>
    <n v="0.31338666666666665"/>
    <x v="2"/>
    <x v="1"/>
    <x v="3"/>
    <x v="3"/>
  </r>
  <r>
    <s v="ORD-10189"/>
    <x v="159"/>
    <x v="0"/>
    <x v="0"/>
    <s v="PRD-ELE-101"/>
    <s v="Monitor 27inch"/>
    <n v="8"/>
    <n v="55000"/>
    <n v="37338"/>
    <s v="Credit Card"/>
    <s v="Pending"/>
    <n v="440000"/>
    <n v="298704"/>
    <n v="141296"/>
    <n v="0.32112727272727271"/>
    <x v="2"/>
    <x v="1"/>
    <x v="6"/>
    <x v="6"/>
  </r>
  <r>
    <s v="ORD-10190"/>
    <x v="29"/>
    <x v="2"/>
    <x v="4"/>
    <s v="PRD-ACC-302"/>
    <s v="Noise Cancelling Headphones"/>
    <n v="17"/>
    <n v="12500"/>
    <n v="9603"/>
    <s v="Net Banking"/>
    <s v="Paid"/>
    <n v="212500"/>
    <n v="163251"/>
    <n v="49249"/>
    <n v="0.23175999999999999"/>
    <x v="0"/>
    <x v="1"/>
    <x v="8"/>
    <x v="14"/>
  </r>
  <r>
    <s v="ORD-10191"/>
    <x v="160"/>
    <x v="5"/>
    <x v="4"/>
    <s v="PRD-ACC-301"/>
    <s v="USB-C Docking Station"/>
    <n v="14"/>
    <n v="8500"/>
    <n v="5865"/>
    <s v="Cash on Delivery"/>
    <s v="Paid"/>
    <n v="119000"/>
    <n v="82110"/>
    <n v="36890"/>
    <n v="0.31"/>
    <x v="0"/>
    <x v="1"/>
    <x v="11"/>
    <x v="19"/>
  </r>
  <r>
    <s v="ORD-10192"/>
    <x v="161"/>
    <x v="7"/>
    <x v="0"/>
    <s v="PRD-ACC-302"/>
    <s v="Noise Cancelling Headphones"/>
    <n v="15"/>
    <n v="12500"/>
    <n v="8093"/>
    <s v="Cash on Delivery"/>
    <s v="Paid"/>
    <n v="187500"/>
    <n v="121395"/>
    <n v="66105"/>
    <n v="0.35255999999999998"/>
    <x v="0"/>
    <x v="1"/>
    <x v="10"/>
    <x v="13"/>
  </r>
  <r>
    <s v="ORD-10193"/>
    <x v="26"/>
    <x v="1"/>
    <x v="2"/>
    <s v="PRD-FUR-201"/>
    <s v="Ergonomic Desk Chair"/>
    <n v="12"/>
    <n v="14000"/>
    <n v="10069"/>
    <s v="Credit Card"/>
    <s v="Pending"/>
    <n v="168000"/>
    <n v="120828"/>
    <n v="47172"/>
    <n v="0.28078571428571431"/>
    <x v="1"/>
    <x v="0"/>
    <x v="9"/>
    <x v="12"/>
  </r>
  <r>
    <s v="ORD-10194"/>
    <x v="162"/>
    <x v="7"/>
    <x v="0"/>
    <s v="PRD-FUR-202"/>
    <s v="Standing Executive Desk"/>
    <n v="7"/>
    <n v="35000"/>
    <n v="22757"/>
    <s v="Net Banking"/>
    <s v="Pending"/>
    <n v="245000"/>
    <n v="159299"/>
    <n v="85701"/>
    <n v="0.3498"/>
    <x v="1"/>
    <x v="1"/>
    <x v="7"/>
    <x v="8"/>
  </r>
  <r>
    <s v="ORD-10195"/>
    <x v="163"/>
    <x v="4"/>
    <x v="0"/>
    <s v="PRD-ELE-103"/>
    <s v="Wireless Mouse"/>
    <n v="13"/>
    <n v="2500"/>
    <n v="1927"/>
    <s v="UPI"/>
    <s v="Pending"/>
    <n v="32500"/>
    <n v="25051"/>
    <n v="7449"/>
    <n v="0.22919999999999999"/>
    <x v="2"/>
    <x v="1"/>
    <x v="9"/>
    <x v="11"/>
  </r>
  <r>
    <s v="ORD-10196"/>
    <x v="164"/>
    <x v="1"/>
    <x v="0"/>
    <s v="PRD-FUR-202"/>
    <s v="Standing Executive Desk"/>
    <n v="7"/>
    <n v="35000"/>
    <n v="26414"/>
    <s v="Net Banking"/>
    <s v="Paid"/>
    <n v="245000"/>
    <n v="184898"/>
    <n v="60102"/>
    <n v="0.24531428571428571"/>
    <x v="1"/>
    <x v="1"/>
    <x v="3"/>
    <x v="3"/>
  </r>
  <r>
    <s v="ORD-10197"/>
    <x v="165"/>
    <x v="4"/>
    <x v="4"/>
    <s v="PRD-ELE-105"/>
    <s v="Android Tablet 10inch"/>
    <n v="5"/>
    <n v="28000"/>
    <n v="18400"/>
    <s v="Cash on Delivery"/>
    <s v="Paid"/>
    <n v="140000"/>
    <n v="92000"/>
    <n v="48000"/>
    <n v="0.34285714285714286"/>
    <x v="2"/>
    <x v="0"/>
    <x v="2"/>
    <x v="2"/>
  </r>
  <r>
    <s v="ORD-10198"/>
    <x v="166"/>
    <x v="4"/>
    <x v="1"/>
    <s v="PRD-ELE-104"/>
    <s v="Core i7 Laptop"/>
    <n v="19"/>
    <n v="75000"/>
    <n v="52562"/>
    <s v="Net Banking"/>
    <s v="Failed"/>
    <n v="1425000"/>
    <n v="998678"/>
    <n v="426322"/>
    <n v="0.29917333333333335"/>
    <x v="2"/>
    <x v="1"/>
    <x v="5"/>
    <x v="7"/>
  </r>
  <r>
    <s v="ORD-10199"/>
    <x v="167"/>
    <x v="1"/>
    <x v="2"/>
    <s v="PRD-ELE-104"/>
    <s v="Core i7 Laptop"/>
    <n v="8"/>
    <n v="75000"/>
    <n v="58860"/>
    <s v="Cash on Delivery"/>
    <s v="Failed"/>
    <n v="600000"/>
    <n v="470880"/>
    <n v="129120"/>
    <n v="0.2152"/>
    <x v="2"/>
    <x v="1"/>
    <x v="11"/>
    <x v="19"/>
  </r>
  <r>
    <s v="ORD-10200"/>
    <x v="168"/>
    <x v="7"/>
    <x v="4"/>
    <s v="PRD-ELE-103"/>
    <s v="Wireless Mouse"/>
    <n v="11"/>
    <n v="2500"/>
    <n v="1746"/>
    <s v="Credit Card"/>
    <s v="Pending"/>
    <n v="27500"/>
    <n v="19206"/>
    <n v="8294"/>
    <n v="0.30159999999999998"/>
    <x v="2"/>
    <x v="1"/>
    <x v="0"/>
    <x v="17"/>
  </r>
  <r>
    <s v="ORD-10201"/>
    <x v="169"/>
    <x v="8"/>
    <x v="4"/>
    <s v="PRD-ACC-301"/>
    <s v="USB-C Docking Station"/>
    <n v="7"/>
    <n v="8500"/>
    <n v="5508"/>
    <s v="Net Banking"/>
    <s v="Pending"/>
    <n v="59500"/>
    <n v="38556"/>
    <n v="20944"/>
    <n v="0.35199999999999998"/>
    <x v="0"/>
    <x v="1"/>
    <x v="9"/>
    <x v="11"/>
  </r>
  <r>
    <s v="ORD-10202"/>
    <x v="170"/>
    <x v="8"/>
    <x v="1"/>
    <s v="PRD-ACC-301"/>
    <s v="USB-C Docking Station"/>
    <n v="19"/>
    <n v="8500"/>
    <n v="6651"/>
    <s v="Cash on Delivery"/>
    <s v="Pending"/>
    <n v="161500"/>
    <n v="126369"/>
    <n v="35131"/>
    <n v="0.21752941176470589"/>
    <x v="0"/>
    <x v="1"/>
    <x v="0"/>
    <x v="17"/>
  </r>
  <r>
    <s v="ORD-10203"/>
    <x v="171"/>
    <x v="8"/>
    <x v="1"/>
    <s v="PRD-ELE-104"/>
    <s v="Core i7 Laptop"/>
    <n v="10"/>
    <n v="75000"/>
    <n v="47100"/>
    <s v="Net Banking"/>
    <s v="Paid"/>
    <n v="750000"/>
    <n v="471000"/>
    <n v="279000"/>
    <n v="0.372"/>
    <x v="2"/>
    <x v="0"/>
    <x v="0"/>
    <x v="0"/>
  </r>
  <r>
    <s v="ORD-10204"/>
    <x v="172"/>
    <x v="1"/>
    <x v="0"/>
    <s v="PRD-ELE-105"/>
    <s v="Android Tablet 10inch"/>
    <n v="16"/>
    <n v="28000"/>
    <n v="18973"/>
    <s v="Cash on Delivery"/>
    <s v="Paid"/>
    <n v="448000"/>
    <n v="303568"/>
    <n v="144432"/>
    <n v="0.32239285714285715"/>
    <x v="2"/>
    <x v="0"/>
    <x v="5"/>
    <x v="5"/>
  </r>
  <r>
    <s v="ORD-10205"/>
    <x v="30"/>
    <x v="7"/>
    <x v="2"/>
    <s v="PRD-ELE-103"/>
    <s v="Wireless Mouse"/>
    <n v="18"/>
    <n v="2500"/>
    <n v="1605"/>
    <s v="Credit Card"/>
    <s v="Pending"/>
    <n v="45000"/>
    <n v="28890"/>
    <n v="16110"/>
    <n v="0.35799999999999998"/>
    <x v="2"/>
    <x v="0"/>
    <x v="8"/>
    <x v="9"/>
  </r>
  <r>
    <s v="ORD-10206"/>
    <x v="173"/>
    <x v="4"/>
    <x v="4"/>
    <s v="PRD-FUR-201"/>
    <s v="Ergonomic Desk Chair"/>
    <n v="15"/>
    <n v="14000"/>
    <n v="9078"/>
    <s v="UPI"/>
    <s v="Paid"/>
    <n v="210000"/>
    <n v="136170"/>
    <n v="73830"/>
    <n v="0.35157142857142859"/>
    <x v="1"/>
    <x v="1"/>
    <x v="6"/>
    <x v="6"/>
  </r>
  <r>
    <s v="ORD-10207"/>
    <x v="81"/>
    <x v="1"/>
    <x v="0"/>
    <s v="PRD-FUR-201"/>
    <s v="Ergonomic Desk Chair"/>
    <n v="12"/>
    <n v="14000"/>
    <n v="8916"/>
    <s v="UPI"/>
    <s v="Pending"/>
    <n v="168000"/>
    <n v="106992"/>
    <n v="61008"/>
    <n v="0.36314285714285716"/>
    <x v="1"/>
    <x v="0"/>
    <x v="0"/>
    <x v="0"/>
  </r>
  <r>
    <s v="ORD-10208"/>
    <x v="174"/>
    <x v="8"/>
    <x v="0"/>
    <s v="PRD-ELE-102"/>
    <s v="Mechanical Keyboard"/>
    <n v="4"/>
    <n v="4500"/>
    <n v="3519"/>
    <s v="UPI"/>
    <s v="Failed"/>
    <n v="18000"/>
    <n v="14076"/>
    <n v="3924"/>
    <n v="0.218"/>
    <x v="2"/>
    <x v="0"/>
    <x v="2"/>
    <x v="2"/>
  </r>
  <r>
    <s v="ORD-10209"/>
    <x v="162"/>
    <x v="3"/>
    <x v="0"/>
    <s v="PRD-ELE-102"/>
    <s v="Mechanical Keyboard"/>
    <n v="19"/>
    <n v="4500"/>
    <n v="3336"/>
    <s v="Net Banking"/>
    <s v="Pending"/>
    <n v="85500"/>
    <n v="63384"/>
    <n v="22116"/>
    <n v="0.25866666666666666"/>
    <x v="2"/>
    <x v="1"/>
    <x v="7"/>
    <x v="8"/>
  </r>
  <r>
    <s v="ORD-10211"/>
    <x v="168"/>
    <x v="7"/>
    <x v="4"/>
    <s v="PRD-ELE-102"/>
    <s v="Mechanical Keyboard"/>
    <n v="18"/>
    <n v="4500"/>
    <n v="3082"/>
    <s v="Cash on Delivery"/>
    <s v="Pending"/>
    <n v="81000"/>
    <n v="55476"/>
    <n v="25524"/>
    <n v="0.31511111111111112"/>
    <x v="2"/>
    <x v="1"/>
    <x v="0"/>
    <x v="17"/>
  </r>
  <r>
    <s v="ORD-10212"/>
    <x v="175"/>
    <x v="4"/>
    <x v="3"/>
    <s v="PRD-ACC-302"/>
    <s v="Noise Cancelling Headphones"/>
    <n v="9"/>
    <n v="12500"/>
    <n v="7801"/>
    <s v="Cash on Delivery"/>
    <s v="Failed"/>
    <n v="112500"/>
    <n v="70209"/>
    <n v="42291"/>
    <n v="0.37591999999999998"/>
    <x v="0"/>
    <x v="0"/>
    <x v="11"/>
    <x v="18"/>
  </r>
  <r>
    <s v="ORD-10213"/>
    <x v="145"/>
    <x v="1"/>
    <x v="2"/>
    <s v="PRD-ELE-104"/>
    <s v="Core i7 Laptop"/>
    <n v="9"/>
    <n v="75000"/>
    <n v="49840"/>
    <s v="UPI"/>
    <s v="Pending"/>
    <n v="675000"/>
    <n v="448560"/>
    <n v="226440"/>
    <n v="0.33546666666666669"/>
    <x v="2"/>
    <x v="1"/>
    <x v="8"/>
    <x v="14"/>
  </r>
  <r>
    <s v="ORD-10214"/>
    <x v="117"/>
    <x v="6"/>
    <x v="0"/>
    <s v="PRD-FUR-202"/>
    <s v="Standing Executive Desk"/>
    <n v="17"/>
    <n v="35000"/>
    <n v="26684"/>
    <s v="Cash on Delivery"/>
    <s v="Pending"/>
    <n v="595000"/>
    <n v="453628"/>
    <n v="141372"/>
    <n v="0.23760000000000001"/>
    <x v="1"/>
    <x v="1"/>
    <x v="4"/>
    <x v="4"/>
  </r>
  <r>
    <s v="ORD-10215"/>
    <x v="176"/>
    <x v="8"/>
    <x v="4"/>
    <s v="PRD-ELE-103"/>
    <s v="Wireless Mouse"/>
    <n v="7"/>
    <n v="2500"/>
    <n v="1534"/>
    <s v="Cash on Delivery"/>
    <s v="Pending"/>
    <n v="17500"/>
    <n v="10738"/>
    <n v="6762"/>
    <n v="0.38640000000000002"/>
    <x v="2"/>
    <x v="0"/>
    <x v="3"/>
    <x v="16"/>
  </r>
  <r>
    <s v="ORD-10216"/>
    <x v="177"/>
    <x v="7"/>
    <x v="4"/>
    <s v="PRD-ACC-302"/>
    <s v="Noise Cancelling Headphones"/>
    <n v="3"/>
    <n v="12500"/>
    <n v="9401"/>
    <s v="Cash on Delivery"/>
    <s v="Pending"/>
    <n v="37500"/>
    <n v="28203"/>
    <n v="9297"/>
    <n v="0.24792"/>
    <x v="0"/>
    <x v="1"/>
    <x v="4"/>
    <x v="4"/>
  </r>
  <r>
    <s v="ORD-10217"/>
    <x v="63"/>
    <x v="8"/>
    <x v="4"/>
    <s v="PRD-ACC-301"/>
    <s v="USB-C Docking Station"/>
    <n v="5"/>
    <n v="8500"/>
    <n v="6373"/>
    <s v="Cash on Delivery"/>
    <s v="Paid"/>
    <n v="42500"/>
    <n v="31865"/>
    <n v="10635"/>
    <n v="0.25023529411764706"/>
    <x v="0"/>
    <x v="0"/>
    <x v="8"/>
    <x v="9"/>
  </r>
  <r>
    <s v="ORD-10218"/>
    <x v="178"/>
    <x v="6"/>
    <x v="4"/>
    <s v="PRD-ELE-101"/>
    <s v="Monitor 27inch"/>
    <n v="15"/>
    <n v="55000"/>
    <n v="42229"/>
    <s v="UPI"/>
    <s v="Failed"/>
    <n v="825000"/>
    <n v="633435"/>
    <n v="191565"/>
    <n v="0.23219999999999999"/>
    <x v="2"/>
    <x v="1"/>
    <x v="0"/>
    <x v="17"/>
  </r>
  <r>
    <s v="ORD-10219"/>
    <x v="179"/>
    <x v="2"/>
    <x v="0"/>
    <s v="PRD-ACC-302"/>
    <s v="Noise Cancelling Headphones"/>
    <n v="1"/>
    <n v="12500"/>
    <n v="9816"/>
    <s v="UPI"/>
    <s v="Pending"/>
    <n v="12500"/>
    <n v="9816"/>
    <n v="2684"/>
    <n v="0.21471999999999999"/>
    <x v="0"/>
    <x v="1"/>
    <x v="10"/>
    <x v="13"/>
  </r>
  <r>
    <s v="ORD-10220"/>
    <x v="127"/>
    <x v="4"/>
    <x v="1"/>
    <s v="PRD-ACC-302"/>
    <s v="Noise Cancelling Headphones"/>
    <n v="18"/>
    <n v="12500"/>
    <n v="8172"/>
    <s v="Net Banking"/>
    <s v="Pending"/>
    <n v="225000"/>
    <n v="147096"/>
    <n v="77904"/>
    <n v="0.34623999999999999"/>
    <x v="0"/>
    <x v="0"/>
    <x v="6"/>
    <x v="15"/>
  </r>
  <r>
    <s v="ORD-10221"/>
    <x v="150"/>
    <x v="3"/>
    <x v="0"/>
    <s v="PRD-ACC-302"/>
    <s v="Noise Cancelling Headphones"/>
    <n v="5"/>
    <n v="12500"/>
    <n v="8557"/>
    <s v="Net Banking"/>
    <s v="Paid"/>
    <n v="62500"/>
    <n v="42785"/>
    <n v="19715"/>
    <n v="0.31544"/>
    <x v="0"/>
    <x v="1"/>
    <x v="11"/>
    <x v="19"/>
  </r>
  <r>
    <s v="ORD-10222"/>
    <x v="180"/>
    <x v="3"/>
    <x v="1"/>
    <s v="PRD-FUR-202"/>
    <s v="Standing Executive Desk"/>
    <n v="17"/>
    <n v="35000"/>
    <n v="24306"/>
    <s v="UPI"/>
    <s v="Failed"/>
    <n v="595000"/>
    <n v="413202"/>
    <n v="181798"/>
    <n v="0.30554285714285712"/>
    <x v="1"/>
    <x v="0"/>
    <x v="9"/>
    <x v="12"/>
  </r>
  <r>
    <s v="ORD-10223"/>
    <x v="94"/>
    <x v="0"/>
    <x v="4"/>
    <s v="PRD-ELE-103"/>
    <s v="Wireless Mouse"/>
    <n v="6"/>
    <n v="2500"/>
    <n v="1933"/>
    <s v="Cash on Delivery"/>
    <s v="Paid"/>
    <n v="15000"/>
    <n v="11598"/>
    <n v="3402"/>
    <n v="0.2268"/>
    <x v="2"/>
    <x v="0"/>
    <x v="6"/>
    <x v="15"/>
  </r>
  <r>
    <s v="ORD-10224"/>
    <x v="181"/>
    <x v="7"/>
    <x v="1"/>
    <s v="PRD-ELE-102"/>
    <s v="Mechanical Keyboard"/>
    <n v="11"/>
    <n v="4500"/>
    <n v="3003"/>
    <s v="UPI"/>
    <s v="Pending"/>
    <n v="49500"/>
    <n v="33033"/>
    <n v="16467"/>
    <n v="0.33266666666666667"/>
    <x v="2"/>
    <x v="1"/>
    <x v="1"/>
    <x v="1"/>
  </r>
  <r>
    <s v="ORD-10225"/>
    <x v="182"/>
    <x v="5"/>
    <x v="0"/>
    <s v="PRD-ELE-105"/>
    <s v="Android Tablet 10inch"/>
    <n v="16"/>
    <n v="28000"/>
    <n v="20991"/>
    <s v="UPI"/>
    <s v="Unknown"/>
    <n v="448000"/>
    <n v="335856"/>
    <n v="112144"/>
    <n v="0.25032142857142858"/>
    <x v="2"/>
    <x v="1"/>
    <x v="6"/>
    <x v="6"/>
  </r>
  <r>
    <s v="ORD-10226"/>
    <x v="61"/>
    <x v="6"/>
    <x v="4"/>
    <s v="PRD-FUR-202"/>
    <s v="Standing Executive Desk"/>
    <n v="11"/>
    <n v="35000"/>
    <n v="22124"/>
    <s v="Cash on Delivery"/>
    <s v="Failed"/>
    <n v="385000"/>
    <n v="243364"/>
    <n v="141636"/>
    <n v="0.36788571428571426"/>
    <x v="1"/>
    <x v="0"/>
    <x v="2"/>
    <x v="2"/>
  </r>
  <r>
    <s v="ORD-10227"/>
    <x v="183"/>
    <x v="4"/>
    <x v="4"/>
    <s v="PRD-ELE-103"/>
    <s v="Wireless Mouse"/>
    <n v="15"/>
    <n v="2500"/>
    <n v="1519"/>
    <s v="Cash on Delivery"/>
    <s v="Paid"/>
    <n v="37500"/>
    <n v="22785"/>
    <n v="14715"/>
    <n v="0.39240000000000003"/>
    <x v="2"/>
    <x v="0"/>
    <x v="11"/>
    <x v="18"/>
  </r>
  <r>
    <s v="ORD-10228"/>
    <x v="184"/>
    <x v="8"/>
    <x v="2"/>
    <s v="PRD-ELE-101"/>
    <s v="Monitor 27inch"/>
    <n v="9"/>
    <n v="55000"/>
    <n v="34374"/>
    <s v="Cash on Delivery"/>
    <s v="Failed"/>
    <n v="495000"/>
    <n v="309366"/>
    <n v="185634"/>
    <n v="0.37501818181818181"/>
    <x v="2"/>
    <x v="0"/>
    <x v="6"/>
    <x v="15"/>
  </r>
  <r>
    <s v="ORD-10229"/>
    <x v="185"/>
    <x v="1"/>
    <x v="3"/>
    <s v="PRD-ELE-102"/>
    <s v="Mechanical Keyboard"/>
    <n v="3"/>
    <n v="4500"/>
    <n v="2727"/>
    <s v="Cash on Delivery"/>
    <s v="Pending"/>
    <n v="13500"/>
    <n v="8181"/>
    <n v="5319"/>
    <n v="0.39400000000000002"/>
    <x v="2"/>
    <x v="0"/>
    <x v="6"/>
    <x v="15"/>
  </r>
  <r>
    <s v="ORD-10230"/>
    <x v="186"/>
    <x v="4"/>
    <x v="4"/>
    <s v="PRD-ELE-103"/>
    <s v="Wireless Mouse"/>
    <n v="5"/>
    <n v="2500"/>
    <n v="1509"/>
    <s v="UPI"/>
    <s v="Paid"/>
    <n v="12500"/>
    <n v="7545"/>
    <n v="4955"/>
    <n v="0.39639999999999997"/>
    <x v="2"/>
    <x v="1"/>
    <x v="4"/>
    <x v="4"/>
  </r>
  <r>
    <s v="ORD-10231"/>
    <x v="187"/>
    <x v="4"/>
    <x v="0"/>
    <s v="PRD-ACC-302"/>
    <s v="Noise Cancelling Headphones"/>
    <n v="4"/>
    <n v="12500"/>
    <n v="7532"/>
    <s v="Cash on Delivery"/>
    <s v="Pending"/>
    <n v="50000"/>
    <n v="30128"/>
    <n v="19872"/>
    <n v="0.39744000000000002"/>
    <x v="0"/>
    <x v="0"/>
    <x v="8"/>
    <x v="9"/>
  </r>
  <r>
    <s v="ORD-10232"/>
    <x v="188"/>
    <x v="5"/>
    <x v="3"/>
    <s v="PRD-ELE-104"/>
    <s v="Core i7 Laptop"/>
    <n v="7"/>
    <n v="75000"/>
    <n v="51412"/>
    <s v="Cash on Delivery"/>
    <s v="Failed"/>
    <n v="525000"/>
    <n v="359884"/>
    <n v="165116"/>
    <n v="0.31450666666666666"/>
    <x v="2"/>
    <x v="1"/>
    <x v="9"/>
    <x v="11"/>
  </r>
  <r>
    <s v="ORD-10233"/>
    <x v="189"/>
    <x v="6"/>
    <x v="4"/>
    <s v="PRD-ELE-104"/>
    <s v="Core i7 Laptop"/>
    <n v="19"/>
    <n v="75000"/>
    <n v="52161"/>
    <s v="UPI"/>
    <s v="Paid"/>
    <n v="1425000"/>
    <n v="991059"/>
    <n v="433941"/>
    <n v="0.30452000000000001"/>
    <x v="2"/>
    <x v="0"/>
    <x v="9"/>
    <x v="12"/>
  </r>
  <r>
    <s v="ORD-10234"/>
    <x v="190"/>
    <x v="3"/>
    <x v="0"/>
    <s v="PRD-ACC-301"/>
    <s v="USB-C Docking Station"/>
    <n v="18"/>
    <n v="8500"/>
    <n v="5623"/>
    <s v="UPI"/>
    <s v="Pending"/>
    <n v="153000"/>
    <n v="101214"/>
    <n v="51786"/>
    <n v="0.33847058823529413"/>
    <x v="0"/>
    <x v="1"/>
    <x v="2"/>
    <x v="10"/>
  </r>
  <r>
    <s v="ORD-10235"/>
    <x v="191"/>
    <x v="0"/>
    <x v="4"/>
    <s v="PRD-ELE-105"/>
    <s v="Android Tablet 10inch"/>
    <n v="12"/>
    <n v="28000"/>
    <n v="19843"/>
    <s v="Credit Card"/>
    <s v="Pending"/>
    <n v="336000"/>
    <n v="238116"/>
    <n v="97884"/>
    <n v="0.29132142857142856"/>
    <x v="2"/>
    <x v="0"/>
    <x v="2"/>
    <x v="2"/>
  </r>
  <r>
    <s v="ORD-10236"/>
    <x v="192"/>
    <x v="0"/>
    <x v="3"/>
    <s v="PRD-ELE-101"/>
    <s v="Monitor 27inch"/>
    <n v="13"/>
    <n v="55000"/>
    <n v="36207"/>
    <s v="UPI"/>
    <s v="Pending"/>
    <n v="715000"/>
    <n v="470691"/>
    <n v="244309"/>
    <n v="0.3416909090909091"/>
    <x v="2"/>
    <x v="1"/>
    <x v="0"/>
    <x v="17"/>
  </r>
  <r>
    <s v="ORD-10237"/>
    <x v="193"/>
    <x v="6"/>
    <x v="2"/>
    <s v="PRD-ELE-102"/>
    <s v="Mechanical Keyboard"/>
    <n v="9"/>
    <n v="4500"/>
    <n v="2700"/>
    <s v="Cash on Delivery"/>
    <s v="Pending"/>
    <n v="40500"/>
    <n v="24300"/>
    <n v="16200"/>
    <n v="0.4"/>
    <x v="2"/>
    <x v="0"/>
    <x v="2"/>
    <x v="2"/>
  </r>
  <r>
    <s v="ORD-10238"/>
    <x v="99"/>
    <x v="2"/>
    <x v="4"/>
    <s v="PRD-ACC-302"/>
    <s v="Noise Cancelling Headphones"/>
    <n v="17"/>
    <n v="12500"/>
    <n v="9414"/>
    <s v="Net Banking"/>
    <s v="Failed"/>
    <n v="212500"/>
    <n v="160038"/>
    <n v="52462"/>
    <n v="0.24687999999999999"/>
    <x v="0"/>
    <x v="0"/>
    <x v="3"/>
    <x v="16"/>
  </r>
  <r>
    <s v="ORD-10239"/>
    <x v="194"/>
    <x v="0"/>
    <x v="0"/>
    <s v="PRD-ELE-102"/>
    <s v="Mechanical Keyboard"/>
    <n v="9"/>
    <n v="4500"/>
    <n v="3220"/>
    <s v="Cash on Delivery"/>
    <s v="Pending"/>
    <n v="40500"/>
    <n v="28980"/>
    <n v="11520"/>
    <n v="0.28444444444444444"/>
    <x v="2"/>
    <x v="1"/>
    <x v="6"/>
    <x v="6"/>
  </r>
  <r>
    <s v="ORD-10241"/>
    <x v="64"/>
    <x v="4"/>
    <x v="2"/>
    <s v="PRD-ELE-103"/>
    <s v="Wireless Mouse"/>
    <n v="3"/>
    <n v="2500"/>
    <n v="1740"/>
    <s v="UPI"/>
    <s v="Paid"/>
    <n v="7500"/>
    <n v="5220"/>
    <n v="2280"/>
    <n v="0.30399999999999999"/>
    <x v="2"/>
    <x v="0"/>
    <x v="5"/>
    <x v="5"/>
  </r>
  <r>
    <s v="ORD-10242"/>
    <x v="167"/>
    <x v="4"/>
    <x v="1"/>
    <s v="PRD-FUR-202"/>
    <s v="Standing Executive Desk"/>
    <n v="13"/>
    <n v="35000"/>
    <n v="26601"/>
    <s v="UPI"/>
    <s v="Pending"/>
    <n v="455000"/>
    <n v="345813"/>
    <n v="109187"/>
    <n v="0.23997142857142856"/>
    <x v="1"/>
    <x v="1"/>
    <x v="11"/>
    <x v="19"/>
  </r>
  <r>
    <s v="ORD-10243"/>
    <x v="195"/>
    <x v="4"/>
    <x v="0"/>
    <s v="PRD-ELE-102"/>
    <s v="Mechanical Keyboard"/>
    <n v="17"/>
    <n v="4500"/>
    <n v="2921"/>
    <s v="Credit Card"/>
    <s v="Paid"/>
    <n v="76500"/>
    <n v="49657"/>
    <n v="26843"/>
    <n v="0.35088888888888886"/>
    <x v="2"/>
    <x v="0"/>
    <x v="8"/>
    <x v="9"/>
  </r>
  <r>
    <s v="ORD-10244"/>
    <x v="2"/>
    <x v="4"/>
    <x v="0"/>
    <s v="PRD-ACC-302"/>
    <s v="Noise Cancelling Headphones"/>
    <n v="5"/>
    <n v="12500"/>
    <n v="8493"/>
    <s v="Credit Card"/>
    <s v="Paid"/>
    <n v="62500"/>
    <n v="42465"/>
    <n v="20035"/>
    <n v="0.32056000000000001"/>
    <x v="0"/>
    <x v="0"/>
    <x v="2"/>
    <x v="2"/>
  </r>
  <r>
    <s v="ORD-10246"/>
    <x v="196"/>
    <x v="1"/>
    <x v="2"/>
    <s v="PRD-ELE-104"/>
    <s v="Core i7 Laptop"/>
    <n v="18"/>
    <n v="75000"/>
    <n v="54946"/>
    <s v="Cash on Delivery"/>
    <s v="Pending"/>
    <n v="1350000"/>
    <n v="989028"/>
    <n v="360972"/>
    <n v="0.26738666666666666"/>
    <x v="2"/>
    <x v="1"/>
    <x v="8"/>
    <x v="14"/>
  </r>
  <r>
    <s v="ORD-10247"/>
    <x v="197"/>
    <x v="5"/>
    <x v="0"/>
    <s v="PRD-ELE-103"/>
    <s v="Wireless Mouse"/>
    <n v="15"/>
    <n v="2500"/>
    <n v="1567"/>
    <s v="Net Banking"/>
    <s v="Paid"/>
    <n v="37500"/>
    <n v="23505"/>
    <n v="13995"/>
    <n v="0.37319999999999998"/>
    <x v="2"/>
    <x v="1"/>
    <x v="3"/>
    <x v="3"/>
  </r>
  <r>
    <s v="ORD-10248"/>
    <x v="198"/>
    <x v="1"/>
    <x v="3"/>
    <s v="PRD-ELE-101"/>
    <s v="Monitor 27inch"/>
    <n v="12"/>
    <n v="55000"/>
    <n v="43259"/>
    <s v="UPI"/>
    <s v="Paid"/>
    <n v="660000"/>
    <n v="519108"/>
    <n v="140892"/>
    <n v="0.21347272727272729"/>
    <x v="2"/>
    <x v="0"/>
    <x v="11"/>
    <x v="18"/>
  </r>
  <r>
    <s v="ORD-10249"/>
    <x v="199"/>
    <x v="4"/>
    <x v="0"/>
    <s v="PRD-FUR-202"/>
    <s v="Standing Executive Desk"/>
    <n v="10"/>
    <n v="35000"/>
    <n v="25872"/>
    <s v="UPI"/>
    <s v="Paid"/>
    <n v="350000"/>
    <n v="258720"/>
    <n v="91280"/>
    <n v="0.26079999999999998"/>
    <x v="1"/>
    <x v="0"/>
    <x v="8"/>
    <x v="9"/>
  </r>
  <r>
    <s v="ORD-10250"/>
    <x v="200"/>
    <x v="7"/>
    <x v="4"/>
    <s v="PRD-FUR-202"/>
    <s v="Standing Executive Desk"/>
    <n v="8"/>
    <n v="35000"/>
    <n v="22839"/>
    <s v="Net Banking"/>
    <s v="Pending"/>
    <n v="280000"/>
    <n v="182712"/>
    <n v="97288"/>
    <n v="0.34745714285714285"/>
    <x v="1"/>
    <x v="1"/>
    <x v="1"/>
    <x v="1"/>
  </r>
  <r>
    <s v="ORD-10251"/>
    <x v="201"/>
    <x v="3"/>
    <x v="2"/>
    <s v="PRD-ELE-103"/>
    <s v="Wireless Mouse"/>
    <n v="17"/>
    <n v="2500"/>
    <n v="1717"/>
    <s v="UPI"/>
    <s v="Paid"/>
    <n v="42500"/>
    <n v="29189"/>
    <n v="13311"/>
    <n v="0.31319999999999998"/>
    <x v="2"/>
    <x v="1"/>
    <x v="4"/>
    <x v="4"/>
  </r>
  <r>
    <s v="ORD-10252"/>
    <x v="72"/>
    <x v="0"/>
    <x v="4"/>
    <s v="PRD-ELE-103"/>
    <s v="Wireless Mouse"/>
    <n v="2"/>
    <n v="2500"/>
    <n v="1739"/>
    <s v="Net Banking"/>
    <s v="Paid"/>
    <n v="5000"/>
    <n v="3478"/>
    <n v="1522"/>
    <n v="0.3044"/>
    <x v="2"/>
    <x v="0"/>
    <x v="9"/>
    <x v="12"/>
  </r>
  <r>
    <s v="ORD-10253"/>
    <x v="202"/>
    <x v="8"/>
    <x v="4"/>
    <s v="PRD-FUR-202"/>
    <s v="Standing Executive Desk"/>
    <n v="10"/>
    <n v="35000"/>
    <n v="22472"/>
    <s v="Net Banking"/>
    <s v="Failed"/>
    <n v="350000"/>
    <n v="224720"/>
    <n v="125280"/>
    <n v="0.35794285714285712"/>
    <x v="1"/>
    <x v="1"/>
    <x v="11"/>
    <x v="19"/>
  </r>
  <r>
    <s v="ORD-10254"/>
    <x v="94"/>
    <x v="0"/>
    <x v="4"/>
    <s v="PRD-ELE-102"/>
    <s v="Mechanical Keyboard"/>
    <n v="6"/>
    <n v="4500"/>
    <n v="3493"/>
    <s v="Cash on Delivery"/>
    <s v="Failed"/>
    <n v="27000"/>
    <n v="20958"/>
    <n v="6042"/>
    <n v="0.22377777777777777"/>
    <x v="2"/>
    <x v="0"/>
    <x v="6"/>
    <x v="15"/>
  </r>
  <r>
    <s v="ORD-10255"/>
    <x v="203"/>
    <x v="2"/>
    <x v="3"/>
    <s v="PRD-ELE-101"/>
    <s v="Monitor 27inch"/>
    <n v="5"/>
    <n v="55000"/>
    <n v="39006"/>
    <s v="Net Banking"/>
    <s v="Pending"/>
    <n v="275000"/>
    <n v="195030"/>
    <n v="79970"/>
    <n v="0.2908"/>
    <x v="2"/>
    <x v="1"/>
    <x v="7"/>
    <x v="8"/>
  </r>
  <r>
    <s v="ORD-10256"/>
    <x v="73"/>
    <x v="7"/>
    <x v="0"/>
    <s v="PRD-ELE-105"/>
    <s v="Android Tablet 10inch"/>
    <n v="1"/>
    <n v="28000"/>
    <n v="19591"/>
    <s v="Cash on Delivery"/>
    <s v="Pending"/>
    <n v="28000"/>
    <n v="19591"/>
    <n v="8409"/>
    <n v="0.30032142857142857"/>
    <x v="2"/>
    <x v="0"/>
    <x v="3"/>
    <x v="16"/>
  </r>
  <r>
    <s v="ORD-10257"/>
    <x v="115"/>
    <x v="5"/>
    <x v="4"/>
    <s v="PRD-ACC-301"/>
    <s v="USB-C Docking Station"/>
    <n v="11"/>
    <n v="8500"/>
    <n v="6466"/>
    <s v="Cash on Delivery"/>
    <s v="Pending"/>
    <n v="93500"/>
    <n v="71126"/>
    <n v="22374"/>
    <n v="0.23929411764705882"/>
    <x v="0"/>
    <x v="1"/>
    <x v="0"/>
    <x v="17"/>
  </r>
  <r>
    <s v="ORD-10258"/>
    <x v="204"/>
    <x v="4"/>
    <x v="4"/>
    <s v="PRD-ELE-104"/>
    <s v="Core i7 Laptop"/>
    <n v="16"/>
    <n v="75000"/>
    <n v="48240"/>
    <s v="Credit Card"/>
    <s v="Pending"/>
    <n v="1200000"/>
    <n v="771840"/>
    <n v="428160"/>
    <n v="0.35680000000000001"/>
    <x v="2"/>
    <x v="0"/>
    <x v="3"/>
    <x v="16"/>
  </r>
  <r>
    <s v="ORD-10259"/>
    <x v="205"/>
    <x v="0"/>
    <x v="0"/>
    <s v="PRD-ELE-103"/>
    <s v="Wireless Mouse"/>
    <n v="1"/>
    <n v="2500"/>
    <n v="1537"/>
    <s v="UPI"/>
    <s v="Pending"/>
    <n v="2500"/>
    <n v="1537"/>
    <n v="963"/>
    <n v="0.38519999999999999"/>
    <x v="2"/>
    <x v="1"/>
    <x v="4"/>
    <x v="4"/>
  </r>
  <r>
    <s v="ORD-10260"/>
    <x v="206"/>
    <x v="4"/>
    <x v="4"/>
    <s v="PRD-ACC-301"/>
    <s v="USB-C Docking Station"/>
    <n v="16"/>
    <n v="8500"/>
    <n v="5465"/>
    <s v="Credit Card"/>
    <s v="Failed"/>
    <n v="136000"/>
    <n v="87440"/>
    <n v="48560"/>
    <n v="0.35705882352941176"/>
    <x v="0"/>
    <x v="1"/>
    <x v="10"/>
    <x v="13"/>
  </r>
  <r>
    <s v="ORD-10261"/>
    <x v="207"/>
    <x v="6"/>
    <x v="3"/>
    <s v="PRD-ACC-301"/>
    <s v="USB-C Docking Station"/>
    <n v="9"/>
    <n v="8500"/>
    <n v="6425"/>
    <s v="Credit Card"/>
    <s v="Paid"/>
    <n v="76500"/>
    <n v="57825"/>
    <n v="18675"/>
    <n v="0.24411764705882352"/>
    <x v="0"/>
    <x v="0"/>
    <x v="3"/>
    <x v="16"/>
  </r>
  <r>
    <s v="ORD-10262"/>
    <x v="208"/>
    <x v="6"/>
    <x v="3"/>
    <s v="PRD-ELE-103"/>
    <s v="Wireless Mouse"/>
    <n v="15"/>
    <n v="2500"/>
    <n v="1830"/>
    <s v="Cash on Delivery"/>
    <s v="Paid"/>
    <n v="37500"/>
    <n v="27450"/>
    <n v="10050"/>
    <n v="0.26800000000000002"/>
    <x v="2"/>
    <x v="0"/>
    <x v="8"/>
    <x v="9"/>
  </r>
  <r>
    <s v="ORD-10263"/>
    <x v="209"/>
    <x v="6"/>
    <x v="3"/>
    <s v="PRD-ELE-103"/>
    <s v="Wireless Mouse"/>
    <n v="18"/>
    <n v="2500"/>
    <n v="1978"/>
    <s v="Net Banking"/>
    <s v="Paid"/>
    <n v="45000"/>
    <n v="35604"/>
    <n v="9396"/>
    <n v="0.20880000000000001"/>
    <x v="2"/>
    <x v="1"/>
    <x v="11"/>
    <x v="19"/>
  </r>
  <r>
    <s v="ORD-10264"/>
    <x v="210"/>
    <x v="8"/>
    <x v="4"/>
    <s v="PRD-ELE-104"/>
    <s v="Core i7 Laptop"/>
    <n v="13"/>
    <n v="75000"/>
    <n v="47690"/>
    <s v="Net Banking"/>
    <s v="Pending"/>
    <n v="975000"/>
    <n v="619970"/>
    <n v="355030"/>
    <n v="0.36413333333333331"/>
    <x v="2"/>
    <x v="0"/>
    <x v="6"/>
    <x v="15"/>
  </r>
  <r>
    <s v="ORD-10265"/>
    <x v="211"/>
    <x v="5"/>
    <x v="0"/>
    <s v="PRD-ELE-105"/>
    <s v="Android Tablet 10inch"/>
    <n v="9"/>
    <n v="28000"/>
    <n v="17497"/>
    <s v="Cash on Delivery"/>
    <s v="Pending"/>
    <n v="252000"/>
    <n v="157473"/>
    <n v="94527"/>
    <n v="0.37510714285714286"/>
    <x v="2"/>
    <x v="1"/>
    <x v="9"/>
    <x v="11"/>
  </r>
  <r>
    <s v="ORD-10266"/>
    <x v="212"/>
    <x v="5"/>
    <x v="3"/>
    <s v="PRD-ELE-105"/>
    <s v="Android Tablet 10inch"/>
    <n v="4"/>
    <n v="28000"/>
    <n v="18106"/>
    <s v="Credit Card"/>
    <s v="Paid"/>
    <n v="112000"/>
    <n v="72424"/>
    <n v="39576"/>
    <n v="0.35335714285714287"/>
    <x v="2"/>
    <x v="0"/>
    <x v="9"/>
    <x v="12"/>
  </r>
  <r>
    <s v="ORD-10267"/>
    <x v="213"/>
    <x v="3"/>
    <x v="4"/>
    <s v="PRD-ACC-301"/>
    <s v="USB-C Docking Station"/>
    <n v="9"/>
    <n v="8500"/>
    <n v="6740"/>
    <s v="Cash on Delivery"/>
    <s v="Pending"/>
    <n v="76500"/>
    <n v="60660"/>
    <n v="15840"/>
    <n v="0.20705882352941177"/>
    <x v="0"/>
    <x v="1"/>
    <x v="2"/>
    <x v="10"/>
  </r>
  <r>
    <s v="ORD-10268"/>
    <x v="149"/>
    <x v="1"/>
    <x v="0"/>
    <s v="PRD-FUR-202"/>
    <s v="Standing Executive Desk"/>
    <n v="2"/>
    <n v="35000"/>
    <n v="26480"/>
    <s v="Cash on Delivery"/>
    <s v="Failed"/>
    <n v="70000"/>
    <n v="52960"/>
    <n v="17040"/>
    <n v="0.24342857142857144"/>
    <x v="1"/>
    <x v="0"/>
    <x v="6"/>
    <x v="15"/>
  </r>
  <r>
    <s v="ORD-10269"/>
    <x v="214"/>
    <x v="8"/>
    <x v="4"/>
    <s v="PRD-ELE-104"/>
    <s v="Core i7 Laptop"/>
    <n v="7"/>
    <n v="75000"/>
    <n v="51887"/>
    <s v="UPI"/>
    <s v="Failed"/>
    <n v="525000"/>
    <n v="363209"/>
    <n v="161791"/>
    <n v="0.30817333333333335"/>
    <x v="2"/>
    <x v="1"/>
    <x v="2"/>
    <x v="10"/>
  </r>
  <r>
    <s v="ORD-10270"/>
    <x v="29"/>
    <x v="6"/>
    <x v="0"/>
    <s v="PRD-ELE-103"/>
    <s v="Wireless Mouse"/>
    <n v="6"/>
    <n v="2500"/>
    <n v="1959"/>
    <s v="Cash on Delivery"/>
    <s v="Unknown"/>
    <n v="15000"/>
    <n v="11754"/>
    <n v="3246"/>
    <n v="0.21640000000000001"/>
    <x v="2"/>
    <x v="1"/>
    <x v="8"/>
    <x v="14"/>
  </r>
  <r>
    <s v="ORD-10271"/>
    <x v="43"/>
    <x v="4"/>
    <x v="0"/>
    <s v="PRD-ACC-301"/>
    <s v="USB-C Docking Station"/>
    <n v="5"/>
    <n v="8500"/>
    <n v="5243"/>
    <s v="Net Banking"/>
    <s v="Failed"/>
    <n v="42500"/>
    <n v="26215"/>
    <n v="16285"/>
    <n v="0.38317647058823529"/>
    <x v="0"/>
    <x v="0"/>
    <x v="3"/>
    <x v="16"/>
  </r>
  <r>
    <s v="ORD-10272"/>
    <x v="215"/>
    <x v="0"/>
    <x v="4"/>
    <s v="PRD-FUR-201"/>
    <s v="Ergonomic Desk Chair"/>
    <n v="13"/>
    <n v="14000"/>
    <n v="10606"/>
    <s v="Cash on Delivery"/>
    <s v="Paid"/>
    <n v="182000"/>
    <n v="137878"/>
    <n v="44122"/>
    <n v="0.24242857142857144"/>
    <x v="1"/>
    <x v="0"/>
    <x v="11"/>
    <x v="18"/>
  </r>
  <r>
    <s v="ORD-10273"/>
    <x v="216"/>
    <x v="8"/>
    <x v="2"/>
    <s v="PRD-ELE-105"/>
    <s v="Android Tablet 10inch"/>
    <n v="15"/>
    <n v="28000"/>
    <n v="18503"/>
    <s v="Cash on Delivery"/>
    <s v="Pending"/>
    <n v="420000"/>
    <n v="277545"/>
    <n v="142455"/>
    <n v="0.33917857142857144"/>
    <x v="2"/>
    <x v="0"/>
    <x v="6"/>
    <x v="15"/>
  </r>
  <r>
    <s v="ORD-10274"/>
    <x v="127"/>
    <x v="8"/>
    <x v="4"/>
    <s v="PRD-ACC-301"/>
    <s v="USB-C Docking Station"/>
    <n v="4"/>
    <n v="8500"/>
    <n v="6385"/>
    <s v="Cash on Delivery"/>
    <s v="Paid"/>
    <n v="34000"/>
    <n v="25540"/>
    <n v="8460"/>
    <n v="0.24882352941176469"/>
    <x v="0"/>
    <x v="0"/>
    <x v="6"/>
    <x v="15"/>
  </r>
  <r>
    <s v="ORD-10275"/>
    <x v="217"/>
    <x v="4"/>
    <x v="1"/>
    <s v="PRD-FUR-202"/>
    <s v="Standing Executive Desk"/>
    <n v="15"/>
    <n v="35000"/>
    <n v="23779"/>
    <s v="UPI"/>
    <s v="Paid"/>
    <n v="525000"/>
    <n v="356685"/>
    <n v="168315"/>
    <n v="0.3206"/>
    <x v="1"/>
    <x v="1"/>
    <x v="10"/>
    <x v="13"/>
  </r>
  <r>
    <s v="ORD-10276"/>
    <x v="161"/>
    <x v="6"/>
    <x v="2"/>
    <s v="PRD-ELE-104"/>
    <s v="Core i7 Laptop"/>
    <n v="10"/>
    <n v="75000"/>
    <n v="59638"/>
    <s v="UPI"/>
    <s v="Pending"/>
    <n v="750000"/>
    <n v="596380"/>
    <n v="153620"/>
    <n v="0.20482666666666666"/>
    <x v="2"/>
    <x v="1"/>
    <x v="10"/>
    <x v="13"/>
  </r>
  <r>
    <s v="ORD-10277"/>
    <x v="142"/>
    <x v="6"/>
    <x v="0"/>
    <s v="PRD-ELE-102"/>
    <s v="Mechanical Keyboard"/>
    <n v="2"/>
    <n v="4500"/>
    <n v="3216"/>
    <s v="UPI"/>
    <s v="Paid"/>
    <n v="9000"/>
    <n v="6432"/>
    <n v="2568"/>
    <n v="0.28533333333333333"/>
    <x v="2"/>
    <x v="1"/>
    <x v="4"/>
    <x v="4"/>
  </r>
  <r>
    <s v="ORD-10278"/>
    <x v="218"/>
    <x v="7"/>
    <x v="1"/>
    <s v="PRD-ACC-302"/>
    <s v="Noise Cancelling Headphones"/>
    <n v="1"/>
    <n v="12500"/>
    <n v="8689"/>
    <s v="Credit Card"/>
    <s v="Pending"/>
    <n v="12500"/>
    <n v="8689"/>
    <n v="3811"/>
    <n v="0.30487999999999998"/>
    <x v="0"/>
    <x v="1"/>
    <x v="9"/>
    <x v="11"/>
  </r>
  <r>
    <s v="ORD-10279"/>
    <x v="39"/>
    <x v="5"/>
    <x v="4"/>
    <s v="PRD-ELE-103"/>
    <s v="Wireless Mouse"/>
    <n v="7"/>
    <n v="2500"/>
    <n v="1625"/>
    <s v="Credit Card"/>
    <s v="Failed"/>
    <n v="17500"/>
    <n v="11375"/>
    <n v="6125"/>
    <n v="0.35"/>
    <x v="2"/>
    <x v="1"/>
    <x v="6"/>
    <x v="6"/>
  </r>
  <r>
    <s v="ORD-10281"/>
    <x v="219"/>
    <x v="3"/>
    <x v="2"/>
    <s v="PRD-FUR-201"/>
    <s v="Ergonomic Desk Chair"/>
    <n v="9"/>
    <n v="14000"/>
    <n v="9075"/>
    <s v="Net Banking"/>
    <s v="Failed"/>
    <n v="126000"/>
    <n v="81675"/>
    <n v="44325"/>
    <n v="0.35178571428571431"/>
    <x v="1"/>
    <x v="1"/>
    <x v="7"/>
    <x v="8"/>
  </r>
  <r>
    <s v="ORD-10282"/>
    <x v="220"/>
    <x v="6"/>
    <x v="2"/>
    <s v="PRD-ACC-302"/>
    <s v="Noise Cancelling Headphones"/>
    <n v="7"/>
    <n v="12500"/>
    <n v="9348"/>
    <s v="Credit Card"/>
    <s v="Pending"/>
    <n v="87500"/>
    <n v="65436"/>
    <n v="22064"/>
    <n v="0.25216"/>
    <x v="0"/>
    <x v="1"/>
    <x v="2"/>
    <x v="10"/>
  </r>
  <r>
    <s v="ORD-10283"/>
    <x v="221"/>
    <x v="8"/>
    <x v="0"/>
    <s v="PRD-ELE-101"/>
    <s v="Monitor 27inch"/>
    <n v="12"/>
    <n v="55000"/>
    <n v="41280"/>
    <s v="Cash on Delivery"/>
    <s v="Pending"/>
    <n v="660000"/>
    <n v="495360"/>
    <n v="164640"/>
    <n v="0.24945454545454546"/>
    <x v="2"/>
    <x v="1"/>
    <x v="5"/>
    <x v="7"/>
  </r>
  <r>
    <s v="ORD-10284"/>
    <x v="24"/>
    <x v="1"/>
    <x v="1"/>
    <s v="PRD-ACC-302"/>
    <s v="Noise Cancelling Headphones"/>
    <n v="14"/>
    <n v="12500"/>
    <n v="8051"/>
    <s v="Credit Card"/>
    <s v="Pending"/>
    <n v="175000"/>
    <n v="112714"/>
    <n v="62286"/>
    <n v="0.35592000000000001"/>
    <x v="0"/>
    <x v="1"/>
    <x v="3"/>
    <x v="3"/>
  </r>
  <r>
    <s v="ORD-10285"/>
    <x v="222"/>
    <x v="8"/>
    <x v="0"/>
    <s v="PRD-FUR-201"/>
    <s v="Ergonomic Desk Chair"/>
    <n v="3"/>
    <n v="14000"/>
    <n v="8472"/>
    <s v="Credit Card"/>
    <s v="Pending"/>
    <n v="42000"/>
    <n v="25416"/>
    <n v="16584"/>
    <n v="0.39485714285714285"/>
    <x v="1"/>
    <x v="1"/>
    <x v="6"/>
    <x v="6"/>
  </r>
  <r>
    <s v="ORD-10286"/>
    <x v="30"/>
    <x v="4"/>
    <x v="2"/>
    <s v="PRD-ELE-102"/>
    <s v="Mechanical Keyboard"/>
    <n v="12"/>
    <n v="4500"/>
    <n v="2731"/>
    <s v="Credit Card"/>
    <s v="Pending"/>
    <n v="54000"/>
    <n v="32772"/>
    <n v="21228"/>
    <n v="0.39311111111111113"/>
    <x v="2"/>
    <x v="0"/>
    <x v="8"/>
    <x v="9"/>
  </r>
  <r>
    <s v="ORD-10287"/>
    <x v="223"/>
    <x v="8"/>
    <x v="2"/>
    <s v="PRD-ELE-101"/>
    <s v="Monitor 27inch"/>
    <n v="14"/>
    <n v="55000"/>
    <n v="41126"/>
    <s v="UPI"/>
    <s v="Pending"/>
    <n v="770000"/>
    <n v="575764"/>
    <n v="194236"/>
    <n v="0.25225454545454545"/>
    <x v="2"/>
    <x v="0"/>
    <x v="2"/>
    <x v="2"/>
  </r>
  <r>
    <s v="ORD-10288"/>
    <x v="88"/>
    <x v="3"/>
    <x v="0"/>
    <s v="PRD-ELE-102"/>
    <s v="Mechanical Keyboard"/>
    <n v="3"/>
    <n v="4500"/>
    <n v="2885"/>
    <s v="Credit Card"/>
    <s v="Paid"/>
    <n v="13500"/>
    <n v="8655"/>
    <n v="4845"/>
    <n v="0.35888888888888887"/>
    <x v="2"/>
    <x v="1"/>
    <x v="1"/>
    <x v="1"/>
  </r>
  <r>
    <s v="ORD-10289"/>
    <x v="224"/>
    <x v="0"/>
    <x v="0"/>
    <s v="PRD-ELE-103"/>
    <s v="Wireless Mouse"/>
    <n v="10"/>
    <n v="2500"/>
    <n v="1517"/>
    <s v="UPI"/>
    <s v="Failed"/>
    <n v="25000"/>
    <n v="15170"/>
    <n v="9830"/>
    <n v="0.39319999999999999"/>
    <x v="2"/>
    <x v="1"/>
    <x v="2"/>
    <x v="10"/>
  </r>
  <r>
    <s v="ORD-10290"/>
    <x v="225"/>
    <x v="6"/>
    <x v="4"/>
    <s v="PRD-ELE-105"/>
    <s v="Android Tablet 10inch"/>
    <n v="15"/>
    <n v="28000"/>
    <n v="17547"/>
    <s v="Net Banking"/>
    <s v="Failed"/>
    <n v="420000"/>
    <n v="263205"/>
    <n v="156795"/>
    <n v="0.37332142857142858"/>
    <x v="2"/>
    <x v="0"/>
    <x v="8"/>
    <x v="9"/>
  </r>
  <r>
    <s v="ORD-10291"/>
    <x v="226"/>
    <x v="1"/>
    <x v="1"/>
    <s v="PRD-ELE-102"/>
    <s v="Mechanical Keyboard"/>
    <n v="6"/>
    <n v="4500"/>
    <n v="3259"/>
    <s v="Cash on Delivery"/>
    <s v="Paid"/>
    <n v="27000"/>
    <n v="19554"/>
    <n v="7446"/>
    <n v="0.27577777777777779"/>
    <x v="2"/>
    <x v="0"/>
    <x v="5"/>
    <x v="5"/>
  </r>
  <r>
    <s v="ORD-10292"/>
    <x v="141"/>
    <x v="3"/>
    <x v="3"/>
    <s v="PRD-ELE-104"/>
    <s v="Core i7 Laptop"/>
    <n v="18"/>
    <n v="75000"/>
    <n v="57853"/>
    <s v="Cash on Delivery"/>
    <s v="Paid"/>
    <n v="1350000"/>
    <n v="1041354"/>
    <n v="308646"/>
    <n v="0.22862666666666667"/>
    <x v="2"/>
    <x v="1"/>
    <x v="2"/>
    <x v="10"/>
  </r>
  <r>
    <s v="ORD-10293"/>
    <x v="227"/>
    <x v="8"/>
    <x v="1"/>
    <s v="PRD-ACC-301"/>
    <s v="USB-C Docking Station"/>
    <n v="3"/>
    <n v="8500"/>
    <n v="5844"/>
    <s v="Cash on Delivery"/>
    <s v="Pending"/>
    <n v="25500"/>
    <n v="17532"/>
    <n v="7968"/>
    <n v="0.31247058823529411"/>
    <x v="0"/>
    <x v="1"/>
    <x v="10"/>
    <x v="13"/>
  </r>
  <r>
    <s v="ORD-10294"/>
    <x v="97"/>
    <x v="8"/>
    <x v="1"/>
    <s v="PRD-ELE-102"/>
    <s v="Mechanical Keyboard"/>
    <n v="13"/>
    <n v="4500"/>
    <n v="2831"/>
    <s v="UPI"/>
    <s v="Pending"/>
    <n v="58500"/>
    <n v="36803"/>
    <n v="21697"/>
    <n v="0.37088888888888888"/>
    <x v="2"/>
    <x v="1"/>
    <x v="7"/>
    <x v="8"/>
  </r>
  <r>
    <s v="ORD-10295"/>
    <x v="195"/>
    <x v="5"/>
    <x v="1"/>
    <s v="PRD-ELE-103"/>
    <s v="Wireless Mouse"/>
    <n v="13"/>
    <n v="2500"/>
    <n v="1589"/>
    <s v="UPI"/>
    <s v="Failed"/>
    <n v="32500"/>
    <n v="20657"/>
    <n v="11843"/>
    <n v="0.3644"/>
    <x v="2"/>
    <x v="0"/>
    <x v="8"/>
    <x v="9"/>
  </r>
  <r>
    <s v="ORD-10296"/>
    <x v="228"/>
    <x v="7"/>
    <x v="1"/>
    <s v="PRD-ELE-104"/>
    <s v="Core i7 Laptop"/>
    <n v="19"/>
    <n v="75000"/>
    <n v="45484"/>
    <s v="UPI"/>
    <s v="Pending"/>
    <n v="1425000"/>
    <n v="864196"/>
    <n v="560804"/>
    <n v="0.39354666666666666"/>
    <x v="2"/>
    <x v="1"/>
    <x v="8"/>
    <x v="14"/>
  </r>
  <r>
    <s v="ORD-10297"/>
    <x v="229"/>
    <x v="7"/>
    <x v="0"/>
    <s v="PRD-ELE-104"/>
    <s v="Core i7 Laptop"/>
    <n v="15"/>
    <n v="75000"/>
    <n v="54047"/>
    <s v="Net Banking"/>
    <s v="Failed"/>
    <n v="1125000"/>
    <n v="810705"/>
    <n v="314295"/>
    <n v="0.27937333333333331"/>
    <x v="2"/>
    <x v="1"/>
    <x v="8"/>
    <x v="14"/>
  </r>
  <r>
    <s v="ORD-10298"/>
    <x v="230"/>
    <x v="2"/>
    <x v="4"/>
    <s v="PRD-ELE-102"/>
    <s v="Mechanical Keyboard"/>
    <n v="13"/>
    <n v="4500"/>
    <n v="2893"/>
    <s v="Credit Card"/>
    <s v="Failed"/>
    <n v="58500"/>
    <n v="37609"/>
    <n v="20891"/>
    <n v="0.3571111111111111"/>
    <x v="2"/>
    <x v="1"/>
    <x v="11"/>
    <x v="19"/>
  </r>
  <r>
    <s v="ORD-10299"/>
    <x v="48"/>
    <x v="2"/>
    <x v="4"/>
    <s v="PRD-ELE-101"/>
    <s v="Monitor 27inch"/>
    <n v="15"/>
    <n v="55000"/>
    <n v="42707"/>
    <s v="Cash on Delivery"/>
    <s v="Paid"/>
    <n v="825000"/>
    <n v="640605"/>
    <n v="184395"/>
    <n v="0.22350909090909091"/>
    <x v="2"/>
    <x v="0"/>
    <x v="6"/>
    <x v="15"/>
  </r>
  <r>
    <s v="ORD-10300"/>
    <x v="231"/>
    <x v="6"/>
    <x v="3"/>
    <s v="PRD-ELE-104"/>
    <s v="Core i7 Laptop"/>
    <n v="1"/>
    <n v="75000"/>
    <n v="48637"/>
    <s v="Credit Card"/>
    <s v="Paid"/>
    <n v="75000"/>
    <n v="48637"/>
    <n v="26363"/>
    <n v="0.35150666666666669"/>
    <x v="2"/>
    <x v="0"/>
    <x v="5"/>
    <x v="5"/>
  </r>
  <r>
    <s v="ORD-10301"/>
    <x v="232"/>
    <x v="4"/>
    <x v="4"/>
    <s v="PRD-ELE-105"/>
    <s v="Android Tablet 10inch"/>
    <n v="13"/>
    <n v="28000"/>
    <n v="17600"/>
    <s v="UPI"/>
    <s v="Pending"/>
    <n v="364000"/>
    <n v="228800"/>
    <n v="135200"/>
    <n v="0.37142857142857144"/>
    <x v="2"/>
    <x v="1"/>
    <x v="0"/>
    <x v="17"/>
  </r>
  <r>
    <s v="ORD-10302"/>
    <x v="233"/>
    <x v="6"/>
    <x v="2"/>
    <s v="PRD-ACC-302"/>
    <s v="Noise Cancelling Headphones"/>
    <n v="19"/>
    <n v="12500"/>
    <n v="8307"/>
    <s v="Net Banking"/>
    <s v="Paid"/>
    <n v="237500"/>
    <n v="157833"/>
    <n v="79667"/>
    <n v="0.33544000000000002"/>
    <x v="0"/>
    <x v="1"/>
    <x v="4"/>
    <x v="4"/>
  </r>
  <r>
    <s v="ORD-10303"/>
    <x v="234"/>
    <x v="4"/>
    <x v="4"/>
    <s v="PRD-FUR-201"/>
    <s v="Ergonomic Desk Chair"/>
    <n v="8"/>
    <n v="14000"/>
    <n v="10709"/>
    <s v="Credit Card"/>
    <s v="Failed"/>
    <n v="112000"/>
    <n v="85672"/>
    <n v="26328"/>
    <n v="0.23507142857142857"/>
    <x v="1"/>
    <x v="1"/>
    <x v="1"/>
    <x v="1"/>
  </r>
  <r>
    <s v="ORD-10304"/>
    <x v="17"/>
    <x v="6"/>
    <x v="2"/>
    <s v="PRD-FUR-202"/>
    <s v="Standing Executive Desk"/>
    <n v="18"/>
    <n v="35000"/>
    <n v="22407"/>
    <s v="Cash on Delivery"/>
    <s v="Paid"/>
    <n v="630000"/>
    <n v="403326"/>
    <n v="226674"/>
    <n v="0.35980000000000001"/>
    <x v="1"/>
    <x v="1"/>
    <x v="7"/>
    <x v="8"/>
  </r>
  <r>
    <s v="ORD-10305"/>
    <x v="235"/>
    <x v="3"/>
    <x v="0"/>
    <s v="PRD-ELE-105"/>
    <s v="Android Tablet 10inch"/>
    <n v="15"/>
    <n v="28000"/>
    <n v="20270"/>
    <s v="UPI"/>
    <s v="Pending"/>
    <n v="420000"/>
    <n v="304050"/>
    <n v="115950"/>
    <n v="0.27607142857142858"/>
    <x v="2"/>
    <x v="1"/>
    <x v="9"/>
    <x v="11"/>
  </r>
  <r>
    <s v="ORD-10306"/>
    <x v="236"/>
    <x v="8"/>
    <x v="0"/>
    <s v="PRD-ELE-102"/>
    <s v="Mechanical Keyboard"/>
    <n v="16"/>
    <n v="4500"/>
    <n v="3179"/>
    <s v="UPI"/>
    <s v="Pending"/>
    <n v="72000"/>
    <n v="50864"/>
    <n v="21136"/>
    <n v="0.29355555555555557"/>
    <x v="2"/>
    <x v="0"/>
    <x v="11"/>
    <x v="18"/>
  </r>
  <r>
    <s v="ORD-10307"/>
    <x v="237"/>
    <x v="2"/>
    <x v="0"/>
    <s v="PRD-ELE-103"/>
    <s v="Wireless Mouse"/>
    <n v="9"/>
    <n v="2500"/>
    <n v="1613"/>
    <s v="Net Banking"/>
    <s v="Paid"/>
    <n v="22500"/>
    <n v="14517"/>
    <n v="7983"/>
    <n v="0.3548"/>
    <x v="2"/>
    <x v="1"/>
    <x v="1"/>
    <x v="1"/>
  </r>
  <r>
    <s v="ORD-10308"/>
    <x v="238"/>
    <x v="2"/>
    <x v="0"/>
    <s v="PRD-ELE-103"/>
    <s v="Wireless Mouse"/>
    <n v="18"/>
    <n v="2500"/>
    <n v="1779"/>
    <s v="Cash on Delivery"/>
    <s v="Pending"/>
    <n v="45000"/>
    <n v="32022"/>
    <n v="12978"/>
    <n v="0.28839999999999999"/>
    <x v="2"/>
    <x v="1"/>
    <x v="5"/>
    <x v="7"/>
  </r>
  <r>
    <s v="ORD-10309"/>
    <x v="25"/>
    <x v="1"/>
    <x v="4"/>
    <s v="PRD-ELE-102"/>
    <s v="Mechanical Keyboard"/>
    <n v="11"/>
    <n v="4500"/>
    <n v="3280"/>
    <s v="Credit Card"/>
    <s v="Failed"/>
    <n v="49500"/>
    <n v="36080"/>
    <n v="13420"/>
    <n v="0.27111111111111114"/>
    <x v="2"/>
    <x v="1"/>
    <x v="10"/>
    <x v="13"/>
  </r>
  <r>
    <s v="ORD-10310"/>
    <x v="146"/>
    <x v="1"/>
    <x v="3"/>
    <s v="PRD-ACC-301"/>
    <s v="USB-C Docking Station"/>
    <n v="10"/>
    <n v="8500"/>
    <n v="5927"/>
    <s v="Credit Card"/>
    <s v="Paid"/>
    <n v="85000"/>
    <n v="59270"/>
    <n v="25730"/>
    <n v="0.30270588235294116"/>
    <x v="0"/>
    <x v="1"/>
    <x v="9"/>
    <x v="11"/>
  </r>
  <r>
    <s v="ORD-10311"/>
    <x v="239"/>
    <x v="4"/>
    <x v="0"/>
    <s v="PRD-FUR-201"/>
    <s v="Ergonomic Desk Chair"/>
    <n v="19"/>
    <n v="14000"/>
    <n v="9150"/>
    <s v="Credit Card"/>
    <s v="Pending"/>
    <n v="266000"/>
    <n v="173850"/>
    <n v="92150"/>
    <n v="0.34642857142857142"/>
    <x v="1"/>
    <x v="0"/>
    <x v="3"/>
    <x v="16"/>
  </r>
  <r>
    <s v="ORD-10312"/>
    <x v="147"/>
    <x v="2"/>
    <x v="4"/>
    <s v="PRD-ELE-102"/>
    <s v="Mechanical Keyboard"/>
    <n v="7"/>
    <n v="4500"/>
    <n v="2910"/>
    <s v="Cash on Delivery"/>
    <s v="Paid"/>
    <n v="31500"/>
    <n v="20370"/>
    <n v="11130"/>
    <n v="0.35333333333333333"/>
    <x v="2"/>
    <x v="1"/>
    <x v="5"/>
    <x v="7"/>
  </r>
  <r>
    <s v="ORD-10313"/>
    <x v="240"/>
    <x v="6"/>
    <x v="3"/>
    <s v="PRD-FUR-202"/>
    <s v="Standing Executive Desk"/>
    <n v="16"/>
    <n v="35000"/>
    <n v="21706"/>
    <s v="Cash on Delivery"/>
    <s v="Failed"/>
    <n v="560000"/>
    <n v="347296"/>
    <n v="212704"/>
    <n v="0.3798285714285714"/>
    <x v="1"/>
    <x v="0"/>
    <x v="6"/>
    <x v="15"/>
  </r>
  <r>
    <s v="ORD-10314"/>
    <x v="188"/>
    <x v="0"/>
    <x v="0"/>
    <s v="PRD-ELE-105"/>
    <s v="Android Tablet 10inch"/>
    <n v="17"/>
    <n v="28000"/>
    <n v="18594"/>
    <s v="Credit Card"/>
    <s v="Paid"/>
    <n v="476000"/>
    <n v="316098"/>
    <n v="159902"/>
    <n v="0.33592857142857141"/>
    <x v="2"/>
    <x v="1"/>
    <x v="9"/>
    <x v="11"/>
  </r>
  <r>
    <s v="ORD-10316"/>
    <x v="241"/>
    <x v="6"/>
    <x v="4"/>
    <s v="PRD-ACC-301"/>
    <s v="USB-C Docking Station"/>
    <n v="14"/>
    <n v="8500"/>
    <n v="6386"/>
    <s v="Cash on Delivery"/>
    <s v="Pending"/>
    <n v="119000"/>
    <n v="89404"/>
    <n v="29596"/>
    <n v="0.24870588235294117"/>
    <x v="0"/>
    <x v="0"/>
    <x v="11"/>
    <x v="18"/>
  </r>
  <r>
    <s v="ORD-10317"/>
    <x v="242"/>
    <x v="8"/>
    <x v="4"/>
    <s v="PRD-FUR-201"/>
    <s v="Ergonomic Desk Chair"/>
    <n v="17"/>
    <n v="14000"/>
    <n v="9168"/>
    <s v="Cash on Delivery"/>
    <s v="Failed"/>
    <n v="238000"/>
    <n v="155856"/>
    <n v="82144"/>
    <n v="0.34514285714285714"/>
    <x v="1"/>
    <x v="0"/>
    <x v="0"/>
    <x v="0"/>
  </r>
  <r>
    <s v="ORD-10318"/>
    <x v="243"/>
    <x v="1"/>
    <x v="1"/>
    <s v="PRD-ACC-301"/>
    <s v="USB-C Docking Station"/>
    <n v="2"/>
    <n v="8500"/>
    <n v="6033"/>
    <s v="Net Banking"/>
    <s v="Paid"/>
    <n v="17000"/>
    <n v="12066"/>
    <n v="4934"/>
    <n v="0.29023529411764704"/>
    <x v="0"/>
    <x v="0"/>
    <x v="6"/>
    <x v="15"/>
  </r>
  <r>
    <s v="ORD-10319"/>
    <x v="134"/>
    <x v="1"/>
    <x v="0"/>
    <s v="PRD-FUR-201"/>
    <s v="Ergonomic Desk Chair"/>
    <n v="5"/>
    <n v="14000"/>
    <n v="10941"/>
    <s v="Cash on Delivery"/>
    <s v="Paid"/>
    <n v="70000"/>
    <n v="54705"/>
    <n v="15295"/>
    <n v="0.2185"/>
    <x v="1"/>
    <x v="1"/>
    <x v="7"/>
    <x v="8"/>
  </r>
  <r>
    <s v="ORD-10321"/>
    <x v="225"/>
    <x v="4"/>
    <x v="4"/>
    <s v="PRD-ELE-104"/>
    <s v="Core i7 Laptop"/>
    <n v="16"/>
    <n v="75000"/>
    <n v="51211"/>
    <s v="Credit Card"/>
    <s v="Pending"/>
    <n v="1200000"/>
    <n v="819376"/>
    <n v="380624"/>
    <n v="0.31718666666666667"/>
    <x v="2"/>
    <x v="0"/>
    <x v="8"/>
    <x v="9"/>
  </r>
  <r>
    <s v="ORD-10322"/>
    <x v="229"/>
    <x v="3"/>
    <x v="2"/>
    <s v="PRD-ELE-103"/>
    <s v="Wireless Mouse"/>
    <n v="13"/>
    <n v="2500"/>
    <n v="1502"/>
    <s v="UPI"/>
    <s v="Pending"/>
    <n v="32500"/>
    <n v="19526"/>
    <n v="12974"/>
    <n v="0.3992"/>
    <x v="2"/>
    <x v="1"/>
    <x v="8"/>
    <x v="14"/>
  </r>
  <r>
    <s v="ORD-10323"/>
    <x v="244"/>
    <x v="8"/>
    <x v="0"/>
    <s v="PRD-ACC-302"/>
    <s v="Noise Cancelling Headphones"/>
    <n v="3"/>
    <n v="12500"/>
    <n v="8037"/>
    <s v="Cash on Delivery"/>
    <s v="Pending"/>
    <n v="37500"/>
    <n v="24111"/>
    <n v="13389"/>
    <n v="0.35704000000000002"/>
    <x v="0"/>
    <x v="1"/>
    <x v="0"/>
    <x v="17"/>
  </r>
  <r>
    <s v="ORD-10324"/>
    <x v="245"/>
    <x v="0"/>
    <x v="0"/>
    <s v="PRD-ACC-302"/>
    <s v="Noise Cancelling Headphones"/>
    <n v="12"/>
    <n v="12500"/>
    <n v="9966"/>
    <s v="Credit Card"/>
    <s v="Pending"/>
    <n v="150000"/>
    <n v="119592"/>
    <n v="30408"/>
    <n v="0.20272000000000001"/>
    <x v="0"/>
    <x v="1"/>
    <x v="9"/>
    <x v="11"/>
  </r>
  <r>
    <s v="ORD-10325"/>
    <x v="65"/>
    <x v="8"/>
    <x v="2"/>
    <s v="PRD-ELE-105"/>
    <s v="Android Tablet 10inch"/>
    <n v="7"/>
    <n v="28000"/>
    <n v="20263"/>
    <s v="UPI"/>
    <s v="Pending"/>
    <n v="196000"/>
    <n v="141841"/>
    <n v="54159"/>
    <n v="0.27632142857142855"/>
    <x v="2"/>
    <x v="1"/>
    <x v="11"/>
    <x v="19"/>
  </r>
  <r>
    <s v="ORD-10326"/>
    <x v="246"/>
    <x v="0"/>
    <x v="4"/>
    <s v="PRD-ACC-302"/>
    <s v="Noise Cancelling Headphones"/>
    <n v="7"/>
    <n v="12500"/>
    <n v="8153"/>
    <s v="Credit Card"/>
    <s v="Paid"/>
    <n v="87500"/>
    <n v="57071"/>
    <n v="30429"/>
    <n v="0.34776000000000001"/>
    <x v="0"/>
    <x v="1"/>
    <x v="11"/>
    <x v="19"/>
  </r>
  <r>
    <s v="ORD-10327"/>
    <x v="247"/>
    <x v="6"/>
    <x v="4"/>
    <s v="PRD-FUR-202"/>
    <s v="Standing Executive Desk"/>
    <n v="18"/>
    <n v="35000"/>
    <n v="25770"/>
    <s v="Cash on Delivery"/>
    <s v="Paid"/>
    <n v="630000"/>
    <n v="463860"/>
    <n v="166140"/>
    <n v="0.26371428571428573"/>
    <x v="1"/>
    <x v="1"/>
    <x v="1"/>
    <x v="1"/>
  </r>
  <r>
    <s v="ORD-10328"/>
    <x v="19"/>
    <x v="5"/>
    <x v="0"/>
    <s v="PRD-ELE-101"/>
    <s v="Monitor 27inch"/>
    <n v="16"/>
    <n v="55000"/>
    <n v="40338"/>
    <s v="Credit Card"/>
    <s v="Failed"/>
    <n v="880000"/>
    <n v="645408"/>
    <n v="234592"/>
    <n v="0.2665818181818182"/>
    <x v="2"/>
    <x v="1"/>
    <x v="9"/>
    <x v="11"/>
  </r>
  <r>
    <s v="ORD-10329"/>
    <x v="178"/>
    <x v="4"/>
    <x v="0"/>
    <s v="PRD-FUR-202"/>
    <s v="Standing Executive Desk"/>
    <n v="18"/>
    <n v="35000"/>
    <n v="27424"/>
    <s v="Net Banking"/>
    <s v="Paid"/>
    <n v="630000"/>
    <n v="493632"/>
    <n v="136368"/>
    <n v="0.21645714285714285"/>
    <x v="1"/>
    <x v="1"/>
    <x v="0"/>
    <x v="17"/>
  </r>
  <r>
    <s v="ORD-10330"/>
    <x v="248"/>
    <x v="7"/>
    <x v="0"/>
    <s v="PRD-ELE-103"/>
    <s v="Wireless Mouse"/>
    <n v="15"/>
    <n v="2500"/>
    <n v="1845"/>
    <s v="Credit Card"/>
    <s v="Pending"/>
    <n v="37500"/>
    <n v="27675"/>
    <n v="9825"/>
    <n v="0.26200000000000001"/>
    <x v="2"/>
    <x v="1"/>
    <x v="6"/>
    <x v="6"/>
  </r>
  <r>
    <s v="ORD-10331"/>
    <x v="249"/>
    <x v="2"/>
    <x v="4"/>
    <s v="PRD-ELE-103"/>
    <s v="Wireless Mouse"/>
    <n v="11"/>
    <n v="2500"/>
    <n v="1602"/>
    <s v="Net Banking"/>
    <s v="Failed"/>
    <n v="27500"/>
    <n v="17622"/>
    <n v="9878"/>
    <n v="0.35920000000000002"/>
    <x v="2"/>
    <x v="0"/>
    <x v="11"/>
    <x v="18"/>
  </r>
  <r>
    <s v="ORD-10332"/>
    <x v="250"/>
    <x v="7"/>
    <x v="4"/>
    <s v="PRD-FUR-202"/>
    <s v="Standing Executive Desk"/>
    <n v="19"/>
    <n v="35000"/>
    <n v="25689"/>
    <s v="Cash on Delivery"/>
    <s v="Paid"/>
    <n v="665000"/>
    <n v="488091"/>
    <n v="176909"/>
    <n v="0.26602857142857145"/>
    <x v="1"/>
    <x v="0"/>
    <x v="6"/>
    <x v="15"/>
  </r>
  <r>
    <s v="ORD-10333"/>
    <x v="67"/>
    <x v="8"/>
    <x v="0"/>
    <s v="PRD-ELE-101"/>
    <s v="Monitor 27inch"/>
    <n v="7"/>
    <n v="55000"/>
    <n v="40121"/>
    <s v="Cash on Delivery"/>
    <s v="Pending"/>
    <n v="385000"/>
    <n v="280847"/>
    <n v="104153"/>
    <n v="0.27052727272727273"/>
    <x v="2"/>
    <x v="0"/>
    <x v="5"/>
    <x v="5"/>
  </r>
  <r>
    <s v="ORD-10334"/>
    <x v="216"/>
    <x v="7"/>
    <x v="4"/>
    <s v="PRD-ACC-302"/>
    <s v="Noise Cancelling Headphones"/>
    <n v="14"/>
    <n v="12500"/>
    <n v="7781"/>
    <s v="UPI"/>
    <s v="Pending"/>
    <n v="175000"/>
    <n v="108934"/>
    <n v="66066"/>
    <n v="0.37752000000000002"/>
    <x v="0"/>
    <x v="0"/>
    <x v="6"/>
    <x v="15"/>
  </r>
  <r>
    <s v="ORD-10335"/>
    <x v="197"/>
    <x v="2"/>
    <x v="0"/>
    <s v="PRD-FUR-202"/>
    <s v="Standing Executive Desk"/>
    <n v="11"/>
    <n v="35000"/>
    <n v="27851"/>
    <s v="UPI"/>
    <s v="Paid"/>
    <n v="385000"/>
    <n v="306361"/>
    <n v="78639"/>
    <n v="0.20425714285714286"/>
    <x v="1"/>
    <x v="1"/>
    <x v="3"/>
    <x v="3"/>
  </r>
  <r>
    <s v="ORD-10336"/>
    <x v="251"/>
    <x v="2"/>
    <x v="4"/>
    <s v="PRD-FUR-201"/>
    <s v="Ergonomic Desk Chair"/>
    <n v="15"/>
    <n v="14000"/>
    <n v="9253"/>
    <s v="Cash on Delivery"/>
    <s v="Pending"/>
    <n v="210000"/>
    <n v="138795"/>
    <n v="71205"/>
    <n v="0.33907142857142858"/>
    <x v="1"/>
    <x v="0"/>
    <x v="8"/>
    <x v="9"/>
  </r>
  <r>
    <s v="ORD-10337"/>
    <x v="227"/>
    <x v="1"/>
    <x v="0"/>
    <s v="PRD-ELE-103"/>
    <s v="Wireless Mouse"/>
    <n v="18"/>
    <n v="2500"/>
    <n v="1504"/>
    <s v="Cash on Delivery"/>
    <s v="Pending"/>
    <n v="45000"/>
    <n v="27072"/>
    <n v="17928"/>
    <n v="0.39839999999999998"/>
    <x v="2"/>
    <x v="1"/>
    <x v="10"/>
    <x v="13"/>
  </r>
  <r>
    <s v="ORD-10338"/>
    <x v="34"/>
    <x v="2"/>
    <x v="2"/>
    <s v="PRD-FUR-201"/>
    <s v="Ergonomic Desk Chair"/>
    <n v="18"/>
    <n v="14000"/>
    <n v="10944"/>
    <s v="Cash on Delivery"/>
    <s v="Paid"/>
    <n v="252000"/>
    <n v="196992"/>
    <n v="55008"/>
    <n v="0.21828571428571428"/>
    <x v="1"/>
    <x v="1"/>
    <x v="8"/>
    <x v="14"/>
  </r>
  <r>
    <s v="ORD-10339"/>
    <x v="170"/>
    <x v="1"/>
    <x v="0"/>
    <s v="PRD-ACC-302"/>
    <s v="Noise Cancelling Headphones"/>
    <n v="1"/>
    <n v="12500"/>
    <n v="8007"/>
    <s v="UPI"/>
    <s v="Pending"/>
    <n v="12500"/>
    <n v="8007"/>
    <n v="4493"/>
    <n v="0.35943999999999998"/>
    <x v="0"/>
    <x v="1"/>
    <x v="0"/>
    <x v="17"/>
  </r>
  <r>
    <s v="ORD-10340"/>
    <x v="252"/>
    <x v="4"/>
    <x v="0"/>
    <s v="PRD-ACC-302"/>
    <s v="Noise Cancelling Headphones"/>
    <n v="11"/>
    <n v="12500"/>
    <n v="9369"/>
    <s v="Credit Card"/>
    <s v="Failed"/>
    <n v="137500"/>
    <n v="103059"/>
    <n v="34441"/>
    <n v="0.25047999999999998"/>
    <x v="0"/>
    <x v="0"/>
    <x v="8"/>
    <x v="9"/>
  </r>
  <r>
    <s v="ORD-10341"/>
    <x v="253"/>
    <x v="8"/>
    <x v="4"/>
    <s v="PRD-ELE-103"/>
    <s v="Wireless Mouse"/>
    <n v="5"/>
    <n v="2500"/>
    <n v="1552"/>
    <s v="Cash on Delivery"/>
    <s v="Pending"/>
    <n v="12500"/>
    <n v="7760"/>
    <n v="4740"/>
    <n v="0.37919999999999998"/>
    <x v="2"/>
    <x v="0"/>
    <x v="8"/>
    <x v="9"/>
  </r>
  <r>
    <s v="ORD-10342"/>
    <x v="254"/>
    <x v="2"/>
    <x v="1"/>
    <s v="PRD-ACC-301"/>
    <s v="USB-C Docking Station"/>
    <n v="17"/>
    <n v="8500"/>
    <n v="5919"/>
    <s v="Cash on Delivery"/>
    <s v="Failed"/>
    <n v="144500"/>
    <n v="100623"/>
    <n v="43877"/>
    <n v="0.30364705882352944"/>
    <x v="0"/>
    <x v="1"/>
    <x v="10"/>
    <x v="13"/>
  </r>
  <r>
    <s v="ORD-10343"/>
    <x v="255"/>
    <x v="1"/>
    <x v="4"/>
    <s v="PRD-ELE-103"/>
    <s v="Wireless Mouse"/>
    <n v="4"/>
    <n v="2500"/>
    <n v="1752"/>
    <s v="Cash on Delivery"/>
    <s v="Paid"/>
    <n v="10000"/>
    <n v="7008"/>
    <n v="2992"/>
    <n v="0.29920000000000002"/>
    <x v="2"/>
    <x v="1"/>
    <x v="9"/>
    <x v="11"/>
  </r>
  <r>
    <s v="ORD-10344"/>
    <x v="113"/>
    <x v="1"/>
    <x v="3"/>
    <s v="PRD-ELE-102"/>
    <s v="Mechanical Keyboard"/>
    <n v="9"/>
    <n v="4500"/>
    <n v="2867"/>
    <s v="Net Banking"/>
    <s v="Pending"/>
    <n v="40500"/>
    <n v="25803"/>
    <n v="14697"/>
    <n v="0.36288888888888887"/>
    <x v="2"/>
    <x v="0"/>
    <x v="5"/>
    <x v="5"/>
  </r>
  <r>
    <s v="ORD-10345"/>
    <x v="96"/>
    <x v="5"/>
    <x v="1"/>
    <s v="PRD-ELE-101"/>
    <s v="Monitor 27inch"/>
    <n v="6"/>
    <n v="55000"/>
    <n v="33836"/>
    <s v="Credit Card"/>
    <s v="Pending"/>
    <n v="330000"/>
    <n v="203016"/>
    <n v="126984"/>
    <n v="0.38479999999999998"/>
    <x v="2"/>
    <x v="1"/>
    <x v="4"/>
    <x v="4"/>
  </r>
  <r>
    <s v="ORD-10346"/>
    <x v="256"/>
    <x v="1"/>
    <x v="3"/>
    <s v="PRD-FUR-202"/>
    <s v="Standing Executive Desk"/>
    <n v="19"/>
    <n v="35000"/>
    <n v="24713"/>
    <s v="Cash on Delivery"/>
    <s v="Pending"/>
    <n v="665000"/>
    <n v="469547"/>
    <n v="195453"/>
    <n v="0.29391428571428574"/>
    <x v="1"/>
    <x v="1"/>
    <x v="0"/>
    <x v="17"/>
  </r>
  <r>
    <s v="ORD-10347"/>
    <x v="257"/>
    <x v="8"/>
    <x v="4"/>
    <s v="PRD-FUR-202"/>
    <s v="Standing Executive Desk"/>
    <n v="13"/>
    <n v="35000"/>
    <n v="23289"/>
    <s v="Credit Card"/>
    <s v="Pending"/>
    <n v="455000"/>
    <n v="302757"/>
    <n v="152243"/>
    <n v="0.33460000000000001"/>
    <x v="1"/>
    <x v="0"/>
    <x v="5"/>
    <x v="5"/>
  </r>
  <r>
    <s v="ORD-10348"/>
    <x v="258"/>
    <x v="7"/>
    <x v="4"/>
    <s v="PRD-ELE-104"/>
    <s v="Core i7 Laptop"/>
    <n v="17"/>
    <n v="75000"/>
    <n v="49080"/>
    <s v="Credit Card"/>
    <s v="Pending"/>
    <n v="1275000"/>
    <n v="834360"/>
    <n v="440640"/>
    <n v="0.34560000000000002"/>
    <x v="2"/>
    <x v="1"/>
    <x v="2"/>
    <x v="10"/>
  </r>
  <r>
    <s v="ORD-10349"/>
    <x v="259"/>
    <x v="6"/>
    <x v="0"/>
    <s v="PRD-FUR-202"/>
    <s v="Standing Executive Desk"/>
    <n v="19"/>
    <n v="35000"/>
    <n v="27729"/>
    <s v="UPI"/>
    <s v="Failed"/>
    <n v="665000"/>
    <n v="526851"/>
    <n v="138149"/>
    <n v="0.20774285714285715"/>
    <x v="1"/>
    <x v="1"/>
    <x v="8"/>
    <x v="14"/>
  </r>
  <r>
    <s v="ORD-10351"/>
    <x v="260"/>
    <x v="6"/>
    <x v="3"/>
    <s v="PRD-FUR-201"/>
    <s v="Ergonomic Desk Chair"/>
    <n v="1"/>
    <n v="14000"/>
    <n v="8998"/>
    <s v="Net Banking"/>
    <s v="Failed"/>
    <n v="14000"/>
    <n v="8998"/>
    <n v="5002"/>
    <n v="0.35728571428571426"/>
    <x v="1"/>
    <x v="0"/>
    <x v="5"/>
    <x v="5"/>
  </r>
  <r>
    <s v="ORD-10352"/>
    <x v="261"/>
    <x v="8"/>
    <x v="1"/>
    <s v="PRD-ACC-301"/>
    <s v="USB-C Docking Station"/>
    <n v="15"/>
    <n v="8500"/>
    <n v="6571"/>
    <s v="UPI"/>
    <s v="Failed"/>
    <n v="127500"/>
    <n v="98565"/>
    <n v="28935"/>
    <n v="0.22694117647058823"/>
    <x v="0"/>
    <x v="1"/>
    <x v="9"/>
    <x v="11"/>
  </r>
  <r>
    <s v="ORD-10353"/>
    <x v="130"/>
    <x v="8"/>
    <x v="2"/>
    <s v="PRD-ELE-101"/>
    <s v="Monitor 27inch"/>
    <n v="6"/>
    <n v="55000"/>
    <n v="38457"/>
    <s v="Credit Card"/>
    <s v="Pending"/>
    <n v="330000"/>
    <n v="230742"/>
    <n v="99258"/>
    <n v="0.30078181818181821"/>
    <x v="2"/>
    <x v="0"/>
    <x v="0"/>
    <x v="0"/>
  </r>
  <r>
    <s v="ORD-10354"/>
    <x v="262"/>
    <x v="0"/>
    <x v="0"/>
    <s v="PRD-ELE-105"/>
    <s v="Android Tablet 10inch"/>
    <n v="9"/>
    <n v="28000"/>
    <n v="17846"/>
    <s v="Credit Card"/>
    <s v="Pending"/>
    <n v="252000"/>
    <n v="160614"/>
    <n v="91386"/>
    <n v="0.36264285714285716"/>
    <x v="2"/>
    <x v="1"/>
    <x v="0"/>
    <x v="17"/>
  </r>
  <r>
    <s v="ORD-10355"/>
    <x v="108"/>
    <x v="2"/>
    <x v="2"/>
    <s v="PRD-FUR-201"/>
    <s v="Ergonomic Desk Chair"/>
    <n v="18"/>
    <n v="14000"/>
    <n v="10021"/>
    <s v="Cash on Delivery"/>
    <s v="Paid"/>
    <n v="252000"/>
    <n v="180378"/>
    <n v="71622"/>
    <n v="0.2842142857142857"/>
    <x v="1"/>
    <x v="1"/>
    <x v="7"/>
    <x v="8"/>
  </r>
  <r>
    <s v="ORD-10356"/>
    <x v="43"/>
    <x v="6"/>
    <x v="4"/>
    <s v="PRD-ACC-301"/>
    <s v="USB-C Docking Station"/>
    <n v="14"/>
    <n v="8500"/>
    <n v="6542"/>
    <s v="Net Banking"/>
    <s v="Paid"/>
    <n v="119000"/>
    <n v="91588"/>
    <n v="27412"/>
    <n v="0.23035294117647059"/>
    <x v="0"/>
    <x v="0"/>
    <x v="3"/>
    <x v="16"/>
  </r>
  <r>
    <s v="ORD-10357"/>
    <x v="263"/>
    <x v="3"/>
    <x v="2"/>
    <s v="PRD-ACC-302"/>
    <s v="Noise Cancelling Headphones"/>
    <n v="14"/>
    <n v="12500"/>
    <n v="8438"/>
    <s v="Net Banking"/>
    <s v="Paid"/>
    <n v="175000"/>
    <n v="118132"/>
    <n v="56868"/>
    <n v="0.32496000000000003"/>
    <x v="0"/>
    <x v="1"/>
    <x v="6"/>
    <x v="6"/>
  </r>
  <r>
    <s v="ORD-10358"/>
    <x v="264"/>
    <x v="8"/>
    <x v="4"/>
    <s v="PRD-ACC-301"/>
    <s v="USB-C Docking Station"/>
    <n v="12"/>
    <n v="8500"/>
    <n v="6180"/>
    <s v="Cash on Delivery"/>
    <s v="Pending"/>
    <n v="102000"/>
    <n v="74160"/>
    <n v="27840"/>
    <n v="0.27294117647058824"/>
    <x v="0"/>
    <x v="0"/>
    <x v="9"/>
    <x v="12"/>
  </r>
  <r>
    <s v="ORD-10359"/>
    <x v="265"/>
    <x v="4"/>
    <x v="1"/>
    <s v="PRD-ELE-105"/>
    <s v="Android Tablet 10inch"/>
    <n v="7"/>
    <n v="28000"/>
    <n v="19338"/>
    <s v="Net Banking"/>
    <s v="Paid"/>
    <n v="196000"/>
    <n v="135366"/>
    <n v="60634"/>
    <n v="0.30935714285714283"/>
    <x v="2"/>
    <x v="1"/>
    <x v="1"/>
    <x v="1"/>
  </r>
  <r>
    <s v="ORD-10360"/>
    <x v="266"/>
    <x v="8"/>
    <x v="4"/>
    <s v="PRD-FUR-201"/>
    <s v="Ergonomic Desk Chair"/>
    <n v="4"/>
    <n v="14000"/>
    <n v="9584"/>
    <s v="Credit Card"/>
    <s v="Unknown"/>
    <n v="56000"/>
    <n v="38336"/>
    <n v="17664"/>
    <n v="0.31542857142857145"/>
    <x v="1"/>
    <x v="1"/>
    <x v="3"/>
    <x v="3"/>
  </r>
  <r>
    <s v="ORD-10361"/>
    <x v="112"/>
    <x v="6"/>
    <x v="0"/>
    <s v="PRD-ELE-101"/>
    <s v="Monitor 27inch"/>
    <n v="3"/>
    <n v="55000"/>
    <n v="35600"/>
    <s v="UPI"/>
    <s v="Paid"/>
    <n v="165000"/>
    <n v="106800"/>
    <n v="58200"/>
    <n v="0.35272727272727272"/>
    <x v="2"/>
    <x v="0"/>
    <x v="0"/>
    <x v="0"/>
  </r>
  <r>
    <s v="ORD-10362"/>
    <x v="2"/>
    <x v="1"/>
    <x v="2"/>
    <s v="PRD-ELE-103"/>
    <s v="Wireless Mouse"/>
    <n v="11"/>
    <n v="2500"/>
    <n v="1924"/>
    <s v="Net Banking"/>
    <s v="Failed"/>
    <n v="27500"/>
    <n v="21164"/>
    <n v="6336"/>
    <n v="0.23039999999999999"/>
    <x v="2"/>
    <x v="0"/>
    <x v="2"/>
    <x v="2"/>
  </r>
  <r>
    <s v="ORD-10363"/>
    <x v="267"/>
    <x v="3"/>
    <x v="0"/>
    <s v="PRD-ELE-102"/>
    <s v="Mechanical Keyboard"/>
    <n v="16"/>
    <n v="4500"/>
    <n v="3030"/>
    <s v="Cash on Delivery"/>
    <s v="Pending"/>
    <n v="72000"/>
    <n v="48480"/>
    <n v="23520"/>
    <n v="0.32666666666666666"/>
    <x v="2"/>
    <x v="0"/>
    <x v="0"/>
    <x v="0"/>
  </r>
  <r>
    <s v="ORD-10364"/>
    <x v="268"/>
    <x v="6"/>
    <x v="2"/>
    <s v="PRD-FUR-201"/>
    <s v="Ergonomic Desk Chair"/>
    <n v="12"/>
    <n v="14000"/>
    <n v="9544"/>
    <s v="Cash on Delivery"/>
    <s v="Paid"/>
    <n v="168000"/>
    <n v="114528"/>
    <n v="53472"/>
    <n v="0.31828571428571428"/>
    <x v="1"/>
    <x v="0"/>
    <x v="0"/>
    <x v="0"/>
  </r>
  <r>
    <s v="ORD-10365"/>
    <x v="269"/>
    <x v="7"/>
    <x v="0"/>
    <s v="PRD-ELE-105"/>
    <s v="Android Tablet 10inch"/>
    <n v="7"/>
    <n v="28000"/>
    <n v="18594"/>
    <s v="Credit Card"/>
    <s v="Pending"/>
    <n v="196000"/>
    <n v="130158"/>
    <n v="65842"/>
    <n v="0.33592857142857141"/>
    <x v="2"/>
    <x v="1"/>
    <x v="4"/>
    <x v="4"/>
  </r>
  <r>
    <s v="ORD-10366"/>
    <x v="270"/>
    <x v="2"/>
    <x v="0"/>
    <s v="PRD-ACC-302"/>
    <s v="Noise Cancelling Headphones"/>
    <n v="4"/>
    <n v="12500"/>
    <n v="8556"/>
    <s v="UPI"/>
    <s v="Pending"/>
    <n v="50000"/>
    <n v="34224"/>
    <n v="15776"/>
    <n v="0.31552000000000002"/>
    <x v="0"/>
    <x v="1"/>
    <x v="4"/>
    <x v="4"/>
  </r>
  <r>
    <s v="ORD-10367"/>
    <x v="214"/>
    <x v="7"/>
    <x v="0"/>
    <s v="PRD-ELE-105"/>
    <s v="Android Tablet 10inch"/>
    <n v="7"/>
    <n v="28000"/>
    <n v="21465"/>
    <s v="Cash on Delivery"/>
    <s v="Pending"/>
    <n v="196000"/>
    <n v="150255"/>
    <n v="45745"/>
    <n v="0.23339285714285715"/>
    <x v="2"/>
    <x v="1"/>
    <x v="2"/>
    <x v="10"/>
  </r>
  <r>
    <s v="ORD-10368"/>
    <x v="54"/>
    <x v="5"/>
    <x v="2"/>
    <s v="PRD-ELE-102"/>
    <s v="Mechanical Keyboard"/>
    <n v="6"/>
    <n v="4500"/>
    <n v="3445"/>
    <s v="UPI"/>
    <s v="Pending"/>
    <n v="27000"/>
    <n v="20670"/>
    <n v="6330"/>
    <n v="0.23444444444444446"/>
    <x v="2"/>
    <x v="0"/>
    <x v="5"/>
    <x v="5"/>
  </r>
  <r>
    <s v="ORD-10369"/>
    <x v="63"/>
    <x v="1"/>
    <x v="1"/>
    <s v="PRD-ACC-302"/>
    <s v="Noise Cancelling Headphones"/>
    <n v="10"/>
    <n v="12500"/>
    <n v="9255"/>
    <s v="Net Banking"/>
    <s v="Pending"/>
    <n v="125000"/>
    <n v="92550"/>
    <n v="32450"/>
    <n v="0.2596"/>
    <x v="0"/>
    <x v="0"/>
    <x v="8"/>
    <x v="9"/>
  </r>
  <r>
    <s v="ORD-10370"/>
    <x v="271"/>
    <x v="5"/>
    <x v="3"/>
    <s v="PRD-ACC-302"/>
    <s v="Noise Cancelling Headphones"/>
    <n v="3"/>
    <n v="12500"/>
    <n v="9588"/>
    <s v="Cash on Delivery"/>
    <s v="Pending"/>
    <n v="37500"/>
    <n v="28764"/>
    <n v="8736"/>
    <n v="0.23296"/>
    <x v="0"/>
    <x v="0"/>
    <x v="2"/>
    <x v="2"/>
  </r>
  <r>
    <s v="ORD-10371"/>
    <x v="272"/>
    <x v="6"/>
    <x v="4"/>
    <s v="PRD-FUR-201"/>
    <s v="Ergonomic Desk Chair"/>
    <n v="5"/>
    <n v="14000"/>
    <n v="10720"/>
    <s v="Credit Card"/>
    <s v="Failed"/>
    <n v="70000"/>
    <n v="53600"/>
    <n v="16400"/>
    <n v="0.23428571428571429"/>
    <x v="1"/>
    <x v="1"/>
    <x v="5"/>
    <x v="7"/>
  </r>
  <r>
    <s v="ORD-10372"/>
    <x v="273"/>
    <x v="3"/>
    <x v="0"/>
    <s v="PRD-ELE-102"/>
    <s v="Mechanical Keyboard"/>
    <n v="14"/>
    <n v="4500"/>
    <n v="2803"/>
    <s v="Net Banking"/>
    <s v="Paid"/>
    <n v="63000"/>
    <n v="39242"/>
    <n v="23758"/>
    <n v="0.37711111111111112"/>
    <x v="2"/>
    <x v="0"/>
    <x v="9"/>
    <x v="12"/>
  </r>
  <r>
    <s v="ORD-10373"/>
    <x v="56"/>
    <x v="0"/>
    <x v="0"/>
    <s v="PRD-ELE-105"/>
    <s v="Android Tablet 10inch"/>
    <n v="3"/>
    <n v="28000"/>
    <n v="22130"/>
    <s v="Cash on Delivery"/>
    <s v="Paid"/>
    <n v="84000"/>
    <n v="66390"/>
    <n v="17610"/>
    <n v="0.20964285714285713"/>
    <x v="2"/>
    <x v="0"/>
    <x v="3"/>
    <x v="16"/>
  </r>
  <r>
    <s v="ORD-10374"/>
    <x v="274"/>
    <x v="8"/>
    <x v="2"/>
    <s v="PRD-ACC-301"/>
    <s v="USB-C Docking Station"/>
    <n v="17"/>
    <n v="8500"/>
    <n v="6206"/>
    <s v="Cash on Delivery"/>
    <s v="Pending"/>
    <n v="144500"/>
    <n v="105502"/>
    <n v="38998"/>
    <n v="0.26988235294117646"/>
    <x v="0"/>
    <x v="1"/>
    <x v="8"/>
    <x v="14"/>
  </r>
  <r>
    <s v="ORD-10375"/>
    <x v="275"/>
    <x v="0"/>
    <x v="4"/>
    <s v="PRD-FUR-202"/>
    <s v="Standing Executive Desk"/>
    <n v="3"/>
    <n v="35000"/>
    <n v="24869"/>
    <s v="UPI"/>
    <s v="Paid"/>
    <n v="105000"/>
    <n v="74607"/>
    <n v="30393"/>
    <n v="0.28945714285714286"/>
    <x v="1"/>
    <x v="0"/>
    <x v="6"/>
    <x v="15"/>
  </r>
  <r>
    <s v="ORD-10376"/>
    <x v="90"/>
    <x v="3"/>
    <x v="0"/>
    <s v="PRD-ACC-302"/>
    <s v="Noise Cancelling Headphones"/>
    <n v="6"/>
    <n v="12500"/>
    <n v="8676"/>
    <s v="Cash on Delivery"/>
    <s v="Paid"/>
    <n v="75000"/>
    <n v="52056"/>
    <n v="22944"/>
    <n v="0.30592000000000003"/>
    <x v="0"/>
    <x v="1"/>
    <x v="4"/>
    <x v="4"/>
  </r>
  <r>
    <s v="ORD-10377"/>
    <x v="34"/>
    <x v="7"/>
    <x v="3"/>
    <s v="PRD-ELE-101"/>
    <s v="Monitor 27inch"/>
    <n v="4"/>
    <n v="55000"/>
    <n v="38163"/>
    <s v="Cash on Delivery"/>
    <s v="Paid"/>
    <n v="220000"/>
    <n v="152652"/>
    <n v="67348"/>
    <n v="0.30612727272727275"/>
    <x v="2"/>
    <x v="1"/>
    <x v="8"/>
    <x v="14"/>
  </r>
  <r>
    <s v="ORD-10378"/>
    <x v="120"/>
    <x v="3"/>
    <x v="0"/>
    <s v="PRD-ELE-104"/>
    <s v="Core i7 Laptop"/>
    <n v="19"/>
    <n v="75000"/>
    <n v="54797"/>
    <s v="Net Banking"/>
    <s v="Failed"/>
    <n v="1425000"/>
    <n v="1041143"/>
    <n v="383857"/>
    <n v="0.26937333333333335"/>
    <x v="2"/>
    <x v="0"/>
    <x v="3"/>
    <x v="16"/>
  </r>
  <r>
    <s v="ORD-10379"/>
    <x v="276"/>
    <x v="3"/>
    <x v="2"/>
    <s v="PRD-ACC-302"/>
    <s v="Noise Cancelling Headphones"/>
    <n v="15"/>
    <n v="12500"/>
    <n v="9935"/>
    <s v="Cash on Delivery"/>
    <s v="Pending"/>
    <n v="187500"/>
    <n v="149025"/>
    <n v="38475"/>
    <n v="0.20519999999999999"/>
    <x v="0"/>
    <x v="1"/>
    <x v="0"/>
    <x v="17"/>
  </r>
  <r>
    <s v="ORD-10380"/>
    <x v="32"/>
    <x v="4"/>
    <x v="0"/>
    <s v="PRD-ELE-101"/>
    <s v="Monitor 27inch"/>
    <n v="2"/>
    <n v="55000"/>
    <n v="33936"/>
    <s v="Net Banking"/>
    <s v="Pending"/>
    <n v="110000"/>
    <n v="67872"/>
    <n v="42128"/>
    <n v="0.3829818181818182"/>
    <x v="2"/>
    <x v="0"/>
    <x v="2"/>
    <x v="2"/>
  </r>
  <r>
    <s v="ORD-10381"/>
    <x v="277"/>
    <x v="2"/>
    <x v="0"/>
    <s v="PRD-ELE-105"/>
    <s v="Android Tablet 10inch"/>
    <n v="3"/>
    <n v="28000"/>
    <n v="17501"/>
    <s v="Credit Card"/>
    <s v="Paid"/>
    <n v="84000"/>
    <n v="52503"/>
    <n v="31497"/>
    <n v="0.37496428571428569"/>
    <x v="2"/>
    <x v="1"/>
    <x v="0"/>
    <x v="17"/>
  </r>
  <r>
    <s v="ORD-10382"/>
    <x v="162"/>
    <x v="1"/>
    <x v="2"/>
    <s v="PRD-ELE-103"/>
    <s v="Wireless Mouse"/>
    <n v="16"/>
    <n v="2500"/>
    <n v="1789"/>
    <s v="UPI"/>
    <s v="Paid"/>
    <n v="40000"/>
    <n v="28624"/>
    <n v="11376"/>
    <n v="0.28439999999999999"/>
    <x v="2"/>
    <x v="1"/>
    <x v="7"/>
    <x v="8"/>
  </r>
  <r>
    <s v="ORD-10383"/>
    <x v="278"/>
    <x v="1"/>
    <x v="3"/>
    <s v="PRD-ELE-101"/>
    <s v="Monitor 27inch"/>
    <n v="8"/>
    <n v="55000"/>
    <n v="38299"/>
    <s v="Cash on Delivery"/>
    <s v="Paid"/>
    <n v="440000"/>
    <n v="306392"/>
    <n v="133608"/>
    <n v="0.30365454545454545"/>
    <x v="2"/>
    <x v="1"/>
    <x v="0"/>
    <x v="17"/>
  </r>
  <r>
    <s v="ORD-10384"/>
    <x v="279"/>
    <x v="1"/>
    <x v="2"/>
    <s v="PRD-ELE-101"/>
    <s v="Monitor 27inch"/>
    <n v="12"/>
    <n v="55000"/>
    <n v="35204"/>
    <s v="Credit Card"/>
    <s v="Failed"/>
    <n v="660000"/>
    <n v="422448"/>
    <n v="237552"/>
    <n v="0.35992727272727271"/>
    <x v="2"/>
    <x v="1"/>
    <x v="4"/>
    <x v="4"/>
  </r>
  <r>
    <s v="ORD-10386"/>
    <x v="280"/>
    <x v="8"/>
    <x v="4"/>
    <s v="PRD-ELE-101"/>
    <s v="Monitor 27inch"/>
    <n v="19"/>
    <n v="55000"/>
    <n v="33672"/>
    <s v="Credit Card"/>
    <s v="Paid"/>
    <n v="1045000"/>
    <n v="639768"/>
    <n v="405232"/>
    <n v="0.38778181818181817"/>
    <x v="2"/>
    <x v="1"/>
    <x v="1"/>
    <x v="1"/>
  </r>
  <r>
    <s v="ORD-10387"/>
    <x v="229"/>
    <x v="5"/>
    <x v="1"/>
    <s v="PRD-ELE-102"/>
    <s v="Mechanical Keyboard"/>
    <n v="15"/>
    <n v="4500"/>
    <n v="2985"/>
    <s v="Cash on Delivery"/>
    <s v="Paid"/>
    <n v="67500"/>
    <n v="44775"/>
    <n v="22725"/>
    <n v="0.33666666666666667"/>
    <x v="2"/>
    <x v="1"/>
    <x v="8"/>
    <x v="14"/>
  </r>
  <r>
    <s v="ORD-10388"/>
    <x v="281"/>
    <x v="0"/>
    <x v="2"/>
    <s v="PRD-FUR-202"/>
    <s v="Standing Executive Desk"/>
    <n v="15"/>
    <n v="35000"/>
    <n v="22329"/>
    <s v="Cash on Delivery"/>
    <s v="Pending"/>
    <n v="525000"/>
    <n v="334935"/>
    <n v="190065"/>
    <n v="0.36202857142857142"/>
    <x v="1"/>
    <x v="0"/>
    <x v="8"/>
    <x v="9"/>
  </r>
  <r>
    <s v="ORD-10389"/>
    <x v="279"/>
    <x v="6"/>
    <x v="0"/>
    <s v="PRD-FUR-201"/>
    <s v="Ergonomic Desk Chair"/>
    <n v="11"/>
    <n v="14000"/>
    <n v="10279"/>
    <s v="Cash on Delivery"/>
    <s v="Paid"/>
    <n v="154000"/>
    <n v="113069"/>
    <n v="40931"/>
    <n v="0.26578571428571429"/>
    <x v="1"/>
    <x v="1"/>
    <x v="4"/>
    <x v="4"/>
  </r>
  <r>
    <s v="ORD-10390"/>
    <x v="117"/>
    <x v="4"/>
    <x v="0"/>
    <s v="PRD-ACC-301"/>
    <s v="USB-C Docking Station"/>
    <n v="18"/>
    <n v="8500"/>
    <n v="6623"/>
    <s v="Net Banking"/>
    <s v="Pending"/>
    <n v="153000"/>
    <n v="119214"/>
    <n v="33786"/>
    <n v="0.2208235294117647"/>
    <x v="0"/>
    <x v="1"/>
    <x v="4"/>
    <x v="4"/>
  </r>
  <r>
    <s v="ORD-10391"/>
    <x v="282"/>
    <x v="8"/>
    <x v="1"/>
    <s v="PRD-ELE-103"/>
    <s v="Wireless Mouse"/>
    <n v="11"/>
    <n v="2500"/>
    <n v="1996"/>
    <s v="Cash on Delivery"/>
    <s v="Failed"/>
    <n v="27500"/>
    <n v="21956"/>
    <n v="5544"/>
    <n v="0.2016"/>
    <x v="2"/>
    <x v="1"/>
    <x v="11"/>
    <x v="19"/>
  </r>
  <r>
    <s v="ORD-10392"/>
    <x v="283"/>
    <x v="1"/>
    <x v="0"/>
    <s v="PRD-ACC-301"/>
    <s v="USB-C Docking Station"/>
    <n v="5"/>
    <n v="8500"/>
    <n v="5516"/>
    <s v="UPI"/>
    <s v="Paid"/>
    <n v="42500"/>
    <n v="27580"/>
    <n v="14920"/>
    <n v="0.35105882352941176"/>
    <x v="0"/>
    <x v="1"/>
    <x v="8"/>
    <x v="14"/>
  </r>
  <r>
    <s v="ORD-10393"/>
    <x v="219"/>
    <x v="7"/>
    <x v="2"/>
    <s v="PRD-ELE-104"/>
    <s v="Core i7 Laptop"/>
    <n v="10"/>
    <n v="75000"/>
    <n v="51183"/>
    <s v="Credit Card"/>
    <s v="Paid"/>
    <n v="750000"/>
    <n v="511830"/>
    <n v="238170"/>
    <n v="0.31756000000000001"/>
    <x v="2"/>
    <x v="1"/>
    <x v="7"/>
    <x v="8"/>
  </r>
  <r>
    <s v="ORD-10394"/>
    <x v="284"/>
    <x v="3"/>
    <x v="0"/>
    <s v="PRD-ELE-105"/>
    <s v="Android Tablet 10inch"/>
    <n v="1"/>
    <n v="28000"/>
    <n v="17015"/>
    <s v="Net Banking"/>
    <s v="Failed"/>
    <n v="28000"/>
    <n v="17015"/>
    <n v="10985"/>
    <n v="0.3923214285714286"/>
    <x v="2"/>
    <x v="1"/>
    <x v="5"/>
    <x v="7"/>
  </r>
  <r>
    <s v="ORD-10395"/>
    <x v="285"/>
    <x v="4"/>
    <x v="0"/>
    <s v="PRD-ACC-301"/>
    <s v="USB-C Docking Station"/>
    <n v="14"/>
    <n v="8500"/>
    <n v="6791"/>
    <s v="UPI"/>
    <s v="Paid"/>
    <n v="119000"/>
    <n v="95074"/>
    <n v="23926"/>
    <n v="0.20105882352941176"/>
    <x v="0"/>
    <x v="1"/>
    <x v="6"/>
    <x v="6"/>
  </r>
  <r>
    <s v="ORD-10396"/>
    <x v="36"/>
    <x v="8"/>
    <x v="4"/>
    <s v="PRD-ELE-105"/>
    <s v="Android Tablet 10inch"/>
    <n v="4"/>
    <n v="28000"/>
    <n v="19673"/>
    <s v="UPI"/>
    <s v="Paid"/>
    <n v="112000"/>
    <n v="78692"/>
    <n v="33308"/>
    <n v="0.29739285714285713"/>
    <x v="2"/>
    <x v="0"/>
    <x v="2"/>
    <x v="2"/>
  </r>
  <r>
    <s v="ORD-10397"/>
    <x v="286"/>
    <x v="5"/>
    <x v="4"/>
    <s v="PRD-ACC-301"/>
    <s v="USB-C Docking Station"/>
    <n v="7"/>
    <n v="8500"/>
    <n v="6593"/>
    <s v="Net Banking"/>
    <s v="Pending"/>
    <n v="59500"/>
    <n v="46151"/>
    <n v="13349"/>
    <n v="0.22435294117647059"/>
    <x v="0"/>
    <x v="1"/>
    <x v="8"/>
    <x v="14"/>
  </r>
  <r>
    <s v="ORD-10398"/>
    <x v="287"/>
    <x v="2"/>
    <x v="1"/>
    <s v="PRD-ELE-102"/>
    <s v="Mechanical Keyboard"/>
    <n v="7"/>
    <n v="4500"/>
    <n v="3250"/>
    <s v="Credit Card"/>
    <s v="Pending"/>
    <n v="31500"/>
    <n v="22750"/>
    <n v="8750"/>
    <n v="0.27777777777777779"/>
    <x v="2"/>
    <x v="1"/>
    <x v="7"/>
    <x v="8"/>
  </r>
  <r>
    <s v="ORD-10399"/>
    <x v="79"/>
    <x v="6"/>
    <x v="0"/>
    <s v="PRD-ELE-101"/>
    <s v="Monitor 27inch"/>
    <n v="13"/>
    <n v="55000"/>
    <n v="41528"/>
    <s v="Credit Card"/>
    <s v="Failed"/>
    <n v="715000"/>
    <n v="539864"/>
    <n v="175136"/>
    <n v="0.24494545454545455"/>
    <x v="2"/>
    <x v="1"/>
    <x v="11"/>
    <x v="19"/>
  </r>
  <r>
    <s v="ORD-10400"/>
    <x v="174"/>
    <x v="0"/>
    <x v="0"/>
    <s v="PRD-ACC-301"/>
    <s v="USB-C Docking Station"/>
    <n v="10"/>
    <n v="8500"/>
    <n v="6768"/>
    <s v="UPI"/>
    <s v="Paid"/>
    <n v="85000"/>
    <n v="67680"/>
    <n v="17320"/>
    <n v="0.20376470588235293"/>
    <x v="0"/>
    <x v="0"/>
    <x v="2"/>
    <x v="2"/>
  </r>
  <r>
    <s v="ORD-10401"/>
    <x v="115"/>
    <x v="7"/>
    <x v="4"/>
    <s v="PRD-FUR-201"/>
    <s v="Ergonomic Desk Chair"/>
    <n v="6"/>
    <n v="14000"/>
    <n v="9025"/>
    <s v="UPI"/>
    <s v="Paid"/>
    <n v="84000"/>
    <n v="54150"/>
    <n v="29850"/>
    <n v="0.35535714285714287"/>
    <x v="1"/>
    <x v="1"/>
    <x v="0"/>
    <x v="17"/>
  </r>
  <r>
    <s v="ORD-10402"/>
    <x v="288"/>
    <x v="4"/>
    <x v="2"/>
    <s v="PRD-FUR-201"/>
    <s v="Ergonomic Desk Chair"/>
    <n v="12"/>
    <n v="14000"/>
    <n v="9443"/>
    <s v="Credit Card"/>
    <s v="Pending"/>
    <n v="168000"/>
    <n v="113316"/>
    <n v="54684"/>
    <n v="0.32550000000000001"/>
    <x v="1"/>
    <x v="1"/>
    <x v="7"/>
    <x v="8"/>
  </r>
  <r>
    <s v="ORD-10403"/>
    <x v="289"/>
    <x v="3"/>
    <x v="0"/>
    <s v="PRD-ELE-103"/>
    <s v="Wireless Mouse"/>
    <n v="10"/>
    <n v="2500"/>
    <n v="1819"/>
    <s v="Cash on Delivery"/>
    <s v="Pending"/>
    <n v="25000"/>
    <n v="18190"/>
    <n v="6810"/>
    <n v="0.27239999999999998"/>
    <x v="2"/>
    <x v="1"/>
    <x v="10"/>
    <x v="13"/>
  </r>
  <r>
    <s v="ORD-10404"/>
    <x v="127"/>
    <x v="3"/>
    <x v="2"/>
    <s v="PRD-ELE-101"/>
    <s v="Monitor 27inch"/>
    <n v="13"/>
    <n v="55000"/>
    <n v="40675"/>
    <s v="Cash on Delivery"/>
    <s v="Failed"/>
    <n v="715000"/>
    <n v="528775"/>
    <n v="186225"/>
    <n v="0.26045454545454544"/>
    <x v="2"/>
    <x v="0"/>
    <x v="6"/>
    <x v="15"/>
  </r>
  <r>
    <s v="ORD-10405"/>
    <x v="290"/>
    <x v="7"/>
    <x v="4"/>
    <s v="PRD-ELE-102"/>
    <s v="Mechanical Keyboard"/>
    <n v="3"/>
    <n v="4500"/>
    <n v="2971"/>
    <s v="Cash on Delivery"/>
    <s v="Unknown"/>
    <n v="13500"/>
    <n v="8913"/>
    <n v="4587"/>
    <n v="0.33977777777777779"/>
    <x v="2"/>
    <x v="1"/>
    <x v="7"/>
    <x v="8"/>
  </r>
  <r>
    <s v="ORD-10406"/>
    <x v="188"/>
    <x v="4"/>
    <x v="1"/>
    <s v="PRD-ELE-104"/>
    <s v="Core i7 Laptop"/>
    <n v="15"/>
    <n v="75000"/>
    <n v="45332"/>
    <s v="Net Banking"/>
    <s v="Paid"/>
    <n v="1125000"/>
    <n v="679980"/>
    <n v="445020"/>
    <n v="0.39557333333333333"/>
    <x v="2"/>
    <x v="1"/>
    <x v="9"/>
    <x v="11"/>
  </r>
  <r>
    <s v="ORD-10407"/>
    <x v="291"/>
    <x v="8"/>
    <x v="4"/>
    <s v="PRD-ELE-103"/>
    <s v="Wireless Mouse"/>
    <n v="1"/>
    <n v="2500"/>
    <n v="1996"/>
    <s v="Cash on Delivery"/>
    <s v="Failed"/>
    <n v="2500"/>
    <n v="1996"/>
    <n v="504"/>
    <n v="0.2016"/>
    <x v="2"/>
    <x v="1"/>
    <x v="6"/>
    <x v="6"/>
  </r>
  <r>
    <s v="ORD-10408"/>
    <x v="292"/>
    <x v="5"/>
    <x v="1"/>
    <s v="PRD-FUR-202"/>
    <s v="Standing Executive Desk"/>
    <n v="1"/>
    <n v="35000"/>
    <n v="21132"/>
    <s v="Net Banking"/>
    <s v="Pending"/>
    <n v="35000"/>
    <n v="21132"/>
    <n v="13868"/>
    <n v="0.39622857142857143"/>
    <x v="1"/>
    <x v="1"/>
    <x v="10"/>
    <x v="13"/>
  </r>
  <r>
    <s v="ORD-10409"/>
    <x v="189"/>
    <x v="5"/>
    <x v="3"/>
    <s v="PRD-ACC-302"/>
    <s v="Noise Cancelling Headphones"/>
    <n v="10"/>
    <n v="12500"/>
    <n v="8337"/>
    <s v="Credit Card"/>
    <s v="Failed"/>
    <n v="125000"/>
    <n v="83370"/>
    <n v="41630"/>
    <n v="0.33304"/>
    <x v="0"/>
    <x v="0"/>
    <x v="9"/>
    <x v="12"/>
  </r>
  <r>
    <s v="ORD-10410"/>
    <x v="293"/>
    <x v="1"/>
    <x v="3"/>
    <s v="PRD-ELE-103"/>
    <s v="Wireless Mouse"/>
    <n v="15"/>
    <n v="2500"/>
    <n v="1668"/>
    <s v="Credit Card"/>
    <s v="Pending"/>
    <n v="37500"/>
    <n v="25020"/>
    <n v="12480"/>
    <n v="0.33279999999999998"/>
    <x v="2"/>
    <x v="1"/>
    <x v="8"/>
    <x v="14"/>
  </r>
  <r>
    <s v="ORD-10411"/>
    <x v="175"/>
    <x v="1"/>
    <x v="1"/>
    <s v="PRD-ACC-301"/>
    <s v="USB-C Docking Station"/>
    <n v="13"/>
    <n v="8500"/>
    <n v="5389"/>
    <s v="Cash on Delivery"/>
    <s v="Pending"/>
    <n v="110500"/>
    <n v="70057"/>
    <n v="40443"/>
    <n v="0.36599999999999999"/>
    <x v="0"/>
    <x v="0"/>
    <x v="11"/>
    <x v="18"/>
  </r>
  <r>
    <s v="ORD-10412"/>
    <x v="294"/>
    <x v="4"/>
    <x v="0"/>
    <s v="PRD-ELE-104"/>
    <s v="Core i7 Laptop"/>
    <n v="1"/>
    <n v="75000"/>
    <n v="53973"/>
    <s v="Cash on Delivery"/>
    <s v="Pending"/>
    <n v="75000"/>
    <n v="53973"/>
    <n v="21027"/>
    <n v="0.28036"/>
    <x v="2"/>
    <x v="1"/>
    <x v="10"/>
    <x v="13"/>
  </r>
  <r>
    <s v="ORD-10413"/>
    <x v="251"/>
    <x v="2"/>
    <x v="0"/>
    <s v="PRD-ACC-301"/>
    <s v="USB-C Docking Station"/>
    <n v="10"/>
    <n v="8500"/>
    <n v="5759"/>
    <s v="UPI"/>
    <s v="Paid"/>
    <n v="85000"/>
    <n v="57590"/>
    <n v="27410"/>
    <n v="0.32247058823529412"/>
    <x v="0"/>
    <x v="0"/>
    <x v="8"/>
    <x v="9"/>
  </r>
  <r>
    <s v="ORD-10414"/>
    <x v="295"/>
    <x v="4"/>
    <x v="0"/>
    <s v="PRD-FUR-202"/>
    <s v="Standing Executive Desk"/>
    <n v="12"/>
    <n v="35000"/>
    <n v="26842"/>
    <s v="Credit Card"/>
    <s v="Paid"/>
    <n v="420000"/>
    <n v="322104"/>
    <n v="97896"/>
    <n v="0.23308571428571428"/>
    <x v="1"/>
    <x v="0"/>
    <x v="0"/>
    <x v="0"/>
  </r>
  <r>
    <s v="ORD-10415"/>
    <x v="135"/>
    <x v="4"/>
    <x v="1"/>
    <s v="PRD-FUR-202"/>
    <s v="Standing Executive Desk"/>
    <n v="5"/>
    <n v="35000"/>
    <n v="24637"/>
    <s v="Cash on Delivery"/>
    <s v="Pending"/>
    <n v="175000"/>
    <n v="123185"/>
    <n v="51815"/>
    <n v="0.29608571428571429"/>
    <x v="1"/>
    <x v="1"/>
    <x v="7"/>
    <x v="8"/>
  </r>
  <r>
    <s v="ORD-10416"/>
    <x v="211"/>
    <x v="6"/>
    <x v="2"/>
    <s v="PRD-ELE-101"/>
    <s v="Monitor 27inch"/>
    <n v="19"/>
    <n v="55000"/>
    <n v="35132"/>
    <s v="Credit Card"/>
    <s v="Failed"/>
    <n v="1045000"/>
    <n v="667508"/>
    <n v="377492"/>
    <n v="0.36123636363636363"/>
    <x v="2"/>
    <x v="1"/>
    <x v="9"/>
    <x v="11"/>
  </r>
  <r>
    <s v="ORD-10417"/>
    <x v="296"/>
    <x v="0"/>
    <x v="4"/>
    <s v="PRD-FUR-201"/>
    <s v="Ergonomic Desk Chair"/>
    <n v="15"/>
    <n v="14000"/>
    <n v="8829"/>
    <s v="UPI"/>
    <s v="Paid"/>
    <n v="210000"/>
    <n v="132435"/>
    <n v="77565"/>
    <n v="0.36935714285714288"/>
    <x v="1"/>
    <x v="1"/>
    <x v="9"/>
    <x v="11"/>
  </r>
  <r>
    <s v="ORD-10418"/>
    <x v="297"/>
    <x v="2"/>
    <x v="0"/>
    <s v="PRD-ELE-105"/>
    <s v="Android Tablet 10inch"/>
    <n v="10"/>
    <n v="28000"/>
    <n v="17843"/>
    <s v="Cash on Delivery"/>
    <s v="Pending"/>
    <n v="280000"/>
    <n v="178430"/>
    <n v="101570"/>
    <n v="0.36275000000000002"/>
    <x v="2"/>
    <x v="1"/>
    <x v="3"/>
    <x v="3"/>
  </r>
  <r>
    <s v="ORD-10419"/>
    <x v="67"/>
    <x v="8"/>
    <x v="0"/>
    <s v="PRD-ELE-103"/>
    <s v="Wireless Mouse"/>
    <n v="8"/>
    <n v="2500"/>
    <n v="1917"/>
    <s v="Cash on Delivery"/>
    <s v="Pending"/>
    <n v="20000"/>
    <n v="15336"/>
    <n v="4664"/>
    <n v="0.23319999999999999"/>
    <x v="2"/>
    <x v="0"/>
    <x v="5"/>
    <x v="5"/>
  </r>
  <r>
    <s v="ORD-10421"/>
    <x v="213"/>
    <x v="0"/>
    <x v="4"/>
    <s v="PRD-FUR-201"/>
    <s v="Ergonomic Desk Chair"/>
    <n v="13"/>
    <n v="14000"/>
    <n v="9991"/>
    <s v="Cash on Delivery"/>
    <s v="Paid"/>
    <n v="182000"/>
    <n v="129883"/>
    <n v="52117"/>
    <n v="0.28635714285714287"/>
    <x v="1"/>
    <x v="1"/>
    <x v="2"/>
    <x v="10"/>
  </r>
  <r>
    <s v="ORD-10422"/>
    <x v="185"/>
    <x v="8"/>
    <x v="4"/>
    <s v="PRD-FUR-201"/>
    <s v="Ergonomic Desk Chair"/>
    <n v="17"/>
    <n v="14000"/>
    <n v="10063"/>
    <s v="UPI"/>
    <s v="Paid"/>
    <n v="238000"/>
    <n v="171071"/>
    <n v="66929"/>
    <n v="0.28121428571428569"/>
    <x v="1"/>
    <x v="0"/>
    <x v="6"/>
    <x v="15"/>
  </r>
  <r>
    <s v="ORD-10423"/>
    <x v="247"/>
    <x v="3"/>
    <x v="2"/>
    <s v="PRD-FUR-202"/>
    <s v="Standing Executive Desk"/>
    <n v="16"/>
    <n v="35000"/>
    <n v="21711"/>
    <s v="Credit Card"/>
    <s v="Paid"/>
    <n v="560000"/>
    <n v="347376"/>
    <n v="212624"/>
    <n v="0.37968571428571429"/>
    <x v="1"/>
    <x v="1"/>
    <x v="1"/>
    <x v="1"/>
  </r>
  <r>
    <s v="ORD-10424"/>
    <x v="298"/>
    <x v="7"/>
    <x v="0"/>
    <s v="PRD-ELE-102"/>
    <s v="Mechanical Keyboard"/>
    <n v="9"/>
    <n v="4500"/>
    <n v="3145"/>
    <s v="Cash on Delivery"/>
    <s v="Paid"/>
    <n v="40500"/>
    <n v="28305"/>
    <n v="12195"/>
    <n v="0.30111111111111111"/>
    <x v="2"/>
    <x v="0"/>
    <x v="5"/>
    <x v="5"/>
  </r>
  <r>
    <s v="ORD-10425"/>
    <x v="299"/>
    <x v="5"/>
    <x v="3"/>
    <s v="PRD-ACC-301"/>
    <s v="USB-C Docking Station"/>
    <n v="1"/>
    <n v="8500"/>
    <n v="6165"/>
    <s v="Credit Card"/>
    <s v="Paid"/>
    <n v="8500"/>
    <n v="6165"/>
    <n v="2335"/>
    <n v="0.27470588235294119"/>
    <x v="0"/>
    <x v="0"/>
    <x v="2"/>
    <x v="2"/>
  </r>
  <r>
    <s v="ORD-10426"/>
    <x v="300"/>
    <x v="2"/>
    <x v="2"/>
    <s v="PRD-FUR-202"/>
    <s v="Standing Executive Desk"/>
    <n v="12"/>
    <n v="35000"/>
    <n v="24692"/>
    <s v="UPI"/>
    <s v="Paid"/>
    <n v="420000"/>
    <n v="296304"/>
    <n v="123696"/>
    <n v="0.29451428571428573"/>
    <x v="1"/>
    <x v="1"/>
    <x v="6"/>
    <x v="6"/>
  </r>
  <r>
    <s v="ORD-10427"/>
    <x v="152"/>
    <x v="7"/>
    <x v="4"/>
    <s v="PRD-ELE-101"/>
    <s v="Monitor 27inch"/>
    <n v="11"/>
    <n v="55000"/>
    <n v="34585"/>
    <s v="Credit Card"/>
    <s v="Pending"/>
    <n v="605000"/>
    <n v="380435"/>
    <n v="224565"/>
    <n v="0.37118181818181817"/>
    <x v="2"/>
    <x v="1"/>
    <x v="3"/>
    <x v="3"/>
  </r>
  <r>
    <s v="ORD-10428"/>
    <x v="41"/>
    <x v="7"/>
    <x v="3"/>
    <s v="PRD-FUR-202"/>
    <s v="Standing Executive Desk"/>
    <n v="6"/>
    <n v="35000"/>
    <n v="27684"/>
    <s v="Net Banking"/>
    <s v="Paid"/>
    <n v="210000"/>
    <n v="166104"/>
    <n v="43896"/>
    <n v="0.20902857142857142"/>
    <x v="1"/>
    <x v="0"/>
    <x v="8"/>
    <x v="9"/>
  </r>
  <r>
    <s v="ORD-10429"/>
    <x v="86"/>
    <x v="2"/>
    <x v="3"/>
    <s v="PRD-ACC-302"/>
    <s v="Noise Cancelling Headphones"/>
    <n v="6"/>
    <n v="12500"/>
    <n v="9952"/>
    <s v="Net Banking"/>
    <s v="Failed"/>
    <n v="75000"/>
    <n v="59712"/>
    <n v="15288"/>
    <n v="0.20383999999999999"/>
    <x v="0"/>
    <x v="1"/>
    <x v="11"/>
    <x v="19"/>
  </r>
  <r>
    <s v="ORD-10430"/>
    <x v="301"/>
    <x v="3"/>
    <x v="0"/>
    <s v="PRD-ACC-302"/>
    <s v="Noise Cancelling Headphones"/>
    <n v="14"/>
    <n v="12500"/>
    <n v="8244"/>
    <s v="UPI"/>
    <s v="Pending"/>
    <n v="175000"/>
    <n v="115416"/>
    <n v="59584"/>
    <n v="0.34048"/>
    <x v="0"/>
    <x v="1"/>
    <x v="9"/>
    <x v="11"/>
  </r>
  <r>
    <s v="ORD-10431"/>
    <x v="18"/>
    <x v="8"/>
    <x v="1"/>
    <s v="PRD-FUR-201"/>
    <s v="Ergonomic Desk Chair"/>
    <n v="10"/>
    <n v="14000"/>
    <n v="10167"/>
    <s v="Cash on Delivery"/>
    <s v="Failed"/>
    <n v="140000"/>
    <n v="101670"/>
    <n v="38330"/>
    <n v="0.2737857142857143"/>
    <x v="1"/>
    <x v="1"/>
    <x v="5"/>
    <x v="7"/>
  </r>
  <r>
    <s v="ORD-10432"/>
    <x v="302"/>
    <x v="5"/>
    <x v="4"/>
    <s v="PRD-ELE-102"/>
    <s v="Mechanical Keyboard"/>
    <n v="1"/>
    <n v="4500"/>
    <n v="2791"/>
    <s v="Cash on Delivery"/>
    <s v="Failed"/>
    <n v="4500"/>
    <n v="2791"/>
    <n v="1709"/>
    <n v="0.37977777777777777"/>
    <x v="2"/>
    <x v="1"/>
    <x v="7"/>
    <x v="8"/>
  </r>
  <r>
    <s v="ORD-10433"/>
    <x v="88"/>
    <x v="0"/>
    <x v="0"/>
    <s v="PRD-ELE-105"/>
    <s v="Android Tablet 10inch"/>
    <n v="19"/>
    <n v="28000"/>
    <n v="18789"/>
    <s v="Credit Card"/>
    <s v="Failed"/>
    <n v="532000"/>
    <n v="356991"/>
    <n v="175009"/>
    <n v="0.32896428571428571"/>
    <x v="2"/>
    <x v="1"/>
    <x v="1"/>
    <x v="1"/>
  </r>
  <r>
    <s v="ORD-10434"/>
    <x v="303"/>
    <x v="0"/>
    <x v="4"/>
    <s v="PRD-ACC-302"/>
    <s v="Noise Cancelling Headphones"/>
    <n v="16"/>
    <n v="12500"/>
    <n v="9147"/>
    <s v="UPI"/>
    <s v="Paid"/>
    <n v="200000"/>
    <n v="146352"/>
    <n v="53648"/>
    <n v="0.26823999999999998"/>
    <x v="0"/>
    <x v="1"/>
    <x v="0"/>
    <x v="17"/>
  </r>
  <r>
    <s v="ORD-10435"/>
    <x v="131"/>
    <x v="7"/>
    <x v="1"/>
    <s v="PRD-FUR-202"/>
    <s v="Standing Executive Desk"/>
    <n v="3"/>
    <n v="35000"/>
    <n v="21106"/>
    <s v="UPI"/>
    <s v="Paid"/>
    <n v="105000"/>
    <n v="63318"/>
    <n v="41682"/>
    <n v="0.39697142857142859"/>
    <x v="1"/>
    <x v="1"/>
    <x v="1"/>
    <x v="1"/>
  </r>
  <r>
    <s v="ORD-10436"/>
    <x v="304"/>
    <x v="6"/>
    <x v="1"/>
    <s v="PRD-ACC-302"/>
    <s v="Noise Cancelling Headphones"/>
    <n v="9"/>
    <n v="12500"/>
    <n v="7998"/>
    <s v="Cash on Delivery"/>
    <s v="Paid"/>
    <n v="112500"/>
    <n v="71982"/>
    <n v="40518"/>
    <n v="0.36015999999999998"/>
    <x v="0"/>
    <x v="1"/>
    <x v="6"/>
    <x v="6"/>
  </r>
  <r>
    <s v="ORD-10437"/>
    <x v="92"/>
    <x v="7"/>
    <x v="2"/>
    <s v="PRD-ACC-302"/>
    <s v="Noise Cancelling Headphones"/>
    <n v="14"/>
    <n v="12500"/>
    <n v="8684"/>
    <s v="Net Banking"/>
    <s v="Paid"/>
    <n v="175000"/>
    <n v="121576"/>
    <n v="53424"/>
    <n v="0.30528"/>
    <x v="0"/>
    <x v="1"/>
    <x v="5"/>
    <x v="7"/>
  </r>
  <r>
    <s v="ORD-10438"/>
    <x v="305"/>
    <x v="4"/>
    <x v="1"/>
    <s v="PRD-ELE-105"/>
    <s v="Android Tablet 10inch"/>
    <n v="11"/>
    <n v="28000"/>
    <n v="17996"/>
    <s v="Cash on Delivery"/>
    <s v="Paid"/>
    <n v="308000"/>
    <n v="197956"/>
    <n v="110044"/>
    <n v="0.35728571428571426"/>
    <x v="2"/>
    <x v="1"/>
    <x v="5"/>
    <x v="7"/>
  </r>
  <r>
    <s v="ORD-10439"/>
    <x v="186"/>
    <x v="1"/>
    <x v="2"/>
    <s v="PRD-ELE-105"/>
    <s v="Android Tablet 10inch"/>
    <n v="13"/>
    <n v="28000"/>
    <n v="19386"/>
    <s v="Net Banking"/>
    <s v="Paid"/>
    <n v="364000"/>
    <n v="252018"/>
    <n v="111982"/>
    <n v="0.30764285714285716"/>
    <x v="2"/>
    <x v="1"/>
    <x v="4"/>
    <x v="4"/>
  </r>
  <r>
    <s v="ORD-10440"/>
    <x v="306"/>
    <x v="1"/>
    <x v="0"/>
    <s v="PRD-ELE-104"/>
    <s v="Core i7 Laptop"/>
    <n v="12"/>
    <n v="75000"/>
    <n v="51192"/>
    <s v="Net Banking"/>
    <s v="Paid"/>
    <n v="900000"/>
    <n v="614304"/>
    <n v="285696"/>
    <n v="0.31744"/>
    <x v="2"/>
    <x v="0"/>
    <x v="11"/>
    <x v="18"/>
  </r>
  <r>
    <s v="ORD-10441"/>
    <x v="307"/>
    <x v="1"/>
    <x v="2"/>
    <s v="PRD-ACC-301"/>
    <s v="USB-C Docking Station"/>
    <n v="16"/>
    <n v="8500"/>
    <n v="5716"/>
    <s v="UPI"/>
    <s v="Paid"/>
    <n v="136000"/>
    <n v="91456"/>
    <n v="44544"/>
    <n v="0.3275294117647059"/>
    <x v="0"/>
    <x v="1"/>
    <x v="8"/>
    <x v="14"/>
  </r>
  <r>
    <s v="ORD-10442"/>
    <x v="308"/>
    <x v="0"/>
    <x v="1"/>
    <s v="PRD-ELE-104"/>
    <s v="Core i7 Laptop"/>
    <n v="1"/>
    <n v="75000"/>
    <n v="48887"/>
    <s v="Cash on Delivery"/>
    <s v="Pending"/>
    <n v="75000"/>
    <n v="48887"/>
    <n v="26113"/>
    <n v="0.34817333333333333"/>
    <x v="2"/>
    <x v="0"/>
    <x v="3"/>
    <x v="16"/>
  </r>
  <r>
    <s v="ORD-10443"/>
    <x v="217"/>
    <x v="8"/>
    <x v="0"/>
    <s v="PRD-FUR-201"/>
    <s v="Ergonomic Desk Chair"/>
    <n v="1"/>
    <n v="14000"/>
    <n v="10338"/>
    <s v="Cash on Delivery"/>
    <s v="Paid"/>
    <n v="14000"/>
    <n v="10338"/>
    <n v="3662"/>
    <n v="0.26157142857142857"/>
    <x v="1"/>
    <x v="1"/>
    <x v="10"/>
    <x v="13"/>
  </r>
  <r>
    <s v="ORD-10444"/>
    <x v="309"/>
    <x v="4"/>
    <x v="1"/>
    <s v="PRD-FUR-202"/>
    <s v="Standing Executive Desk"/>
    <n v="7"/>
    <n v="35000"/>
    <n v="26625"/>
    <s v="Net Banking"/>
    <s v="Pending"/>
    <n v="245000"/>
    <n v="186375"/>
    <n v="58625"/>
    <n v="0.2392857142857143"/>
    <x v="1"/>
    <x v="1"/>
    <x v="4"/>
    <x v="4"/>
  </r>
  <r>
    <s v="ORD-10445"/>
    <x v="220"/>
    <x v="4"/>
    <x v="4"/>
    <s v="PRD-ACC-302"/>
    <s v="Noise Cancelling Headphones"/>
    <n v="12"/>
    <n v="12500"/>
    <n v="8754"/>
    <s v="Cash on Delivery"/>
    <s v="Pending"/>
    <n v="150000"/>
    <n v="105048"/>
    <n v="44952"/>
    <n v="0.29968"/>
    <x v="0"/>
    <x v="1"/>
    <x v="2"/>
    <x v="10"/>
  </r>
  <r>
    <s v="ORD-10446"/>
    <x v="176"/>
    <x v="2"/>
    <x v="4"/>
    <s v="PRD-ACC-302"/>
    <s v="Noise Cancelling Headphones"/>
    <n v="17"/>
    <n v="12500"/>
    <n v="8252"/>
    <s v="Credit Card"/>
    <s v="Pending"/>
    <n v="212500"/>
    <n v="140284"/>
    <n v="72216"/>
    <n v="0.33983999999999998"/>
    <x v="0"/>
    <x v="0"/>
    <x v="3"/>
    <x v="16"/>
  </r>
  <r>
    <s v="ORD-10447"/>
    <x v="310"/>
    <x v="7"/>
    <x v="4"/>
    <s v="PRD-FUR-201"/>
    <s v="Ergonomic Desk Chair"/>
    <n v="15"/>
    <n v="14000"/>
    <n v="8817"/>
    <s v="UPI"/>
    <s v="Paid"/>
    <n v="210000"/>
    <n v="132255"/>
    <n v="77745"/>
    <n v="0.37021428571428572"/>
    <x v="1"/>
    <x v="0"/>
    <x v="8"/>
    <x v="9"/>
  </r>
  <r>
    <s v="ORD-10448"/>
    <x v="311"/>
    <x v="8"/>
    <x v="4"/>
    <s v="PRD-ELE-104"/>
    <s v="Core i7 Laptop"/>
    <n v="7"/>
    <n v="75000"/>
    <n v="49830"/>
    <s v="Credit Card"/>
    <s v="Pending"/>
    <n v="525000"/>
    <n v="348810"/>
    <n v="176190"/>
    <n v="0.33560000000000001"/>
    <x v="2"/>
    <x v="0"/>
    <x v="2"/>
    <x v="2"/>
  </r>
  <r>
    <s v="ORD-10449"/>
    <x v="307"/>
    <x v="7"/>
    <x v="1"/>
    <s v="PRD-ELE-103"/>
    <s v="Wireless Mouse"/>
    <n v="6"/>
    <n v="2500"/>
    <n v="1625"/>
    <s v="Net Banking"/>
    <s v="Paid"/>
    <n v="15000"/>
    <n v="9750"/>
    <n v="5250"/>
    <n v="0.35"/>
    <x v="2"/>
    <x v="1"/>
    <x v="8"/>
    <x v="14"/>
  </r>
  <r>
    <s v="ORD-10450"/>
    <x v="240"/>
    <x v="4"/>
    <x v="4"/>
    <s v="PRD-ELE-103"/>
    <s v="Wireless Mouse"/>
    <n v="16"/>
    <n v="2500"/>
    <n v="1530"/>
    <s v="Net Banking"/>
    <s v="Unknown"/>
    <n v="40000"/>
    <n v="24480"/>
    <n v="15520"/>
    <n v="0.38800000000000001"/>
    <x v="2"/>
    <x v="0"/>
    <x v="6"/>
    <x v="15"/>
  </r>
  <r>
    <s v="ORD-10451"/>
    <x v="312"/>
    <x v="6"/>
    <x v="2"/>
    <s v="PRD-ACC-302"/>
    <s v="Noise Cancelling Headphones"/>
    <n v="15"/>
    <n v="12500"/>
    <n v="7515"/>
    <s v="Cash on Delivery"/>
    <s v="Paid"/>
    <n v="187500"/>
    <n v="112725"/>
    <n v="74775"/>
    <n v="0.39879999999999999"/>
    <x v="0"/>
    <x v="1"/>
    <x v="5"/>
    <x v="7"/>
  </r>
  <r>
    <s v="ORD-10452"/>
    <x v="253"/>
    <x v="2"/>
    <x v="3"/>
    <s v="PRD-FUR-201"/>
    <s v="Ergonomic Desk Chair"/>
    <n v="19"/>
    <n v="14000"/>
    <n v="10699"/>
    <s v="Cash on Delivery"/>
    <s v="Paid"/>
    <n v="266000"/>
    <n v="203281"/>
    <n v="62719"/>
    <n v="0.23578571428571429"/>
    <x v="1"/>
    <x v="0"/>
    <x v="8"/>
    <x v="9"/>
  </r>
  <r>
    <s v="ORD-10453"/>
    <x v="94"/>
    <x v="6"/>
    <x v="2"/>
    <s v="PRD-ELE-101"/>
    <s v="Monitor 27inch"/>
    <n v="10"/>
    <n v="55000"/>
    <n v="34737"/>
    <s v="Cash on Delivery"/>
    <s v="Paid"/>
    <n v="550000"/>
    <n v="347370"/>
    <n v="202630"/>
    <n v="0.36841818181818181"/>
    <x v="2"/>
    <x v="0"/>
    <x v="6"/>
    <x v="15"/>
  </r>
  <r>
    <s v="ORD-10454"/>
    <x v="313"/>
    <x v="2"/>
    <x v="2"/>
    <s v="PRD-ELE-105"/>
    <s v="Android Tablet 10inch"/>
    <n v="6"/>
    <n v="28000"/>
    <n v="21947"/>
    <s v="UPI"/>
    <s v="Pending"/>
    <n v="168000"/>
    <n v="131682"/>
    <n v="36318"/>
    <n v="0.21617857142857144"/>
    <x v="2"/>
    <x v="0"/>
    <x v="3"/>
    <x v="16"/>
  </r>
  <r>
    <s v="ORD-10456"/>
    <x v="144"/>
    <x v="3"/>
    <x v="2"/>
    <s v="PRD-ELE-101"/>
    <s v="Monitor 27inch"/>
    <n v="3"/>
    <n v="55000"/>
    <n v="38533"/>
    <s v="Net Banking"/>
    <s v="Pending"/>
    <n v="165000"/>
    <n v="115599"/>
    <n v="49401"/>
    <n v="0.2994"/>
    <x v="2"/>
    <x v="1"/>
    <x v="11"/>
    <x v="19"/>
  </r>
  <r>
    <s v="ORD-10457"/>
    <x v="73"/>
    <x v="3"/>
    <x v="4"/>
    <s v="PRD-ACC-301"/>
    <s v="USB-C Docking Station"/>
    <n v="16"/>
    <n v="8500"/>
    <n v="6029"/>
    <s v="Net Banking"/>
    <s v="Pending"/>
    <n v="136000"/>
    <n v="96464"/>
    <n v="39536"/>
    <n v="0.2907058823529412"/>
    <x v="0"/>
    <x v="0"/>
    <x v="3"/>
    <x v="16"/>
  </r>
  <r>
    <s v="ORD-10458"/>
    <x v="314"/>
    <x v="5"/>
    <x v="2"/>
    <s v="PRD-ELE-103"/>
    <s v="Wireless Mouse"/>
    <n v="19"/>
    <n v="2500"/>
    <n v="1820"/>
    <s v="Cash on Delivery"/>
    <s v="Paid"/>
    <n v="47500"/>
    <n v="34580"/>
    <n v="12920"/>
    <n v="0.27200000000000002"/>
    <x v="2"/>
    <x v="1"/>
    <x v="9"/>
    <x v="11"/>
  </r>
  <r>
    <s v="ORD-10459"/>
    <x v="117"/>
    <x v="1"/>
    <x v="0"/>
    <s v="PRD-ELE-105"/>
    <s v="Android Tablet 10inch"/>
    <n v="15"/>
    <n v="28000"/>
    <n v="18299"/>
    <s v="Net Banking"/>
    <s v="Paid"/>
    <n v="420000"/>
    <n v="274485"/>
    <n v="145515"/>
    <n v="0.34646428571428572"/>
    <x v="2"/>
    <x v="1"/>
    <x v="4"/>
    <x v="4"/>
  </r>
  <r>
    <s v="ORD-10460"/>
    <x v="315"/>
    <x v="3"/>
    <x v="1"/>
    <s v="PRD-ACC-302"/>
    <s v="Noise Cancelling Headphones"/>
    <n v="9"/>
    <n v="12500"/>
    <n v="8009"/>
    <s v="Net Banking"/>
    <s v="Pending"/>
    <n v="112500"/>
    <n v="72081"/>
    <n v="40419"/>
    <n v="0.35927999999999999"/>
    <x v="0"/>
    <x v="0"/>
    <x v="0"/>
    <x v="0"/>
  </r>
  <r>
    <s v="ORD-10461"/>
    <x v="316"/>
    <x v="2"/>
    <x v="4"/>
    <s v="PRD-ELE-105"/>
    <s v="Android Tablet 10inch"/>
    <n v="16"/>
    <n v="28000"/>
    <n v="17786"/>
    <s v="Cash on Delivery"/>
    <s v="Pending"/>
    <n v="448000"/>
    <n v="284576"/>
    <n v="163424"/>
    <n v="0.36478571428571427"/>
    <x v="2"/>
    <x v="0"/>
    <x v="3"/>
    <x v="16"/>
  </r>
  <r>
    <s v="ORD-10462"/>
    <x v="317"/>
    <x v="4"/>
    <x v="2"/>
    <s v="PRD-FUR-202"/>
    <s v="Standing Executive Desk"/>
    <n v="14"/>
    <n v="35000"/>
    <n v="25232"/>
    <s v="Net Banking"/>
    <s v="Pending"/>
    <n v="490000"/>
    <n v="353248"/>
    <n v="136752"/>
    <n v="0.27908571428571427"/>
    <x v="1"/>
    <x v="0"/>
    <x v="2"/>
    <x v="2"/>
  </r>
  <r>
    <s v="ORD-10463"/>
    <x v="52"/>
    <x v="8"/>
    <x v="1"/>
    <s v="PRD-ELE-104"/>
    <s v="Core i7 Laptop"/>
    <n v="10"/>
    <n v="75000"/>
    <n v="47531"/>
    <s v="Cash on Delivery"/>
    <s v="Pending"/>
    <n v="750000"/>
    <n v="475310"/>
    <n v="274690"/>
    <n v="0.36625333333333332"/>
    <x v="2"/>
    <x v="1"/>
    <x v="2"/>
    <x v="10"/>
  </r>
  <r>
    <s v="ORD-10464"/>
    <x v="94"/>
    <x v="4"/>
    <x v="1"/>
    <s v="PRD-ACC-301"/>
    <s v="USB-C Docking Station"/>
    <n v="1"/>
    <n v="8500"/>
    <n v="6497"/>
    <s v="Cash on Delivery"/>
    <s v="Pending"/>
    <n v="8500"/>
    <n v="6497"/>
    <n v="2003"/>
    <n v="0.2356470588235294"/>
    <x v="0"/>
    <x v="0"/>
    <x v="6"/>
    <x v="15"/>
  </r>
  <r>
    <s v="ORD-10465"/>
    <x v="156"/>
    <x v="0"/>
    <x v="2"/>
    <s v="PRD-ELE-104"/>
    <s v="Core i7 Laptop"/>
    <n v="11"/>
    <n v="75000"/>
    <n v="52969"/>
    <s v="Cash on Delivery"/>
    <s v="Pending"/>
    <n v="825000"/>
    <n v="582659"/>
    <n v="242341"/>
    <n v="0.29374666666666666"/>
    <x v="2"/>
    <x v="0"/>
    <x v="2"/>
    <x v="2"/>
  </r>
  <r>
    <s v="ORD-10466"/>
    <x v="318"/>
    <x v="5"/>
    <x v="4"/>
    <s v="PRD-ACC-301"/>
    <s v="USB-C Docking Station"/>
    <n v="6"/>
    <n v="8500"/>
    <n v="6458"/>
    <s v="Net Banking"/>
    <s v="Failed"/>
    <n v="51000"/>
    <n v="38748"/>
    <n v="12252"/>
    <n v="0.24023529411764705"/>
    <x v="0"/>
    <x v="0"/>
    <x v="0"/>
    <x v="0"/>
  </r>
  <r>
    <s v="ORD-10467"/>
    <x v="118"/>
    <x v="4"/>
    <x v="0"/>
    <s v="PRD-FUR-201"/>
    <s v="Ergonomic Desk Chair"/>
    <n v="9"/>
    <n v="14000"/>
    <n v="11033"/>
    <s v="Cash on Delivery"/>
    <s v="Pending"/>
    <n v="126000"/>
    <n v="99297"/>
    <n v="26703"/>
    <n v="0.21192857142857144"/>
    <x v="1"/>
    <x v="1"/>
    <x v="4"/>
    <x v="4"/>
  </r>
  <r>
    <s v="ORD-10468"/>
    <x v="319"/>
    <x v="4"/>
    <x v="2"/>
    <s v="PRD-FUR-201"/>
    <s v="Ergonomic Desk Chair"/>
    <n v="8"/>
    <n v="14000"/>
    <n v="10723"/>
    <s v="UPI"/>
    <s v="Pending"/>
    <n v="112000"/>
    <n v="85784"/>
    <n v="26216"/>
    <n v="0.23407142857142857"/>
    <x v="1"/>
    <x v="1"/>
    <x v="11"/>
    <x v="19"/>
  </r>
  <r>
    <s v="ORD-10469"/>
    <x v="320"/>
    <x v="6"/>
    <x v="4"/>
    <s v="PRD-ELE-105"/>
    <s v="Android Tablet 10inch"/>
    <n v="12"/>
    <n v="28000"/>
    <n v="16881"/>
    <s v="Cash on Delivery"/>
    <s v="Paid"/>
    <n v="336000"/>
    <n v="202572"/>
    <n v="133428"/>
    <n v="0.39710714285714288"/>
    <x v="2"/>
    <x v="1"/>
    <x v="4"/>
    <x v="4"/>
  </r>
  <r>
    <s v="ORD-10470"/>
    <x v="68"/>
    <x v="0"/>
    <x v="4"/>
    <s v="PRD-ELE-103"/>
    <s v="Wireless Mouse"/>
    <n v="12"/>
    <n v="2500"/>
    <n v="1548"/>
    <s v="UPI"/>
    <s v="Failed"/>
    <n v="30000"/>
    <n v="18576"/>
    <n v="11424"/>
    <n v="0.38080000000000003"/>
    <x v="2"/>
    <x v="1"/>
    <x v="8"/>
    <x v="14"/>
  </r>
  <r>
    <s v="ORD-10471"/>
    <x v="304"/>
    <x v="3"/>
    <x v="4"/>
    <s v="PRD-ELE-102"/>
    <s v="Mechanical Keyboard"/>
    <n v="18"/>
    <n v="4500"/>
    <n v="2948"/>
    <s v="Net Banking"/>
    <s v="Paid"/>
    <n v="81000"/>
    <n v="53064"/>
    <n v="27936"/>
    <n v="0.34488888888888891"/>
    <x v="2"/>
    <x v="1"/>
    <x v="6"/>
    <x v="6"/>
  </r>
  <r>
    <s v="ORD-10472"/>
    <x v="321"/>
    <x v="5"/>
    <x v="0"/>
    <s v="PRD-ELE-105"/>
    <s v="Android Tablet 10inch"/>
    <n v="8"/>
    <n v="28000"/>
    <n v="19082"/>
    <s v="Cash on Delivery"/>
    <s v="Paid"/>
    <n v="224000"/>
    <n v="152656"/>
    <n v="71344"/>
    <n v="0.31850000000000001"/>
    <x v="2"/>
    <x v="1"/>
    <x v="6"/>
    <x v="6"/>
  </r>
  <r>
    <s v="ORD-10473"/>
    <x v="322"/>
    <x v="5"/>
    <x v="0"/>
    <s v="PRD-ELE-102"/>
    <s v="Mechanical Keyboard"/>
    <n v="6"/>
    <n v="4500"/>
    <n v="3570"/>
    <s v="Net Banking"/>
    <s v="Failed"/>
    <n v="27000"/>
    <n v="21420"/>
    <n v="5580"/>
    <n v="0.20666666666666667"/>
    <x v="2"/>
    <x v="1"/>
    <x v="6"/>
    <x v="6"/>
  </r>
  <r>
    <s v="ORD-10474"/>
    <x v="323"/>
    <x v="7"/>
    <x v="4"/>
    <s v="PRD-ELE-104"/>
    <s v="Core i7 Laptop"/>
    <n v="11"/>
    <n v="75000"/>
    <n v="50693"/>
    <s v="Net Banking"/>
    <s v="Pending"/>
    <n v="825000"/>
    <n v="557623"/>
    <n v="267377"/>
    <n v="0.32409333333333334"/>
    <x v="2"/>
    <x v="1"/>
    <x v="7"/>
    <x v="8"/>
  </r>
  <r>
    <s v="ORD-10475"/>
    <x v="287"/>
    <x v="6"/>
    <x v="2"/>
    <s v="PRD-ACC-302"/>
    <s v="Noise Cancelling Headphones"/>
    <n v="14"/>
    <n v="12500"/>
    <n v="7712"/>
    <s v="Net Banking"/>
    <s v="Pending"/>
    <n v="175000"/>
    <n v="107968"/>
    <n v="67032"/>
    <n v="0.38303999999999999"/>
    <x v="0"/>
    <x v="1"/>
    <x v="7"/>
    <x v="8"/>
  </r>
  <r>
    <s v="ORD-10476"/>
    <x v="324"/>
    <x v="6"/>
    <x v="4"/>
    <s v="PRD-ELE-103"/>
    <s v="Wireless Mouse"/>
    <n v="6"/>
    <n v="2500"/>
    <n v="1607"/>
    <s v="Credit Card"/>
    <s v="Failed"/>
    <n v="15000"/>
    <n v="9642"/>
    <n v="5358"/>
    <n v="0.35720000000000002"/>
    <x v="2"/>
    <x v="0"/>
    <x v="0"/>
    <x v="0"/>
  </r>
  <r>
    <s v="ORD-10477"/>
    <x v="325"/>
    <x v="7"/>
    <x v="2"/>
    <s v="PRD-ELE-103"/>
    <s v="Wireless Mouse"/>
    <n v="14"/>
    <n v="2500"/>
    <n v="1726"/>
    <s v="Credit Card"/>
    <s v="Pending"/>
    <n v="35000"/>
    <n v="24164"/>
    <n v="10836"/>
    <n v="0.30959999999999999"/>
    <x v="2"/>
    <x v="0"/>
    <x v="8"/>
    <x v="9"/>
  </r>
  <r>
    <s v="ORD-10478"/>
    <x v="244"/>
    <x v="1"/>
    <x v="0"/>
    <s v="PRD-ACC-301"/>
    <s v="USB-C Docking Station"/>
    <n v="13"/>
    <n v="8500"/>
    <n v="6792"/>
    <s v="Net Banking"/>
    <s v="Pending"/>
    <n v="110500"/>
    <n v="88296"/>
    <n v="22204"/>
    <n v="0.20094117647058823"/>
    <x v="0"/>
    <x v="1"/>
    <x v="0"/>
    <x v="17"/>
  </r>
  <r>
    <s v="ORD-10479"/>
    <x v="53"/>
    <x v="8"/>
    <x v="4"/>
    <s v="PRD-ELE-102"/>
    <s v="Mechanical Keyboard"/>
    <n v="2"/>
    <n v="4500"/>
    <n v="2831"/>
    <s v="Cash on Delivery"/>
    <s v="Failed"/>
    <n v="9000"/>
    <n v="5662"/>
    <n v="3338"/>
    <n v="0.37088888888888888"/>
    <x v="2"/>
    <x v="0"/>
    <x v="3"/>
    <x v="16"/>
  </r>
  <r>
    <s v="ORD-10480"/>
    <x v="326"/>
    <x v="3"/>
    <x v="3"/>
    <s v="PRD-ACC-302"/>
    <s v="Noise Cancelling Headphones"/>
    <n v="11"/>
    <n v="12500"/>
    <n v="8871"/>
    <s v="Cash on Delivery"/>
    <s v="Pending"/>
    <n v="137500"/>
    <n v="97581"/>
    <n v="39919"/>
    <n v="0.29032000000000002"/>
    <x v="0"/>
    <x v="1"/>
    <x v="5"/>
    <x v="7"/>
  </r>
  <r>
    <s v="ORD-10481"/>
    <x v="327"/>
    <x v="0"/>
    <x v="2"/>
    <s v="PRD-ACC-301"/>
    <s v="USB-C Docking Station"/>
    <n v="2"/>
    <n v="8500"/>
    <n v="6550"/>
    <s v="Cash on Delivery"/>
    <s v="Paid"/>
    <n v="17000"/>
    <n v="13100"/>
    <n v="3900"/>
    <n v="0.22941176470588234"/>
    <x v="0"/>
    <x v="1"/>
    <x v="3"/>
    <x v="3"/>
  </r>
  <r>
    <s v="ORD-10482"/>
    <x v="328"/>
    <x v="2"/>
    <x v="0"/>
    <s v="PRD-ELE-101"/>
    <s v="Monitor 27inch"/>
    <n v="17"/>
    <n v="55000"/>
    <n v="41221"/>
    <s v="Credit Card"/>
    <s v="Pending"/>
    <n v="935000"/>
    <n v="700757"/>
    <n v="234243"/>
    <n v="0.25052727272727271"/>
    <x v="2"/>
    <x v="1"/>
    <x v="5"/>
    <x v="7"/>
  </r>
  <r>
    <s v="ORD-10483"/>
    <x v="172"/>
    <x v="4"/>
    <x v="4"/>
    <s v="PRD-FUR-202"/>
    <s v="Standing Executive Desk"/>
    <n v="16"/>
    <n v="35000"/>
    <n v="22881"/>
    <s v="Credit Card"/>
    <s v="Pending"/>
    <n v="560000"/>
    <n v="366096"/>
    <n v="193904"/>
    <n v="0.34625714285714287"/>
    <x v="1"/>
    <x v="0"/>
    <x v="5"/>
    <x v="5"/>
  </r>
  <r>
    <s v="ORD-10484"/>
    <x v="329"/>
    <x v="6"/>
    <x v="0"/>
    <s v="PRD-ELE-102"/>
    <s v="Mechanical Keyboard"/>
    <n v="16"/>
    <n v="4500"/>
    <n v="3034"/>
    <s v="UPI"/>
    <s v="Pending"/>
    <n v="72000"/>
    <n v="48544"/>
    <n v="23456"/>
    <n v="0.32577777777777778"/>
    <x v="2"/>
    <x v="1"/>
    <x v="11"/>
    <x v="19"/>
  </r>
  <r>
    <s v="ORD-10485"/>
    <x v="105"/>
    <x v="3"/>
    <x v="1"/>
    <s v="PRD-ELE-102"/>
    <s v="Mechanical Keyboard"/>
    <n v="4"/>
    <n v="4500"/>
    <n v="3148"/>
    <s v="Credit Card"/>
    <s v="Paid"/>
    <n v="18000"/>
    <n v="12592"/>
    <n v="5408"/>
    <n v="0.30044444444444446"/>
    <x v="2"/>
    <x v="1"/>
    <x v="4"/>
    <x v="4"/>
  </r>
  <r>
    <s v="ORD-10486"/>
    <x v="197"/>
    <x v="6"/>
    <x v="3"/>
    <s v="PRD-ELE-102"/>
    <s v="Mechanical Keyboard"/>
    <n v="16"/>
    <n v="4500"/>
    <n v="3528"/>
    <s v="Credit Card"/>
    <s v="Paid"/>
    <n v="72000"/>
    <n v="56448"/>
    <n v="15552"/>
    <n v="0.216"/>
    <x v="2"/>
    <x v="1"/>
    <x v="3"/>
    <x v="3"/>
  </r>
  <r>
    <s v="ORD-10487"/>
    <x v="330"/>
    <x v="4"/>
    <x v="4"/>
    <s v="PRD-ACC-302"/>
    <s v="Noise Cancelling Headphones"/>
    <n v="9"/>
    <n v="12500"/>
    <n v="9845"/>
    <s v="Cash on Delivery"/>
    <s v="Failed"/>
    <n v="112500"/>
    <n v="88605"/>
    <n v="23895"/>
    <n v="0.21240000000000001"/>
    <x v="0"/>
    <x v="0"/>
    <x v="3"/>
    <x v="16"/>
  </r>
  <r>
    <s v="ORD-10488"/>
    <x v="132"/>
    <x v="2"/>
    <x v="2"/>
    <s v="PRD-ACC-302"/>
    <s v="Noise Cancelling Headphones"/>
    <n v="13"/>
    <n v="12500"/>
    <n v="8467"/>
    <s v="Cash on Delivery"/>
    <s v="Paid"/>
    <n v="162500"/>
    <n v="110071"/>
    <n v="52429"/>
    <n v="0.32263999999999998"/>
    <x v="0"/>
    <x v="1"/>
    <x v="1"/>
    <x v="1"/>
  </r>
  <r>
    <s v="ORD-10489"/>
    <x v="331"/>
    <x v="8"/>
    <x v="1"/>
    <s v="PRD-ELE-105"/>
    <s v="Android Tablet 10inch"/>
    <n v="14"/>
    <n v="28000"/>
    <n v="19114"/>
    <s v="Cash on Delivery"/>
    <s v="Pending"/>
    <n v="392000"/>
    <n v="267596"/>
    <n v="124404"/>
    <n v="0.31735714285714284"/>
    <x v="2"/>
    <x v="0"/>
    <x v="11"/>
    <x v="18"/>
  </r>
  <r>
    <s v="ORD-10491"/>
    <x v="332"/>
    <x v="5"/>
    <x v="1"/>
    <s v="PRD-FUR-202"/>
    <s v="Standing Executive Desk"/>
    <n v="10"/>
    <n v="35000"/>
    <n v="24618"/>
    <s v="Cash on Delivery"/>
    <s v="Pending"/>
    <n v="350000"/>
    <n v="246180"/>
    <n v="103820"/>
    <n v="0.29662857142857141"/>
    <x v="1"/>
    <x v="1"/>
    <x v="6"/>
    <x v="6"/>
  </r>
  <r>
    <s v="ORD-10492"/>
    <x v="75"/>
    <x v="8"/>
    <x v="4"/>
    <s v="PRD-ELE-104"/>
    <s v="Core i7 Laptop"/>
    <n v="3"/>
    <n v="75000"/>
    <n v="46289"/>
    <s v="Cash on Delivery"/>
    <s v="Paid"/>
    <n v="225000"/>
    <n v="138867"/>
    <n v="86133"/>
    <n v="0.38281333333333334"/>
    <x v="2"/>
    <x v="0"/>
    <x v="6"/>
    <x v="15"/>
  </r>
  <r>
    <s v="ORD-10493"/>
    <x v="333"/>
    <x v="0"/>
    <x v="4"/>
    <s v="PRD-ELE-104"/>
    <s v="Core i7 Laptop"/>
    <n v="13"/>
    <n v="75000"/>
    <n v="45933"/>
    <s v="Cash on Delivery"/>
    <s v="Pending"/>
    <n v="975000"/>
    <n v="597129"/>
    <n v="377871"/>
    <n v="0.38756000000000002"/>
    <x v="2"/>
    <x v="1"/>
    <x v="11"/>
    <x v="19"/>
  </r>
  <r>
    <s v="ORD-10494"/>
    <x v="334"/>
    <x v="7"/>
    <x v="3"/>
    <s v="PRD-ELE-102"/>
    <s v="Mechanical Keyboard"/>
    <n v="10"/>
    <n v="4500"/>
    <n v="2947"/>
    <s v="Net Banking"/>
    <s v="Pending"/>
    <n v="45000"/>
    <n v="29470"/>
    <n v="15530"/>
    <n v="0.34511111111111109"/>
    <x v="2"/>
    <x v="0"/>
    <x v="11"/>
    <x v="18"/>
  </r>
  <r>
    <s v="ORD-10495"/>
    <x v="335"/>
    <x v="4"/>
    <x v="3"/>
    <s v="PRD-FUR-202"/>
    <s v="Standing Executive Desk"/>
    <n v="13"/>
    <n v="35000"/>
    <n v="24344"/>
    <s v="Credit Card"/>
    <s v="Unknown"/>
    <n v="455000"/>
    <n v="316472"/>
    <n v="138528"/>
    <n v="0.30445714285714287"/>
    <x v="1"/>
    <x v="0"/>
    <x v="2"/>
    <x v="2"/>
  </r>
  <r>
    <s v="ORD-10496"/>
    <x v="55"/>
    <x v="8"/>
    <x v="0"/>
    <s v="PRD-ELE-104"/>
    <s v="Core i7 Laptop"/>
    <n v="6"/>
    <n v="75000"/>
    <n v="55148"/>
    <s v="Cash on Delivery"/>
    <s v="Pending"/>
    <n v="450000"/>
    <n v="330888"/>
    <n v="119112"/>
    <n v="0.26469333333333334"/>
    <x v="2"/>
    <x v="1"/>
    <x v="6"/>
    <x v="6"/>
  </r>
  <r>
    <s v="ORD-10497"/>
    <x v="189"/>
    <x v="2"/>
    <x v="0"/>
    <s v="PRD-ELE-101"/>
    <s v="Monitor 27inch"/>
    <n v="18"/>
    <n v="55000"/>
    <n v="37146"/>
    <s v="UPI"/>
    <s v="Pending"/>
    <n v="990000"/>
    <n v="668628"/>
    <n v="321372"/>
    <n v="0.32461818181818181"/>
    <x v="2"/>
    <x v="0"/>
    <x v="9"/>
    <x v="12"/>
  </r>
  <r>
    <s v="ORD-10498"/>
    <x v="285"/>
    <x v="5"/>
    <x v="0"/>
    <s v="PRD-FUR-201"/>
    <s v="Ergonomic Desk Chair"/>
    <n v="10"/>
    <n v="14000"/>
    <n v="9113"/>
    <s v="Cash on Delivery"/>
    <s v="Pending"/>
    <n v="140000"/>
    <n v="91130"/>
    <n v="48870"/>
    <n v="0.34907142857142859"/>
    <x v="1"/>
    <x v="1"/>
    <x v="6"/>
    <x v="6"/>
  </r>
  <r>
    <s v="ORD-10499"/>
    <x v="336"/>
    <x v="8"/>
    <x v="3"/>
    <s v="PRD-FUR-201"/>
    <s v="Ergonomic Desk Chair"/>
    <n v="4"/>
    <n v="14000"/>
    <n v="9437"/>
    <s v="Cash on Delivery"/>
    <s v="Failed"/>
    <n v="56000"/>
    <n v="37748"/>
    <n v="18252"/>
    <n v="0.3259285714285714"/>
    <x v="1"/>
    <x v="1"/>
    <x v="2"/>
    <x v="10"/>
  </r>
  <r>
    <s v="ORD-10500"/>
    <x v="211"/>
    <x v="0"/>
    <x v="0"/>
    <s v="PRD-ELE-101"/>
    <s v="Monitor 27inch"/>
    <n v="10"/>
    <n v="55000"/>
    <n v="33148"/>
    <s v="UPI"/>
    <s v="Failed"/>
    <n v="550000"/>
    <n v="331480"/>
    <n v="218520"/>
    <n v="0.39730909090909089"/>
    <x v="2"/>
    <x v="1"/>
    <x v="9"/>
    <x v="11"/>
  </r>
  <r>
    <s v="ORD-10501"/>
    <x v="337"/>
    <x v="0"/>
    <x v="2"/>
    <s v="PRD-ELE-105"/>
    <s v="Android Tablet 10inch"/>
    <n v="5"/>
    <n v="28000"/>
    <n v="17468"/>
    <s v="Cash on Delivery"/>
    <s v="Pending"/>
    <n v="140000"/>
    <n v="87340"/>
    <n v="52660"/>
    <n v="0.37614285714285717"/>
    <x v="2"/>
    <x v="1"/>
    <x v="7"/>
    <x v="8"/>
  </r>
  <r>
    <s v="ORD-10502"/>
    <x v="338"/>
    <x v="1"/>
    <x v="4"/>
    <s v="PRD-ELE-104"/>
    <s v="Core i7 Laptop"/>
    <n v="15"/>
    <n v="75000"/>
    <n v="45823"/>
    <s v="Net Banking"/>
    <s v="Paid"/>
    <n v="1125000"/>
    <n v="687345"/>
    <n v="437655"/>
    <n v="0.38902666666666669"/>
    <x v="2"/>
    <x v="1"/>
    <x v="6"/>
    <x v="6"/>
  </r>
  <r>
    <s v="ORD-10503"/>
    <x v="128"/>
    <x v="4"/>
    <x v="4"/>
    <s v="PRD-ELE-101"/>
    <s v="Monitor 27inch"/>
    <n v="18"/>
    <n v="55000"/>
    <n v="43574"/>
    <s v="Cash on Delivery"/>
    <s v="Paid"/>
    <n v="990000"/>
    <n v="784332"/>
    <n v="205668"/>
    <n v="0.20774545454545454"/>
    <x v="2"/>
    <x v="1"/>
    <x v="1"/>
    <x v="1"/>
  </r>
  <r>
    <s v="ORD-10504"/>
    <x v="339"/>
    <x v="4"/>
    <x v="4"/>
    <s v="PRD-ACC-302"/>
    <s v="Noise Cancelling Headphones"/>
    <n v="16"/>
    <n v="12500"/>
    <n v="8586"/>
    <s v="Net Banking"/>
    <s v="Paid"/>
    <n v="200000"/>
    <n v="137376"/>
    <n v="62624"/>
    <n v="0.31312000000000001"/>
    <x v="0"/>
    <x v="1"/>
    <x v="5"/>
    <x v="7"/>
  </r>
  <r>
    <s v="ORD-10505"/>
    <x v="340"/>
    <x v="5"/>
    <x v="1"/>
    <s v="PRD-ELE-102"/>
    <s v="Mechanical Keyboard"/>
    <n v="3"/>
    <n v="4500"/>
    <n v="2749"/>
    <s v="Credit Card"/>
    <s v="Paid"/>
    <n v="13500"/>
    <n v="8247"/>
    <n v="5253"/>
    <n v="0.38911111111111113"/>
    <x v="2"/>
    <x v="1"/>
    <x v="3"/>
    <x v="3"/>
  </r>
  <r>
    <s v="ORD-10506"/>
    <x v="212"/>
    <x v="0"/>
    <x v="4"/>
    <s v="PRD-ELE-102"/>
    <s v="Mechanical Keyboard"/>
    <n v="9"/>
    <n v="4500"/>
    <n v="3284"/>
    <s v="Credit Card"/>
    <s v="Pending"/>
    <n v="40500"/>
    <n v="29556"/>
    <n v="10944"/>
    <n v="0.2702222222222222"/>
    <x v="2"/>
    <x v="0"/>
    <x v="9"/>
    <x v="12"/>
  </r>
  <r>
    <s v="ORD-10507"/>
    <x v="341"/>
    <x v="0"/>
    <x v="1"/>
    <s v="PRD-ELE-102"/>
    <s v="Mechanical Keyboard"/>
    <n v="6"/>
    <n v="4500"/>
    <n v="2859"/>
    <s v="Net Banking"/>
    <s v="Pending"/>
    <n v="27000"/>
    <n v="17154"/>
    <n v="9846"/>
    <n v="0.36466666666666664"/>
    <x v="2"/>
    <x v="1"/>
    <x v="2"/>
    <x v="10"/>
  </r>
  <r>
    <s v="ORD-10508"/>
    <x v="31"/>
    <x v="4"/>
    <x v="4"/>
    <s v="PRD-ACC-301"/>
    <s v="USB-C Docking Station"/>
    <n v="19"/>
    <n v="8500"/>
    <n v="5766"/>
    <s v="Cash on Delivery"/>
    <s v="Pending"/>
    <n v="161500"/>
    <n v="109554"/>
    <n v="51946"/>
    <n v="0.3216470588235294"/>
    <x v="0"/>
    <x v="0"/>
    <x v="6"/>
    <x v="15"/>
  </r>
  <r>
    <s v="ORD-10509"/>
    <x v="170"/>
    <x v="2"/>
    <x v="4"/>
    <s v="PRD-FUR-201"/>
    <s v="Ergonomic Desk Chair"/>
    <n v="16"/>
    <n v="14000"/>
    <n v="8934"/>
    <s v="Cash on Delivery"/>
    <s v="Paid"/>
    <n v="224000"/>
    <n v="142944"/>
    <n v="81056"/>
    <n v="0.36185714285714288"/>
    <x v="1"/>
    <x v="1"/>
    <x v="0"/>
    <x v="17"/>
  </r>
  <r>
    <s v="ORD-10511"/>
    <x v="279"/>
    <x v="0"/>
    <x v="4"/>
    <s v="PRD-ACC-302"/>
    <s v="Noise Cancelling Headphones"/>
    <n v="7"/>
    <n v="12500"/>
    <n v="8380"/>
    <s v="Net Banking"/>
    <s v="Failed"/>
    <n v="87500"/>
    <n v="58660"/>
    <n v="28840"/>
    <n v="0.3296"/>
    <x v="0"/>
    <x v="1"/>
    <x v="4"/>
    <x v="4"/>
  </r>
  <r>
    <s v="ORD-10512"/>
    <x v="342"/>
    <x v="7"/>
    <x v="4"/>
    <s v="PRD-ELE-103"/>
    <s v="Wireless Mouse"/>
    <n v="5"/>
    <n v="2500"/>
    <n v="1762"/>
    <s v="Net Banking"/>
    <s v="Paid"/>
    <n v="12500"/>
    <n v="8810"/>
    <n v="3690"/>
    <n v="0.29520000000000002"/>
    <x v="2"/>
    <x v="1"/>
    <x v="3"/>
    <x v="3"/>
  </r>
  <r>
    <s v="ORD-10513"/>
    <x v="151"/>
    <x v="1"/>
    <x v="1"/>
    <s v="PRD-ELE-103"/>
    <s v="Wireless Mouse"/>
    <n v="6"/>
    <n v="2500"/>
    <n v="1800"/>
    <s v="Net Banking"/>
    <s v="Failed"/>
    <n v="15000"/>
    <n v="10800"/>
    <n v="4200"/>
    <n v="0.28000000000000003"/>
    <x v="2"/>
    <x v="1"/>
    <x v="11"/>
    <x v="19"/>
  </r>
  <r>
    <s v="ORD-10514"/>
    <x v="101"/>
    <x v="3"/>
    <x v="0"/>
    <s v="PRD-ELE-104"/>
    <s v="Core i7 Laptop"/>
    <n v="4"/>
    <n v="75000"/>
    <n v="53356"/>
    <s v="Credit Card"/>
    <s v="Paid"/>
    <n v="300000"/>
    <n v="213424"/>
    <n v="86576"/>
    <n v="0.28858666666666666"/>
    <x v="2"/>
    <x v="1"/>
    <x v="7"/>
    <x v="8"/>
  </r>
  <r>
    <s v="ORD-10515"/>
    <x v="322"/>
    <x v="7"/>
    <x v="2"/>
    <s v="PRD-FUR-202"/>
    <s v="Standing Executive Desk"/>
    <n v="2"/>
    <n v="35000"/>
    <n v="26560"/>
    <s v="Cash on Delivery"/>
    <s v="Pending"/>
    <n v="70000"/>
    <n v="53120"/>
    <n v="16880"/>
    <n v="0.24114285714285713"/>
    <x v="1"/>
    <x v="1"/>
    <x v="6"/>
    <x v="6"/>
  </r>
  <r>
    <s v="ORD-10516"/>
    <x v="343"/>
    <x v="7"/>
    <x v="0"/>
    <s v="PRD-ELE-104"/>
    <s v="Core i7 Laptop"/>
    <n v="5"/>
    <n v="75000"/>
    <n v="49486"/>
    <s v="Cash on Delivery"/>
    <s v="Failed"/>
    <n v="375000"/>
    <n v="247430"/>
    <n v="127570"/>
    <n v="0.34018666666666669"/>
    <x v="2"/>
    <x v="0"/>
    <x v="0"/>
    <x v="0"/>
  </r>
  <r>
    <s v="ORD-10517"/>
    <x v="344"/>
    <x v="4"/>
    <x v="4"/>
    <s v="PRD-ACC-301"/>
    <s v="USB-C Docking Station"/>
    <n v="18"/>
    <n v="8500"/>
    <n v="5107"/>
    <s v="Credit Card"/>
    <s v="Paid"/>
    <n v="153000"/>
    <n v="91926"/>
    <n v="61074"/>
    <n v="0.3991764705882353"/>
    <x v="0"/>
    <x v="1"/>
    <x v="0"/>
    <x v="17"/>
  </r>
  <r>
    <s v="ORD-10518"/>
    <x v="344"/>
    <x v="3"/>
    <x v="3"/>
    <s v="PRD-ELE-102"/>
    <s v="Mechanical Keyboard"/>
    <n v="3"/>
    <n v="4500"/>
    <n v="2879"/>
    <s v="Cash on Delivery"/>
    <s v="Pending"/>
    <n v="13500"/>
    <n v="8637"/>
    <n v="4863"/>
    <n v="0.36022222222222222"/>
    <x v="2"/>
    <x v="1"/>
    <x v="0"/>
    <x v="17"/>
  </r>
  <r>
    <s v="ORD-10519"/>
    <x v="345"/>
    <x v="8"/>
    <x v="0"/>
    <s v="PRD-ELE-105"/>
    <s v="Android Tablet 10inch"/>
    <n v="19"/>
    <n v="28000"/>
    <n v="21623"/>
    <s v="Cash on Delivery"/>
    <s v="Paid"/>
    <n v="532000"/>
    <n v="410837"/>
    <n v="121163"/>
    <n v="0.22775000000000001"/>
    <x v="2"/>
    <x v="1"/>
    <x v="5"/>
    <x v="7"/>
  </r>
  <r>
    <s v="ORD-10520"/>
    <x v="87"/>
    <x v="8"/>
    <x v="0"/>
    <s v="PRD-ELE-103"/>
    <s v="Wireless Mouse"/>
    <n v="15"/>
    <n v="2500"/>
    <n v="1903"/>
    <s v="Net Banking"/>
    <s v="Paid"/>
    <n v="37500"/>
    <n v="28545"/>
    <n v="8955"/>
    <n v="0.23880000000000001"/>
    <x v="2"/>
    <x v="1"/>
    <x v="10"/>
    <x v="13"/>
  </r>
  <r>
    <s v="ORD-10521"/>
    <x v="208"/>
    <x v="5"/>
    <x v="2"/>
    <s v="PRD-FUR-202"/>
    <s v="Standing Executive Desk"/>
    <n v="5"/>
    <n v="35000"/>
    <n v="23800"/>
    <s v="Credit Card"/>
    <s v="Pending"/>
    <n v="175000"/>
    <n v="119000"/>
    <n v="56000"/>
    <n v="0.32"/>
    <x v="1"/>
    <x v="0"/>
    <x v="8"/>
    <x v="9"/>
  </r>
  <r>
    <s v="ORD-10522"/>
    <x v="346"/>
    <x v="8"/>
    <x v="3"/>
    <s v="PRD-FUR-202"/>
    <s v="Standing Executive Desk"/>
    <n v="9"/>
    <n v="35000"/>
    <n v="26411"/>
    <s v="Net Banking"/>
    <s v="Paid"/>
    <n v="315000"/>
    <n v="237699"/>
    <n v="77301"/>
    <n v="0.24540000000000001"/>
    <x v="1"/>
    <x v="1"/>
    <x v="2"/>
    <x v="10"/>
  </r>
  <r>
    <s v="ORD-10523"/>
    <x v="347"/>
    <x v="1"/>
    <x v="4"/>
    <s v="PRD-ELE-104"/>
    <s v="Core i7 Laptop"/>
    <n v="6"/>
    <n v="75000"/>
    <n v="45888"/>
    <s v="Net Banking"/>
    <s v="Failed"/>
    <n v="450000"/>
    <n v="275328"/>
    <n v="174672"/>
    <n v="0.38816000000000001"/>
    <x v="2"/>
    <x v="1"/>
    <x v="7"/>
    <x v="8"/>
  </r>
  <r>
    <s v="ORD-10524"/>
    <x v="195"/>
    <x v="6"/>
    <x v="4"/>
    <s v="PRD-FUR-201"/>
    <s v="Ergonomic Desk Chair"/>
    <n v="6"/>
    <n v="14000"/>
    <n v="11057"/>
    <s v="Cash on Delivery"/>
    <s v="Pending"/>
    <n v="84000"/>
    <n v="66342"/>
    <n v="17658"/>
    <n v="0.21021428571428571"/>
    <x v="1"/>
    <x v="0"/>
    <x v="8"/>
    <x v="9"/>
  </r>
  <r>
    <s v="ORD-10526"/>
    <x v="305"/>
    <x v="5"/>
    <x v="3"/>
    <s v="PRD-ELE-104"/>
    <s v="Core i7 Laptop"/>
    <n v="5"/>
    <n v="75000"/>
    <n v="59099"/>
    <s v="Net Banking"/>
    <s v="Pending"/>
    <n v="375000"/>
    <n v="295495"/>
    <n v="79505"/>
    <n v="0.21201333333333333"/>
    <x v="2"/>
    <x v="1"/>
    <x v="5"/>
    <x v="7"/>
  </r>
  <r>
    <s v="ORD-10527"/>
    <x v="348"/>
    <x v="5"/>
    <x v="3"/>
    <s v="PRD-FUR-201"/>
    <s v="Ergonomic Desk Chair"/>
    <n v="3"/>
    <n v="14000"/>
    <n v="9484"/>
    <s v="UPI"/>
    <s v="Pending"/>
    <n v="42000"/>
    <n v="28452"/>
    <n v="13548"/>
    <n v="0.32257142857142856"/>
    <x v="1"/>
    <x v="1"/>
    <x v="10"/>
    <x v="13"/>
  </r>
  <r>
    <s v="ORD-10528"/>
    <x v="153"/>
    <x v="7"/>
    <x v="4"/>
    <s v="PRD-ELE-105"/>
    <s v="Android Tablet 10inch"/>
    <n v="6"/>
    <n v="28000"/>
    <n v="17191"/>
    <s v="UPI"/>
    <s v="Paid"/>
    <n v="168000"/>
    <n v="103146"/>
    <n v="64854"/>
    <n v="0.38603571428571426"/>
    <x v="2"/>
    <x v="1"/>
    <x v="1"/>
    <x v="1"/>
  </r>
  <r>
    <s v="ORD-10529"/>
    <x v="349"/>
    <x v="3"/>
    <x v="0"/>
    <s v="PRD-ELE-101"/>
    <s v="Monitor 27inch"/>
    <n v="13"/>
    <n v="55000"/>
    <n v="40463"/>
    <s v="Net Banking"/>
    <s v="Paid"/>
    <n v="715000"/>
    <n v="526019"/>
    <n v="188981"/>
    <n v="0.26430909090909088"/>
    <x v="2"/>
    <x v="0"/>
    <x v="9"/>
    <x v="12"/>
  </r>
  <r>
    <s v="ORD-10530"/>
    <x v="32"/>
    <x v="4"/>
    <x v="0"/>
    <s v="PRD-ACC-301"/>
    <s v="USB-C Docking Station"/>
    <n v="6"/>
    <n v="8500"/>
    <n v="6038"/>
    <s v="Cash on Delivery"/>
    <s v="Failed"/>
    <n v="51000"/>
    <n v="36228"/>
    <n v="14772"/>
    <n v="0.28964705882352942"/>
    <x v="0"/>
    <x v="0"/>
    <x v="2"/>
    <x v="2"/>
  </r>
  <r>
    <s v="ORD-10531"/>
    <x v="42"/>
    <x v="3"/>
    <x v="4"/>
    <s v="PRD-ELE-102"/>
    <s v="Mechanical Keyboard"/>
    <n v="3"/>
    <n v="4500"/>
    <n v="2865"/>
    <s v="Credit Card"/>
    <s v="Paid"/>
    <n v="13500"/>
    <n v="8595"/>
    <n v="4905"/>
    <n v="0.36333333333333334"/>
    <x v="2"/>
    <x v="1"/>
    <x v="3"/>
    <x v="3"/>
  </r>
  <r>
    <s v="ORD-10532"/>
    <x v="165"/>
    <x v="8"/>
    <x v="1"/>
    <s v="PRD-ELE-104"/>
    <s v="Core i7 Laptop"/>
    <n v="19"/>
    <n v="75000"/>
    <n v="45996"/>
    <s v="UPI"/>
    <s v="Pending"/>
    <n v="1425000"/>
    <n v="873924"/>
    <n v="551076"/>
    <n v="0.38672000000000001"/>
    <x v="2"/>
    <x v="0"/>
    <x v="2"/>
    <x v="2"/>
  </r>
  <r>
    <s v="ORD-10533"/>
    <x v="350"/>
    <x v="5"/>
    <x v="0"/>
    <s v="PRD-ACC-302"/>
    <s v="Noise Cancelling Headphones"/>
    <n v="13"/>
    <n v="12500"/>
    <n v="9674"/>
    <s v="Cash on Delivery"/>
    <s v="Failed"/>
    <n v="162500"/>
    <n v="125762"/>
    <n v="36738"/>
    <n v="0.22608"/>
    <x v="0"/>
    <x v="0"/>
    <x v="5"/>
    <x v="5"/>
  </r>
  <r>
    <s v="ORD-10534"/>
    <x v="351"/>
    <x v="2"/>
    <x v="4"/>
    <s v="PRD-ACC-301"/>
    <s v="USB-C Docking Station"/>
    <n v="15"/>
    <n v="8500"/>
    <n v="5145"/>
    <s v="Cash on Delivery"/>
    <s v="Paid"/>
    <n v="127500"/>
    <n v="77175"/>
    <n v="50325"/>
    <n v="0.39470588235294118"/>
    <x v="0"/>
    <x v="1"/>
    <x v="0"/>
    <x v="17"/>
  </r>
  <r>
    <s v="ORD-10535"/>
    <x v="352"/>
    <x v="7"/>
    <x v="0"/>
    <s v="PRD-FUR-201"/>
    <s v="Ergonomic Desk Chair"/>
    <n v="6"/>
    <n v="14000"/>
    <n v="8758"/>
    <s v="Cash on Delivery"/>
    <s v="Failed"/>
    <n v="84000"/>
    <n v="52548"/>
    <n v="31452"/>
    <n v="0.37442857142857144"/>
    <x v="1"/>
    <x v="1"/>
    <x v="9"/>
    <x v="11"/>
  </r>
  <r>
    <s v="ORD-10536"/>
    <x v="353"/>
    <x v="3"/>
    <x v="1"/>
    <s v="PRD-ELE-105"/>
    <s v="Android Tablet 10inch"/>
    <n v="3"/>
    <n v="28000"/>
    <n v="16890"/>
    <s v="Credit Card"/>
    <s v="Paid"/>
    <n v="84000"/>
    <n v="50670"/>
    <n v="33330"/>
    <n v="0.3967857142857143"/>
    <x v="2"/>
    <x v="1"/>
    <x v="0"/>
    <x v="17"/>
  </r>
  <r>
    <s v="ORD-10537"/>
    <x v="113"/>
    <x v="5"/>
    <x v="0"/>
    <s v="PRD-ELE-104"/>
    <s v="Core i7 Laptop"/>
    <n v="16"/>
    <n v="75000"/>
    <n v="58177"/>
    <s v="Cash on Delivery"/>
    <s v="Paid"/>
    <n v="1200000"/>
    <n v="930832"/>
    <n v="269168"/>
    <n v="0.22430666666666665"/>
    <x v="2"/>
    <x v="0"/>
    <x v="5"/>
    <x v="5"/>
  </r>
  <r>
    <s v="ORD-10538"/>
    <x v="313"/>
    <x v="3"/>
    <x v="0"/>
    <s v="PRD-FUR-202"/>
    <s v="Standing Executive Desk"/>
    <n v="1"/>
    <n v="35000"/>
    <n v="26919"/>
    <s v="Cash on Delivery"/>
    <s v="Paid"/>
    <n v="35000"/>
    <n v="26919"/>
    <n v="8081"/>
    <n v="0.23088571428571428"/>
    <x v="1"/>
    <x v="0"/>
    <x v="3"/>
    <x v="16"/>
  </r>
  <r>
    <s v="ORD-10539"/>
    <x v="284"/>
    <x v="7"/>
    <x v="3"/>
    <s v="PRD-FUR-202"/>
    <s v="Standing Executive Desk"/>
    <n v="19"/>
    <n v="35000"/>
    <n v="24109"/>
    <s v="Net Banking"/>
    <s v="Failed"/>
    <n v="665000"/>
    <n v="458071"/>
    <n v="206929"/>
    <n v="0.3111714285714286"/>
    <x v="1"/>
    <x v="1"/>
    <x v="5"/>
    <x v="7"/>
  </r>
  <r>
    <s v="ORD-10540"/>
    <x v="354"/>
    <x v="5"/>
    <x v="1"/>
    <s v="PRD-ELE-105"/>
    <s v="Android Tablet 10inch"/>
    <n v="14"/>
    <n v="28000"/>
    <n v="22357"/>
    <s v="UPI"/>
    <s v="Unknown"/>
    <n v="392000"/>
    <n v="312998"/>
    <n v="79002"/>
    <n v="0.20153571428571429"/>
    <x v="2"/>
    <x v="0"/>
    <x v="11"/>
    <x v="18"/>
  </r>
  <r>
    <s v="ORD-10541"/>
    <x v="355"/>
    <x v="5"/>
    <x v="4"/>
    <s v="PRD-ELE-101"/>
    <s v="Monitor 27inch"/>
    <n v="19"/>
    <n v="55000"/>
    <n v="43347"/>
    <s v="Net Banking"/>
    <s v="Paid"/>
    <n v="1045000"/>
    <n v="823593"/>
    <n v="221407"/>
    <n v="0.21187272727272727"/>
    <x v="2"/>
    <x v="0"/>
    <x v="6"/>
    <x v="15"/>
  </r>
  <r>
    <s v="ORD-10542"/>
    <x v="256"/>
    <x v="8"/>
    <x v="2"/>
    <s v="PRD-ELE-103"/>
    <s v="Wireless Mouse"/>
    <n v="2"/>
    <n v="2500"/>
    <n v="1834"/>
    <s v="Cash on Delivery"/>
    <s v="Paid"/>
    <n v="5000"/>
    <n v="3668"/>
    <n v="1332"/>
    <n v="0.26640000000000003"/>
    <x v="2"/>
    <x v="1"/>
    <x v="0"/>
    <x v="17"/>
  </r>
  <r>
    <s v="ORD-10543"/>
    <x v="356"/>
    <x v="7"/>
    <x v="4"/>
    <s v="PRD-FUR-202"/>
    <s v="Standing Executive Desk"/>
    <n v="19"/>
    <n v="35000"/>
    <n v="25837"/>
    <s v="Cash on Delivery"/>
    <s v="Pending"/>
    <n v="665000"/>
    <n v="490903"/>
    <n v="174097"/>
    <n v="0.26179999999999998"/>
    <x v="1"/>
    <x v="1"/>
    <x v="10"/>
    <x v="13"/>
  </r>
  <r>
    <s v="ORD-10544"/>
    <x v="357"/>
    <x v="7"/>
    <x v="0"/>
    <s v="PRD-ELE-101"/>
    <s v="Monitor 27inch"/>
    <n v="18"/>
    <n v="55000"/>
    <n v="42444"/>
    <s v="Cash on Delivery"/>
    <s v="Paid"/>
    <n v="990000"/>
    <n v="763992"/>
    <n v="226008"/>
    <n v="0.2282909090909091"/>
    <x v="2"/>
    <x v="1"/>
    <x v="0"/>
    <x v="17"/>
  </r>
  <r>
    <s v="ORD-10545"/>
    <x v="234"/>
    <x v="2"/>
    <x v="3"/>
    <s v="PRD-ELE-105"/>
    <s v="Android Tablet 10inch"/>
    <n v="3"/>
    <n v="28000"/>
    <n v="16884"/>
    <s v="Cash on Delivery"/>
    <s v="Pending"/>
    <n v="84000"/>
    <n v="50652"/>
    <n v="33348"/>
    <n v="0.39700000000000002"/>
    <x v="2"/>
    <x v="1"/>
    <x v="1"/>
    <x v="1"/>
  </r>
  <r>
    <s v="ORD-10546"/>
    <x v="354"/>
    <x v="6"/>
    <x v="4"/>
    <s v="PRD-ELE-103"/>
    <s v="Wireless Mouse"/>
    <n v="7"/>
    <n v="2500"/>
    <n v="1742"/>
    <s v="Net Banking"/>
    <s v="Paid"/>
    <n v="17500"/>
    <n v="12194"/>
    <n v="5306"/>
    <n v="0.30320000000000003"/>
    <x v="2"/>
    <x v="0"/>
    <x v="11"/>
    <x v="18"/>
  </r>
  <r>
    <s v="ORD-10547"/>
    <x v="358"/>
    <x v="2"/>
    <x v="0"/>
    <s v="PRD-ELE-104"/>
    <s v="Core i7 Laptop"/>
    <n v="9"/>
    <n v="75000"/>
    <n v="47707"/>
    <s v="UPI"/>
    <s v="Failed"/>
    <n v="675000"/>
    <n v="429363"/>
    <n v="245637"/>
    <n v="0.36390666666666666"/>
    <x v="2"/>
    <x v="1"/>
    <x v="1"/>
    <x v="1"/>
  </r>
  <r>
    <s v="ORD-10548"/>
    <x v="359"/>
    <x v="8"/>
    <x v="0"/>
    <s v="PRD-ELE-104"/>
    <s v="Core i7 Laptop"/>
    <n v="13"/>
    <n v="75000"/>
    <n v="51910"/>
    <s v="UPI"/>
    <s v="Pending"/>
    <n v="975000"/>
    <n v="674830"/>
    <n v="300170"/>
    <n v="0.30786666666666668"/>
    <x v="2"/>
    <x v="1"/>
    <x v="11"/>
    <x v="19"/>
  </r>
  <r>
    <s v="ORD-10549"/>
    <x v="360"/>
    <x v="5"/>
    <x v="0"/>
    <s v="PRD-ELE-104"/>
    <s v="Core i7 Laptop"/>
    <n v="12"/>
    <n v="75000"/>
    <n v="49378"/>
    <s v="Credit Card"/>
    <s v="Paid"/>
    <n v="900000"/>
    <n v="592536"/>
    <n v="307464"/>
    <n v="0.34162666666666669"/>
    <x v="2"/>
    <x v="1"/>
    <x v="7"/>
    <x v="8"/>
  </r>
  <r>
    <s v="ORD-10550"/>
    <x v="361"/>
    <x v="6"/>
    <x v="3"/>
    <s v="PRD-ELE-101"/>
    <s v="Monitor 27inch"/>
    <n v="5"/>
    <n v="55000"/>
    <n v="33835"/>
    <s v="Cash on Delivery"/>
    <s v="Paid"/>
    <n v="275000"/>
    <n v="169175"/>
    <n v="105825"/>
    <n v="0.38481818181818184"/>
    <x v="2"/>
    <x v="1"/>
    <x v="5"/>
    <x v="7"/>
  </r>
  <r>
    <s v="ORD-10551"/>
    <x v="254"/>
    <x v="6"/>
    <x v="0"/>
    <s v="PRD-ELE-102"/>
    <s v="Mechanical Keyboard"/>
    <n v="5"/>
    <n v="4500"/>
    <n v="3513"/>
    <s v="Net Banking"/>
    <s v="Pending"/>
    <n v="22500"/>
    <n v="17565"/>
    <n v="4935"/>
    <n v="0.21933333333333332"/>
    <x v="2"/>
    <x v="1"/>
    <x v="10"/>
    <x v="13"/>
  </r>
  <r>
    <s v="ORD-10552"/>
    <x v="362"/>
    <x v="2"/>
    <x v="0"/>
    <s v="PRD-FUR-202"/>
    <s v="Standing Executive Desk"/>
    <n v="5"/>
    <n v="35000"/>
    <n v="21693"/>
    <s v="Credit Card"/>
    <s v="Pending"/>
    <n v="175000"/>
    <n v="108465"/>
    <n v="66535"/>
    <n v="0.38019999999999998"/>
    <x v="1"/>
    <x v="1"/>
    <x v="4"/>
    <x v="4"/>
  </r>
  <r>
    <s v="ORD-10553"/>
    <x v="274"/>
    <x v="3"/>
    <x v="3"/>
    <s v="PRD-ACC-301"/>
    <s v="USB-C Docking Station"/>
    <n v="7"/>
    <n v="8500"/>
    <n v="6580"/>
    <s v="Cash on Delivery"/>
    <s v="Paid"/>
    <n v="59500"/>
    <n v="46060"/>
    <n v="13440"/>
    <n v="0.22588235294117648"/>
    <x v="0"/>
    <x v="1"/>
    <x v="8"/>
    <x v="14"/>
  </r>
  <r>
    <s v="ORD-10554"/>
    <x v="22"/>
    <x v="1"/>
    <x v="0"/>
    <s v="PRD-ELE-104"/>
    <s v="Core i7 Laptop"/>
    <n v="10"/>
    <n v="75000"/>
    <n v="53850"/>
    <s v="Credit Card"/>
    <s v="Failed"/>
    <n v="750000"/>
    <n v="538500"/>
    <n v="211500"/>
    <n v="0.28199999999999997"/>
    <x v="2"/>
    <x v="1"/>
    <x v="3"/>
    <x v="3"/>
  </r>
  <r>
    <s v="ORD-10555"/>
    <x v="88"/>
    <x v="3"/>
    <x v="0"/>
    <s v="PRD-ACC-302"/>
    <s v="Noise Cancelling Headphones"/>
    <n v="12"/>
    <n v="12500"/>
    <n v="7995"/>
    <s v="Credit Card"/>
    <s v="Paid"/>
    <n v="150000"/>
    <n v="95940"/>
    <n v="54060"/>
    <n v="0.3604"/>
    <x v="0"/>
    <x v="1"/>
    <x v="1"/>
    <x v="1"/>
  </r>
  <r>
    <s v="ORD-10556"/>
    <x v="265"/>
    <x v="3"/>
    <x v="0"/>
    <s v="PRD-ACC-301"/>
    <s v="USB-C Docking Station"/>
    <n v="5"/>
    <n v="8500"/>
    <n v="6186"/>
    <s v="Cash on Delivery"/>
    <s v="Failed"/>
    <n v="42500"/>
    <n v="30930"/>
    <n v="11570"/>
    <n v="0.27223529411764708"/>
    <x v="0"/>
    <x v="1"/>
    <x v="1"/>
    <x v="1"/>
  </r>
  <r>
    <s v="ORD-10557"/>
    <x v="363"/>
    <x v="3"/>
    <x v="4"/>
    <s v="PRD-ELE-103"/>
    <s v="Wireless Mouse"/>
    <n v="15"/>
    <n v="2500"/>
    <n v="1967"/>
    <s v="Credit Card"/>
    <s v="Failed"/>
    <n v="37500"/>
    <n v="29505"/>
    <n v="7995"/>
    <n v="0.2132"/>
    <x v="2"/>
    <x v="1"/>
    <x v="1"/>
    <x v="1"/>
  </r>
  <r>
    <s v="ORD-10558"/>
    <x v="360"/>
    <x v="1"/>
    <x v="4"/>
    <s v="PRD-FUR-201"/>
    <s v="Ergonomic Desk Chair"/>
    <n v="15"/>
    <n v="14000"/>
    <n v="10435"/>
    <s v="Cash on Delivery"/>
    <s v="Failed"/>
    <n v="210000"/>
    <n v="156525"/>
    <n v="53475"/>
    <n v="0.25464285714285712"/>
    <x v="1"/>
    <x v="1"/>
    <x v="7"/>
    <x v="8"/>
  </r>
  <r>
    <s v="ORD-10559"/>
    <x v="55"/>
    <x v="4"/>
    <x v="0"/>
    <s v="PRD-ELE-105"/>
    <s v="Android Tablet 10inch"/>
    <n v="8"/>
    <n v="28000"/>
    <n v="21681"/>
    <s v="Credit Card"/>
    <s v="Paid"/>
    <n v="224000"/>
    <n v="173448"/>
    <n v="50552"/>
    <n v="0.22567857142857142"/>
    <x v="2"/>
    <x v="1"/>
    <x v="6"/>
    <x v="6"/>
  </r>
  <r>
    <s v="ORD-10561"/>
    <x v="8"/>
    <x v="2"/>
    <x v="4"/>
    <s v="PRD-ACC-301"/>
    <s v="USB-C Docking Station"/>
    <n v="17"/>
    <n v="8500"/>
    <n v="5408"/>
    <s v="Credit Card"/>
    <s v="Paid"/>
    <n v="144500"/>
    <n v="91936"/>
    <n v="52564"/>
    <n v="0.36376470588235293"/>
    <x v="0"/>
    <x v="1"/>
    <x v="6"/>
    <x v="6"/>
  </r>
  <r>
    <s v="ORD-10562"/>
    <x v="364"/>
    <x v="2"/>
    <x v="2"/>
    <s v="PRD-ELE-101"/>
    <s v="Monitor 27inch"/>
    <n v="12"/>
    <n v="55000"/>
    <n v="35560"/>
    <s v="Cash on Delivery"/>
    <s v="Failed"/>
    <n v="660000"/>
    <n v="426720"/>
    <n v="233280"/>
    <n v="0.35345454545454547"/>
    <x v="2"/>
    <x v="1"/>
    <x v="10"/>
    <x v="13"/>
  </r>
  <r>
    <s v="ORD-10563"/>
    <x v="365"/>
    <x v="3"/>
    <x v="4"/>
    <s v="PRD-ELE-102"/>
    <s v="Mechanical Keyboard"/>
    <n v="18"/>
    <n v="4500"/>
    <n v="2823"/>
    <s v="Cash on Delivery"/>
    <s v="Failed"/>
    <n v="81000"/>
    <n v="50814"/>
    <n v="30186"/>
    <n v="0.37266666666666665"/>
    <x v="2"/>
    <x v="0"/>
    <x v="9"/>
    <x v="12"/>
  </r>
  <r>
    <s v="ORD-10564"/>
    <x v="366"/>
    <x v="4"/>
    <x v="3"/>
    <s v="PRD-ELE-105"/>
    <s v="Android Tablet 10inch"/>
    <n v="2"/>
    <n v="28000"/>
    <n v="20733"/>
    <s v="UPI"/>
    <s v="Paid"/>
    <n v="56000"/>
    <n v="41466"/>
    <n v="14534"/>
    <n v="0.25953571428571426"/>
    <x v="2"/>
    <x v="0"/>
    <x v="11"/>
    <x v="18"/>
  </r>
  <r>
    <s v="ORD-10565"/>
    <x v="367"/>
    <x v="1"/>
    <x v="4"/>
    <s v="PRD-ELE-103"/>
    <s v="Wireless Mouse"/>
    <n v="10"/>
    <n v="2500"/>
    <n v="1951"/>
    <s v="Net Banking"/>
    <s v="Paid"/>
    <n v="25000"/>
    <n v="19510"/>
    <n v="5490"/>
    <n v="0.21959999999999999"/>
    <x v="2"/>
    <x v="0"/>
    <x v="0"/>
    <x v="0"/>
  </r>
  <r>
    <s v="ORD-10566"/>
    <x v="110"/>
    <x v="1"/>
    <x v="2"/>
    <s v="PRD-FUR-202"/>
    <s v="Standing Executive Desk"/>
    <n v="13"/>
    <n v="35000"/>
    <n v="21734"/>
    <s v="Credit Card"/>
    <s v="Paid"/>
    <n v="455000"/>
    <n v="282542"/>
    <n v="172458"/>
    <n v="0.37902857142857144"/>
    <x v="1"/>
    <x v="1"/>
    <x v="6"/>
    <x v="6"/>
  </r>
  <r>
    <s v="ORD-10567"/>
    <x v="368"/>
    <x v="7"/>
    <x v="2"/>
    <s v="PRD-ELE-104"/>
    <s v="Core i7 Laptop"/>
    <n v="14"/>
    <n v="75000"/>
    <n v="54873"/>
    <s v="UPI"/>
    <s v="Pending"/>
    <n v="1050000"/>
    <n v="768222"/>
    <n v="281778"/>
    <n v="0.26835999999999999"/>
    <x v="2"/>
    <x v="0"/>
    <x v="11"/>
    <x v="18"/>
  </r>
  <r>
    <s v="ORD-10568"/>
    <x v="297"/>
    <x v="8"/>
    <x v="4"/>
    <s v="PRD-ELE-105"/>
    <s v="Android Tablet 10inch"/>
    <n v="1"/>
    <n v="28000"/>
    <n v="17921"/>
    <s v="UPI"/>
    <s v="Paid"/>
    <n v="28000"/>
    <n v="17921"/>
    <n v="10079"/>
    <n v="0.35996428571428574"/>
    <x v="2"/>
    <x v="1"/>
    <x v="3"/>
    <x v="3"/>
  </r>
  <r>
    <s v="ORD-10569"/>
    <x v="360"/>
    <x v="4"/>
    <x v="1"/>
    <s v="PRD-ACC-302"/>
    <s v="Noise Cancelling Headphones"/>
    <n v="4"/>
    <n v="12500"/>
    <n v="8767"/>
    <s v="Cash on Delivery"/>
    <s v="Paid"/>
    <n v="50000"/>
    <n v="35068"/>
    <n v="14932"/>
    <n v="0.29864000000000002"/>
    <x v="0"/>
    <x v="1"/>
    <x v="7"/>
    <x v="8"/>
  </r>
  <r>
    <s v="ORD-10570"/>
    <x v="369"/>
    <x v="7"/>
    <x v="4"/>
    <s v="PRD-FUR-202"/>
    <s v="Standing Executive Desk"/>
    <n v="18"/>
    <n v="35000"/>
    <n v="21494"/>
    <s v="Net Banking"/>
    <s v="Paid"/>
    <n v="630000"/>
    <n v="386892"/>
    <n v="243108"/>
    <n v="0.38588571428571428"/>
    <x v="1"/>
    <x v="0"/>
    <x v="11"/>
    <x v="18"/>
  </r>
  <r>
    <s v="ORD-10571"/>
    <x v="77"/>
    <x v="4"/>
    <x v="2"/>
    <s v="PRD-ACC-301"/>
    <s v="USB-C Docking Station"/>
    <n v="17"/>
    <n v="8500"/>
    <n v="6535"/>
    <s v="Credit Card"/>
    <s v="Pending"/>
    <n v="144500"/>
    <n v="111095"/>
    <n v="33405"/>
    <n v="0.23117647058823529"/>
    <x v="0"/>
    <x v="0"/>
    <x v="9"/>
    <x v="12"/>
  </r>
  <r>
    <s v="ORD-10572"/>
    <x v="331"/>
    <x v="8"/>
    <x v="1"/>
    <s v="PRD-FUR-202"/>
    <s v="Standing Executive Desk"/>
    <n v="12"/>
    <n v="35000"/>
    <n v="24527"/>
    <s v="Net Banking"/>
    <s v="Failed"/>
    <n v="420000"/>
    <n v="294324"/>
    <n v="125676"/>
    <n v="0.29922857142857145"/>
    <x v="1"/>
    <x v="0"/>
    <x v="11"/>
    <x v="18"/>
  </r>
  <r>
    <s v="ORD-10573"/>
    <x v="370"/>
    <x v="4"/>
    <x v="4"/>
    <s v="PRD-ELE-103"/>
    <s v="Wireless Mouse"/>
    <n v="4"/>
    <n v="2500"/>
    <n v="1800"/>
    <s v="Net Banking"/>
    <s v="Paid"/>
    <n v="10000"/>
    <n v="7200"/>
    <n v="2800"/>
    <n v="0.28000000000000003"/>
    <x v="2"/>
    <x v="0"/>
    <x v="5"/>
    <x v="5"/>
  </r>
  <r>
    <s v="ORD-10574"/>
    <x v="68"/>
    <x v="3"/>
    <x v="1"/>
    <s v="PRD-ELE-103"/>
    <s v="Wireless Mouse"/>
    <n v="8"/>
    <n v="2500"/>
    <n v="1919"/>
    <s v="Cash on Delivery"/>
    <s v="Paid"/>
    <n v="20000"/>
    <n v="15352"/>
    <n v="4648"/>
    <n v="0.2324"/>
    <x v="2"/>
    <x v="1"/>
    <x v="8"/>
    <x v="14"/>
  </r>
  <r>
    <s v="ORD-10575"/>
    <x v="148"/>
    <x v="6"/>
    <x v="2"/>
    <s v="PRD-ELE-102"/>
    <s v="Mechanical Keyboard"/>
    <n v="18"/>
    <n v="4500"/>
    <n v="3128"/>
    <s v="Net Banking"/>
    <s v="Paid"/>
    <n v="81000"/>
    <n v="56304"/>
    <n v="24696"/>
    <n v="0.30488888888888888"/>
    <x v="2"/>
    <x v="1"/>
    <x v="2"/>
    <x v="10"/>
  </r>
  <r>
    <s v="ORD-10576"/>
    <x v="139"/>
    <x v="5"/>
    <x v="4"/>
    <s v="PRD-ELE-101"/>
    <s v="Monitor 27inch"/>
    <n v="1"/>
    <n v="55000"/>
    <n v="42287"/>
    <s v="Credit Card"/>
    <s v="Failed"/>
    <n v="55000"/>
    <n v="42287"/>
    <n v="12713"/>
    <n v="0.23114545454545454"/>
    <x v="2"/>
    <x v="0"/>
    <x v="5"/>
    <x v="5"/>
  </r>
  <r>
    <s v="ORD-10577"/>
    <x v="47"/>
    <x v="0"/>
    <x v="0"/>
    <s v="PRD-ELE-104"/>
    <s v="Core i7 Laptop"/>
    <n v="16"/>
    <n v="75000"/>
    <n v="55704"/>
    <s v="Net Banking"/>
    <s v="Paid"/>
    <n v="1200000"/>
    <n v="891264"/>
    <n v="308736"/>
    <n v="0.25728000000000001"/>
    <x v="2"/>
    <x v="1"/>
    <x v="5"/>
    <x v="7"/>
  </r>
  <r>
    <s v="ORD-10578"/>
    <x v="371"/>
    <x v="0"/>
    <x v="1"/>
    <s v="PRD-FUR-202"/>
    <s v="Standing Executive Desk"/>
    <n v="3"/>
    <n v="35000"/>
    <n v="24945"/>
    <s v="Net Banking"/>
    <s v="Paid"/>
    <n v="105000"/>
    <n v="74835"/>
    <n v="30165"/>
    <n v="0.28728571428571431"/>
    <x v="1"/>
    <x v="1"/>
    <x v="10"/>
    <x v="13"/>
  </r>
  <r>
    <s v="ORD-10579"/>
    <x v="372"/>
    <x v="2"/>
    <x v="0"/>
    <s v="PRD-ELE-104"/>
    <s v="Core i7 Laptop"/>
    <n v="10"/>
    <n v="75000"/>
    <n v="56364"/>
    <s v="Cash on Delivery"/>
    <s v="Pending"/>
    <n v="750000"/>
    <n v="563640"/>
    <n v="186360"/>
    <n v="0.24848000000000001"/>
    <x v="2"/>
    <x v="0"/>
    <x v="6"/>
    <x v="15"/>
  </r>
  <r>
    <s v="ORD-10580"/>
    <x v="192"/>
    <x v="3"/>
    <x v="4"/>
    <s v="PRD-ELE-103"/>
    <s v="Wireless Mouse"/>
    <n v="19"/>
    <n v="2500"/>
    <n v="1572"/>
    <s v="Cash on Delivery"/>
    <s v="Paid"/>
    <n v="47500"/>
    <n v="29868"/>
    <n v="17632"/>
    <n v="0.37119999999999997"/>
    <x v="2"/>
    <x v="1"/>
    <x v="0"/>
    <x v="17"/>
  </r>
  <r>
    <s v="ORD-10581"/>
    <x v="373"/>
    <x v="6"/>
    <x v="2"/>
    <s v="PRD-ELE-104"/>
    <s v="Core i7 Laptop"/>
    <n v="8"/>
    <n v="75000"/>
    <n v="51042"/>
    <s v="UPI"/>
    <s v="Failed"/>
    <n v="600000"/>
    <n v="408336"/>
    <n v="191664"/>
    <n v="0.31944"/>
    <x v="2"/>
    <x v="1"/>
    <x v="4"/>
    <x v="4"/>
  </r>
  <r>
    <s v="ORD-10582"/>
    <x v="374"/>
    <x v="4"/>
    <x v="0"/>
    <s v="PRD-ELE-103"/>
    <s v="Wireless Mouse"/>
    <n v="18"/>
    <n v="2500"/>
    <n v="1854"/>
    <s v="Cash on Delivery"/>
    <s v="Paid"/>
    <n v="45000"/>
    <n v="33372"/>
    <n v="11628"/>
    <n v="0.25840000000000002"/>
    <x v="2"/>
    <x v="0"/>
    <x v="2"/>
    <x v="2"/>
  </r>
  <r>
    <s v="ORD-10583"/>
    <x v="180"/>
    <x v="4"/>
    <x v="1"/>
    <s v="PRD-ELE-105"/>
    <s v="Android Tablet 10inch"/>
    <n v="12"/>
    <n v="28000"/>
    <n v="20171"/>
    <s v="Net Banking"/>
    <s v="Paid"/>
    <n v="336000"/>
    <n v="242052"/>
    <n v="93948"/>
    <n v="0.27960714285714283"/>
    <x v="2"/>
    <x v="0"/>
    <x v="9"/>
    <x v="12"/>
  </r>
  <r>
    <s v="ORD-10584"/>
    <x v="111"/>
    <x v="5"/>
    <x v="1"/>
    <s v="PRD-FUR-202"/>
    <s v="Standing Executive Desk"/>
    <n v="13"/>
    <n v="35000"/>
    <n v="21728"/>
    <s v="Cash on Delivery"/>
    <s v="Paid"/>
    <n v="455000"/>
    <n v="282464"/>
    <n v="172536"/>
    <n v="0.37919999999999998"/>
    <x v="1"/>
    <x v="0"/>
    <x v="11"/>
    <x v="18"/>
  </r>
  <r>
    <s v="ORD-10585"/>
    <x v="22"/>
    <x v="6"/>
    <x v="3"/>
    <s v="PRD-ACC-302"/>
    <s v="Noise Cancelling Headphones"/>
    <n v="11"/>
    <n v="12500"/>
    <n v="7764"/>
    <s v="Credit Card"/>
    <s v="Unknown"/>
    <n v="137500"/>
    <n v="85404"/>
    <n v="52096"/>
    <n v="0.37887999999999999"/>
    <x v="0"/>
    <x v="1"/>
    <x v="3"/>
    <x v="3"/>
  </r>
  <r>
    <s v="ORD-10586"/>
    <x v="79"/>
    <x v="5"/>
    <x v="0"/>
    <s v="PRD-ELE-103"/>
    <s v="Wireless Mouse"/>
    <n v="16"/>
    <n v="2500"/>
    <n v="1515"/>
    <s v="Cash on Delivery"/>
    <s v="Paid"/>
    <n v="40000"/>
    <n v="24240"/>
    <n v="15760"/>
    <n v="0.39400000000000002"/>
    <x v="2"/>
    <x v="1"/>
    <x v="11"/>
    <x v="19"/>
  </r>
  <r>
    <s v="ORD-10587"/>
    <x v="139"/>
    <x v="3"/>
    <x v="1"/>
    <s v="PRD-FUR-201"/>
    <s v="Ergonomic Desk Chair"/>
    <n v="17"/>
    <n v="14000"/>
    <n v="10288"/>
    <s v="Credit Card"/>
    <s v="Pending"/>
    <n v="238000"/>
    <n v="174896"/>
    <n v="63104"/>
    <n v="0.26514285714285712"/>
    <x v="1"/>
    <x v="0"/>
    <x v="5"/>
    <x v="5"/>
  </r>
  <r>
    <s v="ORD-10588"/>
    <x v="375"/>
    <x v="3"/>
    <x v="0"/>
    <s v="PRD-ACC-301"/>
    <s v="USB-C Docking Station"/>
    <n v="14"/>
    <n v="8500"/>
    <n v="5828"/>
    <s v="Net Banking"/>
    <s v="Pending"/>
    <n v="119000"/>
    <n v="81592"/>
    <n v="37408"/>
    <n v="0.31435294117647061"/>
    <x v="0"/>
    <x v="0"/>
    <x v="11"/>
    <x v="18"/>
  </r>
  <r>
    <s v="ORD-10589"/>
    <x v="195"/>
    <x v="4"/>
    <x v="1"/>
    <s v="PRD-ELE-103"/>
    <s v="Wireless Mouse"/>
    <n v="9"/>
    <n v="2500"/>
    <n v="1918"/>
    <s v="Net Banking"/>
    <s v="Pending"/>
    <n v="22500"/>
    <n v="17262"/>
    <n v="5238"/>
    <n v="0.23280000000000001"/>
    <x v="2"/>
    <x v="0"/>
    <x v="8"/>
    <x v="9"/>
  </r>
  <r>
    <s v="ORD-10590"/>
    <x v="376"/>
    <x v="8"/>
    <x v="2"/>
    <s v="PRD-FUR-202"/>
    <s v="Standing Executive Desk"/>
    <n v="1"/>
    <n v="35000"/>
    <n v="25678"/>
    <s v="Net Banking"/>
    <s v="Pending"/>
    <n v="35000"/>
    <n v="25678"/>
    <n v="9322"/>
    <n v="0.26634285714285716"/>
    <x v="1"/>
    <x v="1"/>
    <x v="5"/>
    <x v="7"/>
  </r>
  <r>
    <s v="ORD-10591"/>
    <x v="377"/>
    <x v="3"/>
    <x v="4"/>
    <s v="PRD-ELE-104"/>
    <s v="Core i7 Laptop"/>
    <n v="14"/>
    <n v="75000"/>
    <n v="49772"/>
    <s v="Cash on Delivery"/>
    <s v="Pending"/>
    <n v="1050000"/>
    <n v="696808"/>
    <n v="353192"/>
    <n v="0.33637333333333336"/>
    <x v="2"/>
    <x v="1"/>
    <x v="3"/>
    <x v="3"/>
  </r>
  <r>
    <s v="ORD-10592"/>
    <x v="167"/>
    <x v="2"/>
    <x v="0"/>
    <s v="PRD-ELE-104"/>
    <s v="Core i7 Laptop"/>
    <n v="9"/>
    <n v="75000"/>
    <n v="45933"/>
    <s v="Net Banking"/>
    <s v="Pending"/>
    <n v="675000"/>
    <n v="413397"/>
    <n v="261603"/>
    <n v="0.38756000000000002"/>
    <x v="2"/>
    <x v="1"/>
    <x v="11"/>
    <x v="19"/>
  </r>
  <r>
    <s v="ORD-10593"/>
    <x v="176"/>
    <x v="6"/>
    <x v="4"/>
    <s v="PRD-FUR-201"/>
    <s v="Ergonomic Desk Chair"/>
    <n v="6"/>
    <n v="14000"/>
    <n v="10985"/>
    <s v="Cash on Delivery"/>
    <s v="Paid"/>
    <n v="84000"/>
    <n v="65910"/>
    <n v="18090"/>
    <n v="0.21535714285714286"/>
    <x v="1"/>
    <x v="0"/>
    <x v="3"/>
    <x v="16"/>
  </r>
  <r>
    <s v="ORD-10594"/>
    <x v="34"/>
    <x v="4"/>
    <x v="4"/>
    <s v="PRD-ELE-102"/>
    <s v="Mechanical Keyboard"/>
    <n v="8"/>
    <n v="4500"/>
    <n v="2930"/>
    <s v="Credit Card"/>
    <s v="Pending"/>
    <n v="36000"/>
    <n v="23440"/>
    <n v="12560"/>
    <n v="0.34888888888888892"/>
    <x v="2"/>
    <x v="1"/>
    <x v="8"/>
    <x v="14"/>
  </r>
  <r>
    <s v="ORD-10596"/>
    <x v="116"/>
    <x v="7"/>
    <x v="1"/>
    <s v="PRD-FUR-202"/>
    <s v="Standing Executive Desk"/>
    <n v="10"/>
    <n v="35000"/>
    <n v="26046"/>
    <s v="Net Banking"/>
    <s v="Paid"/>
    <n v="350000"/>
    <n v="260460"/>
    <n v="89540"/>
    <n v="0.25582857142857141"/>
    <x v="1"/>
    <x v="1"/>
    <x v="11"/>
    <x v="19"/>
  </r>
  <r>
    <s v="ORD-10597"/>
    <x v="301"/>
    <x v="8"/>
    <x v="4"/>
    <s v="PRD-ELE-103"/>
    <s v="Wireless Mouse"/>
    <n v="1"/>
    <n v="2500"/>
    <n v="1639"/>
    <s v="UPI"/>
    <s v="Failed"/>
    <n v="2500"/>
    <n v="1639"/>
    <n v="861"/>
    <n v="0.34439999999999998"/>
    <x v="2"/>
    <x v="1"/>
    <x v="9"/>
    <x v="11"/>
  </r>
  <r>
    <s v="ORD-10598"/>
    <x v="378"/>
    <x v="2"/>
    <x v="0"/>
    <s v="PRD-ELE-104"/>
    <s v="Core i7 Laptop"/>
    <n v="10"/>
    <n v="75000"/>
    <n v="51879"/>
    <s v="Net Banking"/>
    <s v="Failed"/>
    <n v="750000"/>
    <n v="518790"/>
    <n v="231210"/>
    <n v="0.30828"/>
    <x v="2"/>
    <x v="1"/>
    <x v="1"/>
    <x v="1"/>
  </r>
  <r>
    <s v="ORD-10599"/>
    <x v="66"/>
    <x v="8"/>
    <x v="4"/>
    <s v="PRD-ACC-302"/>
    <s v="Noise Cancelling Headphones"/>
    <n v="6"/>
    <n v="12500"/>
    <n v="9202"/>
    <s v="Cash on Delivery"/>
    <s v="Paid"/>
    <n v="75000"/>
    <n v="55212"/>
    <n v="19788"/>
    <n v="0.26384000000000002"/>
    <x v="0"/>
    <x v="0"/>
    <x v="0"/>
    <x v="0"/>
  </r>
  <r>
    <s v="ORD-10601"/>
    <x v="379"/>
    <x v="1"/>
    <x v="0"/>
    <s v="PRD-ELE-104"/>
    <s v="Core i7 Laptop"/>
    <n v="2"/>
    <n v="75000"/>
    <n v="56888"/>
    <s v="Net Banking"/>
    <s v="Failed"/>
    <n v="150000"/>
    <n v="113776"/>
    <n v="36224"/>
    <n v="0.24149333333333334"/>
    <x v="2"/>
    <x v="0"/>
    <x v="6"/>
    <x v="15"/>
  </r>
  <r>
    <s v="ORD-10602"/>
    <x v="380"/>
    <x v="7"/>
    <x v="1"/>
    <s v="PRD-ACC-301"/>
    <s v="USB-C Docking Station"/>
    <n v="5"/>
    <n v="8500"/>
    <n v="5180"/>
    <s v="Cash on Delivery"/>
    <s v="Paid"/>
    <n v="42500"/>
    <n v="25900"/>
    <n v="16600"/>
    <n v="0.39058823529411762"/>
    <x v="0"/>
    <x v="1"/>
    <x v="6"/>
    <x v="6"/>
  </r>
  <r>
    <s v="ORD-10603"/>
    <x v="363"/>
    <x v="6"/>
    <x v="0"/>
    <s v="PRD-ELE-101"/>
    <s v="Monitor 27inch"/>
    <n v="14"/>
    <n v="55000"/>
    <n v="36756"/>
    <s v="Credit Card"/>
    <s v="Failed"/>
    <n v="770000"/>
    <n v="514584"/>
    <n v="255416"/>
    <n v="0.3317090909090909"/>
    <x v="2"/>
    <x v="1"/>
    <x v="1"/>
    <x v="1"/>
  </r>
  <r>
    <s v="ORD-10604"/>
    <x v="381"/>
    <x v="0"/>
    <x v="4"/>
    <s v="PRD-ELE-101"/>
    <s v="Monitor 27inch"/>
    <n v="12"/>
    <n v="55000"/>
    <n v="36658"/>
    <s v="UPI"/>
    <s v="Paid"/>
    <n v="660000"/>
    <n v="439896"/>
    <n v="220104"/>
    <n v="0.33349090909090912"/>
    <x v="2"/>
    <x v="1"/>
    <x v="6"/>
    <x v="6"/>
  </r>
  <r>
    <s v="ORD-10605"/>
    <x v="144"/>
    <x v="8"/>
    <x v="3"/>
    <s v="PRD-FUR-202"/>
    <s v="Standing Executive Desk"/>
    <n v="13"/>
    <n v="35000"/>
    <n v="22797"/>
    <s v="Cash on Delivery"/>
    <s v="Paid"/>
    <n v="455000"/>
    <n v="296361"/>
    <n v="158639"/>
    <n v="0.34865714285714283"/>
    <x v="1"/>
    <x v="1"/>
    <x v="11"/>
    <x v="19"/>
  </r>
  <r>
    <s v="ORD-10606"/>
    <x v="382"/>
    <x v="8"/>
    <x v="1"/>
    <s v="PRD-ELE-102"/>
    <s v="Mechanical Keyboard"/>
    <n v="5"/>
    <n v="4500"/>
    <n v="3295"/>
    <s v="Cash on Delivery"/>
    <s v="Paid"/>
    <n v="22500"/>
    <n v="16475"/>
    <n v="6025"/>
    <n v="0.26777777777777778"/>
    <x v="2"/>
    <x v="1"/>
    <x v="10"/>
    <x v="13"/>
  </r>
  <r>
    <s v="ORD-10607"/>
    <x v="139"/>
    <x v="3"/>
    <x v="4"/>
    <s v="PRD-ELE-105"/>
    <s v="Android Tablet 10inch"/>
    <n v="10"/>
    <n v="28000"/>
    <n v="20026"/>
    <s v="Credit Card"/>
    <s v="Paid"/>
    <n v="280000"/>
    <n v="200260"/>
    <n v="79740"/>
    <n v="0.28478571428571431"/>
    <x v="2"/>
    <x v="0"/>
    <x v="5"/>
    <x v="5"/>
  </r>
  <r>
    <s v="ORD-10608"/>
    <x v="383"/>
    <x v="5"/>
    <x v="0"/>
    <s v="PRD-ACC-301"/>
    <s v="USB-C Docking Station"/>
    <n v="2"/>
    <n v="8500"/>
    <n v="5135"/>
    <s v="Credit Card"/>
    <s v="Pending"/>
    <n v="17000"/>
    <n v="10270"/>
    <n v="6730"/>
    <n v="0.39588235294117646"/>
    <x v="0"/>
    <x v="1"/>
    <x v="4"/>
    <x v="4"/>
  </r>
  <r>
    <s v="ORD-10609"/>
    <x v="114"/>
    <x v="6"/>
    <x v="2"/>
    <s v="PRD-ACC-301"/>
    <s v="USB-C Docking Station"/>
    <n v="7"/>
    <n v="8500"/>
    <n v="5613"/>
    <s v="Cash on Delivery"/>
    <s v="Pending"/>
    <n v="59500"/>
    <n v="39291"/>
    <n v="20209"/>
    <n v="0.33964705882352941"/>
    <x v="0"/>
    <x v="0"/>
    <x v="11"/>
    <x v="18"/>
  </r>
  <r>
    <s v="ORD-10610"/>
    <x v="360"/>
    <x v="6"/>
    <x v="1"/>
    <s v="PRD-ACC-302"/>
    <s v="Noise Cancelling Headphones"/>
    <n v="1"/>
    <n v="12500"/>
    <n v="8405"/>
    <s v="Cash on Delivery"/>
    <s v="Paid"/>
    <n v="12500"/>
    <n v="8405"/>
    <n v="4095"/>
    <n v="0.3276"/>
    <x v="0"/>
    <x v="1"/>
    <x v="7"/>
    <x v="8"/>
  </r>
  <r>
    <s v="ORD-10611"/>
    <x v="335"/>
    <x v="5"/>
    <x v="4"/>
    <s v="PRD-ELE-105"/>
    <s v="Android Tablet 10inch"/>
    <n v="1"/>
    <n v="28000"/>
    <n v="18132"/>
    <s v="Credit Card"/>
    <s v="Paid"/>
    <n v="28000"/>
    <n v="18132"/>
    <n v="9868"/>
    <n v="0.35242857142857142"/>
    <x v="2"/>
    <x v="0"/>
    <x v="2"/>
    <x v="2"/>
  </r>
  <r>
    <s v="ORD-10612"/>
    <x v="199"/>
    <x v="1"/>
    <x v="0"/>
    <s v="PRD-FUR-201"/>
    <s v="Ergonomic Desk Chair"/>
    <n v="6"/>
    <n v="14000"/>
    <n v="8856"/>
    <s v="Cash on Delivery"/>
    <s v="Paid"/>
    <n v="84000"/>
    <n v="53136"/>
    <n v="30864"/>
    <n v="0.36742857142857144"/>
    <x v="1"/>
    <x v="0"/>
    <x v="8"/>
    <x v="9"/>
  </r>
  <r>
    <s v="ORD-10613"/>
    <x v="261"/>
    <x v="1"/>
    <x v="3"/>
    <s v="PRD-ACC-301"/>
    <s v="USB-C Docking Station"/>
    <n v="8"/>
    <n v="8500"/>
    <n v="5310"/>
    <s v="Cash on Delivery"/>
    <s v="Failed"/>
    <n v="68000"/>
    <n v="42480"/>
    <n v="25520"/>
    <n v="0.37529411764705883"/>
    <x v="0"/>
    <x v="1"/>
    <x v="9"/>
    <x v="11"/>
  </r>
  <r>
    <s v="ORD-10614"/>
    <x v="185"/>
    <x v="4"/>
    <x v="4"/>
    <s v="PRD-ELE-102"/>
    <s v="Mechanical Keyboard"/>
    <n v="10"/>
    <n v="4500"/>
    <n v="2769"/>
    <s v="Net Banking"/>
    <s v="Paid"/>
    <n v="45000"/>
    <n v="27690"/>
    <n v="17310"/>
    <n v="0.38466666666666666"/>
    <x v="2"/>
    <x v="0"/>
    <x v="6"/>
    <x v="15"/>
  </r>
  <r>
    <s v="ORD-10615"/>
    <x v="384"/>
    <x v="4"/>
    <x v="2"/>
    <s v="PRD-ELE-101"/>
    <s v="Monitor 27inch"/>
    <n v="18"/>
    <n v="55000"/>
    <n v="37123"/>
    <s v="UPI"/>
    <s v="Failed"/>
    <n v="990000"/>
    <n v="668214"/>
    <n v="321786"/>
    <n v="0.32503636363636362"/>
    <x v="2"/>
    <x v="1"/>
    <x v="2"/>
    <x v="10"/>
  </r>
  <r>
    <s v="ORD-10616"/>
    <x v="132"/>
    <x v="2"/>
    <x v="2"/>
    <s v="PRD-ACC-301"/>
    <s v="USB-C Docking Station"/>
    <n v="1"/>
    <n v="8500"/>
    <n v="6126"/>
    <s v="Credit Card"/>
    <s v="Pending"/>
    <n v="8500"/>
    <n v="6126"/>
    <n v="2374"/>
    <n v="0.2792941176470588"/>
    <x v="0"/>
    <x v="1"/>
    <x v="1"/>
    <x v="1"/>
  </r>
  <r>
    <s v="ORD-10617"/>
    <x v="63"/>
    <x v="8"/>
    <x v="3"/>
    <s v="PRD-ELE-103"/>
    <s v="Wireless Mouse"/>
    <n v="7"/>
    <n v="2500"/>
    <n v="1897"/>
    <s v="Cash on Delivery"/>
    <s v="Paid"/>
    <n v="17500"/>
    <n v="13279"/>
    <n v="4221"/>
    <n v="0.2412"/>
    <x v="2"/>
    <x v="0"/>
    <x v="8"/>
    <x v="9"/>
  </r>
  <r>
    <s v="ORD-10618"/>
    <x v="385"/>
    <x v="0"/>
    <x v="0"/>
    <s v="PRD-ELE-102"/>
    <s v="Mechanical Keyboard"/>
    <n v="3"/>
    <n v="4500"/>
    <n v="2921"/>
    <s v="Cash on Delivery"/>
    <s v="Paid"/>
    <n v="13500"/>
    <n v="8763"/>
    <n v="4737"/>
    <n v="0.35088888888888886"/>
    <x v="2"/>
    <x v="0"/>
    <x v="0"/>
    <x v="0"/>
  </r>
  <r>
    <s v="ORD-10619"/>
    <x v="386"/>
    <x v="7"/>
    <x v="3"/>
    <s v="PRD-ACC-302"/>
    <s v="Noise Cancelling Headphones"/>
    <n v="17"/>
    <n v="12500"/>
    <n v="8890"/>
    <s v="Net Banking"/>
    <s v="Pending"/>
    <n v="212500"/>
    <n v="151130"/>
    <n v="61370"/>
    <n v="0.2888"/>
    <x v="0"/>
    <x v="1"/>
    <x v="1"/>
    <x v="1"/>
  </r>
  <r>
    <s v="ORD-10620"/>
    <x v="387"/>
    <x v="2"/>
    <x v="4"/>
    <s v="PRD-ELE-105"/>
    <s v="Android Tablet 10inch"/>
    <n v="12"/>
    <n v="28000"/>
    <n v="21688"/>
    <s v="Cash on Delivery"/>
    <s v="Failed"/>
    <n v="336000"/>
    <n v="260256"/>
    <n v="75744"/>
    <n v="0.22542857142857142"/>
    <x v="2"/>
    <x v="1"/>
    <x v="10"/>
    <x v="13"/>
  </r>
  <r>
    <s v="ORD-10621"/>
    <x v="388"/>
    <x v="6"/>
    <x v="4"/>
    <s v="PRD-ACC-302"/>
    <s v="Noise Cancelling Headphones"/>
    <n v="11"/>
    <n v="12500"/>
    <n v="8378"/>
    <s v="UPI"/>
    <s v="Paid"/>
    <n v="137500"/>
    <n v="92158"/>
    <n v="45342"/>
    <n v="0.32976"/>
    <x v="0"/>
    <x v="1"/>
    <x v="1"/>
    <x v="1"/>
  </r>
  <r>
    <s v="ORD-10622"/>
    <x v="389"/>
    <x v="1"/>
    <x v="1"/>
    <s v="PRD-ACC-302"/>
    <s v="Noise Cancelling Headphones"/>
    <n v="4"/>
    <n v="12500"/>
    <n v="8847"/>
    <s v="Net Banking"/>
    <s v="Failed"/>
    <n v="50000"/>
    <n v="35388"/>
    <n v="14612"/>
    <n v="0.29224"/>
    <x v="0"/>
    <x v="1"/>
    <x v="3"/>
    <x v="3"/>
  </r>
  <r>
    <s v="ORD-10623"/>
    <x v="234"/>
    <x v="3"/>
    <x v="1"/>
    <s v="PRD-ACC-301"/>
    <s v="USB-C Docking Station"/>
    <n v="3"/>
    <n v="8500"/>
    <n v="5123"/>
    <s v="Credit Card"/>
    <s v="Pending"/>
    <n v="25500"/>
    <n v="15369"/>
    <n v="10131"/>
    <n v="0.3972941176470588"/>
    <x v="0"/>
    <x v="1"/>
    <x v="1"/>
    <x v="1"/>
  </r>
  <r>
    <s v="ORD-10624"/>
    <x v="120"/>
    <x v="7"/>
    <x v="1"/>
    <s v="PRD-ELE-104"/>
    <s v="Core i7 Laptop"/>
    <n v="10"/>
    <n v="75000"/>
    <n v="57506"/>
    <s v="UPI"/>
    <s v="Paid"/>
    <n v="750000"/>
    <n v="575060"/>
    <n v="174940"/>
    <n v="0.23325333333333334"/>
    <x v="2"/>
    <x v="0"/>
    <x v="3"/>
    <x v="16"/>
  </r>
  <r>
    <s v="ORD-10625"/>
    <x v="213"/>
    <x v="8"/>
    <x v="0"/>
    <s v="PRD-ELE-101"/>
    <s v="Monitor 27inch"/>
    <n v="8"/>
    <n v="55000"/>
    <n v="35189"/>
    <s v="Credit Card"/>
    <s v="Paid"/>
    <n v="440000"/>
    <n v="281512"/>
    <n v="158488"/>
    <n v="0.36020000000000002"/>
    <x v="2"/>
    <x v="1"/>
    <x v="2"/>
    <x v="10"/>
  </r>
  <r>
    <s v="ORD-10626"/>
    <x v="390"/>
    <x v="1"/>
    <x v="0"/>
    <s v="PRD-ELE-102"/>
    <s v="Mechanical Keyboard"/>
    <n v="9"/>
    <n v="4500"/>
    <n v="3491"/>
    <s v="Credit Card"/>
    <s v="Paid"/>
    <n v="40500"/>
    <n v="31419"/>
    <n v="9081"/>
    <n v="0.22422222222222221"/>
    <x v="2"/>
    <x v="0"/>
    <x v="5"/>
    <x v="5"/>
  </r>
  <r>
    <s v="ORD-10627"/>
    <x v="20"/>
    <x v="1"/>
    <x v="2"/>
    <s v="PRD-ACC-302"/>
    <s v="Noise Cancelling Headphones"/>
    <n v="9"/>
    <n v="12500"/>
    <n v="9182"/>
    <s v="Net Banking"/>
    <s v="Paid"/>
    <n v="112500"/>
    <n v="82638"/>
    <n v="29862"/>
    <n v="0.26544000000000001"/>
    <x v="0"/>
    <x v="0"/>
    <x v="9"/>
    <x v="12"/>
  </r>
  <r>
    <s v="ORD-10628"/>
    <x v="391"/>
    <x v="8"/>
    <x v="1"/>
    <s v="PRD-ELE-103"/>
    <s v="Wireless Mouse"/>
    <n v="15"/>
    <n v="2500"/>
    <n v="1891"/>
    <s v="Cash on Delivery"/>
    <s v="Pending"/>
    <n v="37500"/>
    <n v="28365"/>
    <n v="9135"/>
    <n v="0.24360000000000001"/>
    <x v="2"/>
    <x v="0"/>
    <x v="8"/>
    <x v="9"/>
  </r>
  <r>
    <s v="ORD-10629"/>
    <x v="81"/>
    <x v="0"/>
    <x v="4"/>
    <s v="PRD-ELE-105"/>
    <s v="Android Tablet 10inch"/>
    <n v="12"/>
    <n v="28000"/>
    <n v="17399"/>
    <s v="Net Banking"/>
    <s v="Pending"/>
    <n v="336000"/>
    <n v="208788"/>
    <n v="127212"/>
    <n v="0.37860714285714286"/>
    <x v="2"/>
    <x v="0"/>
    <x v="0"/>
    <x v="0"/>
  </r>
  <r>
    <s v="ORD-10631"/>
    <x v="392"/>
    <x v="5"/>
    <x v="0"/>
    <s v="PRD-ACC-301"/>
    <s v="USB-C Docking Station"/>
    <n v="12"/>
    <n v="8500"/>
    <n v="5294"/>
    <s v="Cash on Delivery"/>
    <s v="Paid"/>
    <n v="102000"/>
    <n v="63528"/>
    <n v="38472"/>
    <n v="0.37717647058823528"/>
    <x v="0"/>
    <x v="1"/>
    <x v="10"/>
    <x v="13"/>
  </r>
  <r>
    <s v="ORD-10632"/>
    <x v="300"/>
    <x v="3"/>
    <x v="3"/>
    <s v="PRD-ELE-105"/>
    <s v="Android Tablet 10inch"/>
    <n v="6"/>
    <n v="28000"/>
    <n v="17760"/>
    <s v="Cash on Delivery"/>
    <s v="Paid"/>
    <n v="168000"/>
    <n v="106560"/>
    <n v="61440"/>
    <n v="0.36571428571428571"/>
    <x v="2"/>
    <x v="1"/>
    <x v="6"/>
    <x v="6"/>
  </r>
  <r>
    <s v="ORD-10633"/>
    <x v="5"/>
    <x v="7"/>
    <x v="0"/>
    <s v="PRD-ELE-103"/>
    <s v="Wireless Mouse"/>
    <n v="12"/>
    <n v="2500"/>
    <n v="1535"/>
    <s v="Cash on Delivery"/>
    <s v="Failed"/>
    <n v="30000"/>
    <n v="18420"/>
    <n v="11580"/>
    <n v="0.38600000000000001"/>
    <x v="2"/>
    <x v="1"/>
    <x v="1"/>
    <x v="1"/>
  </r>
  <r>
    <s v="ORD-10634"/>
    <x v="264"/>
    <x v="6"/>
    <x v="4"/>
    <s v="PRD-ACC-301"/>
    <s v="USB-C Docking Station"/>
    <n v="12"/>
    <n v="8500"/>
    <n v="5102"/>
    <s v="Net Banking"/>
    <s v="Pending"/>
    <n v="102000"/>
    <n v="61224"/>
    <n v="40776"/>
    <n v="0.39976470588235297"/>
    <x v="0"/>
    <x v="0"/>
    <x v="9"/>
    <x v="12"/>
  </r>
  <r>
    <s v="ORD-10635"/>
    <x v="393"/>
    <x v="0"/>
    <x v="2"/>
    <s v="PRD-FUR-202"/>
    <s v="Standing Executive Desk"/>
    <n v="7"/>
    <n v="35000"/>
    <n v="21863"/>
    <s v="Cash on Delivery"/>
    <s v="Failed"/>
    <n v="245000"/>
    <n v="153041"/>
    <n v="91959"/>
    <n v="0.37534285714285714"/>
    <x v="1"/>
    <x v="0"/>
    <x v="5"/>
    <x v="5"/>
  </r>
  <r>
    <s v="ORD-10636"/>
    <x v="375"/>
    <x v="8"/>
    <x v="4"/>
    <s v="PRD-ACC-301"/>
    <s v="USB-C Docking Station"/>
    <n v="18"/>
    <n v="8500"/>
    <n v="5230"/>
    <s v="Net Banking"/>
    <s v="Failed"/>
    <n v="153000"/>
    <n v="94140"/>
    <n v="58860"/>
    <n v="0.38470588235294118"/>
    <x v="0"/>
    <x v="0"/>
    <x v="11"/>
    <x v="18"/>
  </r>
  <r>
    <s v="ORD-10637"/>
    <x v="394"/>
    <x v="3"/>
    <x v="0"/>
    <s v="PRD-ELE-104"/>
    <s v="Core i7 Laptop"/>
    <n v="6"/>
    <n v="75000"/>
    <n v="48203"/>
    <s v="Cash on Delivery"/>
    <s v="Paid"/>
    <n v="450000"/>
    <n v="289218"/>
    <n v="160782"/>
    <n v="0.35729333333333335"/>
    <x v="2"/>
    <x v="1"/>
    <x v="3"/>
    <x v="3"/>
  </r>
  <r>
    <s v="ORD-10638"/>
    <x v="395"/>
    <x v="7"/>
    <x v="0"/>
    <s v="PRD-ELE-104"/>
    <s v="Core i7 Laptop"/>
    <n v="10"/>
    <n v="75000"/>
    <n v="50231"/>
    <s v="Net Banking"/>
    <s v="Pending"/>
    <n v="750000"/>
    <n v="502310"/>
    <n v="247690"/>
    <n v="0.33025333333333334"/>
    <x v="2"/>
    <x v="1"/>
    <x v="4"/>
    <x v="4"/>
  </r>
  <r>
    <s v="ORD-10639"/>
    <x v="146"/>
    <x v="4"/>
    <x v="1"/>
    <s v="PRD-ELE-105"/>
    <s v="Android Tablet 10inch"/>
    <n v="14"/>
    <n v="28000"/>
    <n v="19533"/>
    <s v="Cash on Delivery"/>
    <s v="Failed"/>
    <n v="392000"/>
    <n v="273462"/>
    <n v="118538"/>
    <n v="0.30239285714285713"/>
    <x v="2"/>
    <x v="1"/>
    <x v="9"/>
    <x v="11"/>
  </r>
  <r>
    <s v="ORD-10640"/>
    <x v="5"/>
    <x v="6"/>
    <x v="3"/>
    <s v="PRD-ACC-301"/>
    <s v="USB-C Docking Station"/>
    <n v="16"/>
    <n v="8500"/>
    <n v="5561"/>
    <s v="Cash on Delivery"/>
    <s v="Paid"/>
    <n v="136000"/>
    <n v="88976"/>
    <n v="47024"/>
    <n v="0.34576470588235292"/>
    <x v="0"/>
    <x v="1"/>
    <x v="1"/>
    <x v="1"/>
  </r>
  <r>
    <s v="ORD-10641"/>
    <x v="396"/>
    <x v="4"/>
    <x v="2"/>
    <s v="PRD-ELE-102"/>
    <s v="Mechanical Keyboard"/>
    <n v="8"/>
    <n v="4500"/>
    <n v="3198"/>
    <s v="Cash on Delivery"/>
    <s v="Paid"/>
    <n v="36000"/>
    <n v="25584"/>
    <n v="10416"/>
    <n v="0.28933333333333333"/>
    <x v="2"/>
    <x v="1"/>
    <x v="7"/>
    <x v="8"/>
  </r>
  <r>
    <s v="ORD-10642"/>
    <x v="397"/>
    <x v="5"/>
    <x v="4"/>
    <s v="PRD-FUR-201"/>
    <s v="Ergonomic Desk Chair"/>
    <n v="8"/>
    <n v="14000"/>
    <n v="10009"/>
    <s v="Cash on Delivery"/>
    <s v="Failed"/>
    <n v="112000"/>
    <n v="80072"/>
    <n v="31928"/>
    <n v="0.28507142857142859"/>
    <x v="1"/>
    <x v="1"/>
    <x v="9"/>
    <x v="11"/>
  </r>
  <r>
    <s v="ORD-10643"/>
    <x v="376"/>
    <x v="2"/>
    <x v="4"/>
    <s v="PRD-ELE-103"/>
    <s v="Wireless Mouse"/>
    <n v="1"/>
    <n v="2500"/>
    <n v="1684"/>
    <s v="Cash on Delivery"/>
    <s v="Paid"/>
    <n v="2500"/>
    <n v="1684"/>
    <n v="816"/>
    <n v="0.32640000000000002"/>
    <x v="2"/>
    <x v="1"/>
    <x v="5"/>
    <x v="7"/>
  </r>
  <r>
    <s v="ORD-10644"/>
    <x v="369"/>
    <x v="0"/>
    <x v="0"/>
    <s v="PRD-ELE-101"/>
    <s v="Monitor 27inch"/>
    <n v="17"/>
    <n v="55000"/>
    <n v="35887"/>
    <s v="Cash on Delivery"/>
    <s v="Pending"/>
    <n v="935000"/>
    <n v="610079"/>
    <n v="324921"/>
    <n v="0.34750909090909093"/>
    <x v="2"/>
    <x v="0"/>
    <x v="11"/>
    <x v="18"/>
  </r>
  <r>
    <s v="ORD-10645"/>
    <x v="20"/>
    <x v="7"/>
    <x v="4"/>
    <s v="PRD-ACC-301"/>
    <s v="USB-C Docking Station"/>
    <n v="5"/>
    <n v="8500"/>
    <n v="6386"/>
    <s v="UPI"/>
    <s v="Pending"/>
    <n v="42500"/>
    <n v="31930"/>
    <n v="10570"/>
    <n v="0.24870588235294117"/>
    <x v="0"/>
    <x v="0"/>
    <x v="9"/>
    <x v="12"/>
  </r>
  <r>
    <s v="ORD-10646"/>
    <x v="84"/>
    <x v="7"/>
    <x v="4"/>
    <s v="PRD-ACC-302"/>
    <s v="Noise Cancelling Headphones"/>
    <n v="2"/>
    <n v="12500"/>
    <n v="7695"/>
    <s v="Cash on Delivery"/>
    <s v="Paid"/>
    <n v="25000"/>
    <n v="15390"/>
    <n v="9610"/>
    <n v="0.38440000000000002"/>
    <x v="0"/>
    <x v="1"/>
    <x v="9"/>
    <x v="11"/>
  </r>
  <r>
    <s v="ORD-10647"/>
    <x v="145"/>
    <x v="2"/>
    <x v="0"/>
    <s v="PRD-FUR-201"/>
    <s v="Ergonomic Desk Chair"/>
    <n v="17"/>
    <n v="14000"/>
    <n v="9044"/>
    <s v="Credit Card"/>
    <s v="Paid"/>
    <n v="238000"/>
    <n v="153748"/>
    <n v="84252"/>
    <n v="0.35399999999999998"/>
    <x v="1"/>
    <x v="1"/>
    <x v="8"/>
    <x v="14"/>
  </r>
  <r>
    <s v="ORD-10648"/>
    <x v="398"/>
    <x v="5"/>
    <x v="3"/>
    <s v="PRD-ELE-103"/>
    <s v="Wireless Mouse"/>
    <n v="13"/>
    <n v="2500"/>
    <n v="1755"/>
    <s v="Cash on Delivery"/>
    <s v="Pending"/>
    <n v="32500"/>
    <n v="22815"/>
    <n v="9685"/>
    <n v="0.29799999999999999"/>
    <x v="2"/>
    <x v="0"/>
    <x v="8"/>
    <x v="9"/>
  </r>
  <r>
    <s v="ORD-10649"/>
    <x v="166"/>
    <x v="5"/>
    <x v="2"/>
    <s v="PRD-FUR-201"/>
    <s v="Ergonomic Desk Chair"/>
    <n v="11"/>
    <n v="14000"/>
    <n v="10408"/>
    <s v="Cash on Delivery"/>
    <s v="Failed"/>
    <n v="154000"/>
    <n v="114488"/>
    <n v="39512"/>
    <n v="0.25657142857142856"/>
    <x v="1"/>
    <x v="1"/>
    <x v="5"/>
    <x v="7"/>
  </r>
  <r>
    <s v="ORD-10650"/>
    <x v="399"/>
    <x v="8"/>
    <x v="2"/>
    <s v="PRD-FUR-201"/>
    <s v="Ergonomic Desk Chair"/>
    <n v="12"/>
    <n v="14000"/>
    <n v="9804"/>
    <s v="Cash on Delivery"/>
    <s v="Pending"/>
    <n v="168000"/>
    <n v="117648"/>
    <n v="50352"/>
    <n v="0.29971428571428571"/>
    <x v="1"/>
    <x v="1"/>
    <x v="8"/>
    <x v="14"/>
  </r>
  <r>
    <s v="ORD-10651"/>
    <x v="244"/>
    <x v="5"/>
    <x v="1"/>
    <s v="PRD-ACC-302"/>
    <s v="Noise Cancelling Headphones"/>
    <n v="2"/>
    <n v="12500"/>
    <n v="9698"/>
    <s v="Credit Card"/>
    <s v="Pending"/>
    <n v="25000"/>
    <n v="19396"/>
    <n v="5604"/>
    <n v="0.22416"/>
    <x v="0"/>
    <x v="1"/>
    <x v="0"/>
    <x v="17"/>
  </r>
  <r>
    <s v="ORD-10652"/>
    <x v="400"/>
    <x v="7"/>
    <x v="2"/>
    <s v="PRD-ELE-102"/>
    <s v="Mechanical Keyboard"/>
    <n v="5"/>
    <n v="4500"/>
    <n v="2713"/>
    <s v="UPI"/>
    <s v="Paid"/>
    <n v="22500"/>
    <n v="13565"/>
    <n v="8935"/>
    <n v="0.39711111111111114"/>
    <x v="2"/>
    <x v="0"/>
    <x v="3"/>
    <x v="16"/>
  </r>
  <r>
    <s v="ORD-10653"/>
    <x v="143"/>
    <x v="8"/>
    <x v="0"/>
    <s v="PRD-ACC-302"/>
    <s v="Noise Cancelling Headphones"/>
    <n v="10"/>
    <n v="12500"/>
    <n v="7535"/>
    <s v="Net Banking"/>
    <s v="Paid"/>
    <n v="125000"/>
    <n v="75350"/>
    <n v="49650"/>
    <n v="0.3972"/>
    <x v="0"/>
    <x v="0"/>
    <x v="6"/>
    <x v="15"/>
  </r>
  <r>
    <s v="ORD-10654"/>
    <x v="401"/>
    <x v="3"/>
    <x v="3"/>
    <s v="PRD-ELE-105"/>
    <s v="Android Tablet 10inch"/>
    <n v="11"/>
    <n v="28000"/>
    <n v="21788"/>
    <s v="Net Banking"/>
    <s v="Failed"/>
    <n v="308000"/>
    <n v="239668"/>
    <n v="68332"/>
    <n v="0.22185714285714286"/>
    <x v="2"/>
    <x v="0"/>
    <x v="0"/>
    <x v="0"/>
  </r>
  <r>
    <s v="ORD-10655"/>
    <x v="254"/>
    <x v="5"/>
    <x v="4"/>
    <s v="PRD-ELE-104"/>
    <s v="Core i7 Laptop"/>
    <n v="8"/>
    <n v="75000"/>
    <n v="46968"/>
    <s v="Cash on Delivery"/>
    <s v="Pending"/>
    <n v="600000"/>
    <n v="375744"/>
    <n v="224256"/>
    <n v="0.37375999999999998"/>
    <x v="2"/>
    <x v="1"/>
    <x v="10"/>
    <x v="13"/>
  </r>
  <r>
    <s v="ORD-10656"/>
    <x v="183"/>
    <x v="0"/>
    <x v="0"/>
    <s v="PRD-ELE-104"/>
    <s v="Core i7 Laptop"/>
    <n v="8"/>
    <n v="75000"/>
    <n v="58473"/>
    <s v="Net Banking"/>
    <s v="Paid"/>
    <n v="600000"/>
    <n v="467784"/>
    <n v="132216"/>
    <n v="0.22036"/>
    <x v="2"/>
    <x v="0"/>
    <x v="11"/>
    <x v="18"/>
  </r>
  <r>
    <s v="ORD-10657"/>
    <x v="402"/>
    <x v="8"/>
    <x v="4"/>
    <s v="PRD-FUR-201"/>
    <s v="Ergonomic Desk Chair"/>
    <n v="15"/>
    <n v="14000"/>
    <n v="10603"/>
    <s v="UPI"/>
    <s v="Failed"/>
    <n v="210000"/>
    <n v="159045"/>
    <n v="50955"/>
    <n v="0.24264285714285713"/>
    <x v="1"/>
    <x v="1"/>
    <x v="4"/>
    <x v="4"/>
  </r>
  <r>
    <s v="ORD-10658"/>
    <x v="268"/>
    <x v="4"/>
    <x v="4"/>
    <s v="PRD-ELE-104"/>
    <s v="Core i7 Laptop"/>
    <n v="9"/>
    <n v="75000"/>
    <n v="52752"/>
    <s v="UPI"/>
    <s v="Pending"/>
    <n v="675000"/>
    <n v="474768"/>
    <n v="200232"/>
    <n v="0.29664000000000001"/>
    <x v="2"/>
    <x v="0"/>
    <x v="0"/>
    <x v="0"/>
  </r>
  <r>
    <s v="ORD-10659"/>
    <x v="226"/>
    <x v="5"/>
    <x v="1"/>
    <s v="PRD-ACC-302"/>
    <s v="Noise Cancelling Headphones"/>
    <n v="8"/>
    <n v="12500"/>
    <n v="9417"/>
    <s v="Cash on Delivery"/>
    <s v="Failed"/>
    <n v="100000"/>
    <n v="75336"/>
    <n v="24664"/>
    <n v="0.24664"/>
    <x v="0"/>
    <x v="0"/>
    <x v="5"/>
    <x v="5"/>
  </r>
  <r>
    <s v="ORD-10660"/>
    <x v="14"/>
    <x v="3"/>
    <x v="0"/>
    <s v="PRD-FUR-202"/>
    <s v="Standing Executive Desk"/>
    <n v="11"/>
    <n v="35000"/>
    <n v="27787"/>
    <s v="Credit Card"/>
    <s v="Pending"/>
    <n v="385000"/>
    <n v="305657"/>
    <n v="79343"/>
    <n v="0.20608571428571429"/>
    <x v="1"/>
    <x v="0"/>
    <x v="8"/>
    <x v="9"/>
  </r>
  <r>
    <s v="ORD-10661"/>
    <x v="403"/>
    <x v="3"/>
    <x v="0"/>
    <s v="PRD-ACC-302"/>
    <s v="Noise Cancelling Headphones"/>
    <n v="18"/>
    <n v="12500"/>
    <n v="9690"/>
    <s v="Cash on Delivery"/>
    <s v="Paid"/>
    <n v="225000"/>
    <n v="174420"/>
    <n v="50580"/>
    <n v="0.2248"/>
    <x v="0"/>
    <x v="0"/>
    <x v="8"/>
    <x v="9"/>
  </r>
  <r>
    <s v="ORD-10662"/>
    <x v="221"/>
    <x v="7"/>
    <x v="4"/>
    <s v="PRD-ELE-103"/>
    <s v="Wireless Mouse"/>
    <n v="10"/>
    <n v="2500"/>
    <n v="1620"/>
    <s v="Net Banking"/>
    <s v="Pending"/>
    <n v="25000"/>
    <n v="16200"/>
    <n v="8800"/>
    <n v="0.35199999999999998"/>
    <x v="2"/>
    <x v="1"/>
    <x v="5"/>
    <x v="7"/>
  </r>
  <r>
    <s v="ORD-10663"/>
    <x v="345"/>
    <x v="5"/>
    <x v="1"/>
    <s v="PRD-ELE-103"/>
    <s v="Wireless Mouse"/>
    <n v="16"/>
    <n v="2500"/>
    <n v="1640"/>
    <s v="Cash on Delivery"/>
    <s v="Pending"/>
    <n v="40000"/>
    <n v="26240"/>
    <n v="13760"/>
    <n v="0.34399999999999997"/>
    <x v="2"/>
    <x v="1"/>
    <x v="5"/>
    <x v="7"/>
  </r>
  <r>
    <s v="ORD-10664"/>
    <x v="404"/>
    <x v="8"/>
    <x v="0"/>
    <s v="PRD-ELE-103"/>
    <s v="Wireless Mouse"/>
    <n v="10"/>
    <n v="2500"/>
    <n v="1581"/>
    <s v="UPI"/>
    <s v="Paid"/>
    <n v="25000"/>
    <n v="15810"/>
    <n v="9190"/>
    <n v="0.36759999999999998"/>
    <x v="2"/>
    <x v="1"/>
    <x v="2"/>
    <x v="10"/>
  </r>
  <r>
    <s v="ORD-10666"/>
    <x v="105"/>
    <x v="0"/>
    <x v="4"/>
    <s v="PRD-FUR-201"/>
    <s v="Ergonomic Desk Chair"/>
    <n v="1"/>
    <n v="14000"/>
    <n v="10142"/>
    <s v="Credit Card"/>
    <s v="Pending"/>
    <n v="14000"/>
    <n v="10142"/>
    <n v="3858"/>
    <n v="0.27557142857142858"/>
    <x v="1"/>
    <x v="1"/>
    <x v="4"/>
    <x v="4"/>
  </r>
  <r>
    <s v="ORD-10667"/>
    <x v="96"/>
    <x v="0"/>
    <x v="2"/>
    <s v="PRD-FUR-202"/>
    <s v="Standing Executive Desk"/>
    <n v="9"/>
    <n v="35000"/>
    <n v="25174"/>
    <s v="Cash on Delivery"/>
    <s v="Failed"/>
    <n v="315000"/>
    <n v="226566"/>
    <n v="88434"/>
    <n v="0.28074285714285713"/>
    <x v="1"/>
    <x v="1"/>
    <x v="4"/>
    <x v="4"/>
  </r>
  <r>
    <s v="ORD-10668"/>
    <x v="405"/>
    <x v="6"/>
    <x v="2"/>
    <s v="PRD-ELE-105"/>
    <s v="Android Tablet 10inch"/>
    <n v="19"/>
    <n v="28000"/>
    <n v="22125"/>
    <s v="UPI"/>
    <s v="Paid"/>
    <n v="532000"/>
    <n v="420375"/>
    <n v="111625"/>
    <n v="0.20982142857142858"/>
    <x v="2"/>
    <x v="0"/>
    <x v="9"/>
    <x v="12"/>
  </r>
  <r>
    <s v="ORD-10669"/>
    <x v="37"/>
    <x v="4"/>
    <x v="1"/>
    <s v="PRD-ACC-302"/>
    <s v="Noise Cancelling Headphones"/>
    <n v="11"/>
    <n v="12500"/>
    <n v="8193"/>
    <s v="Cash on Delivery"/>
    <s v="Pending"/>
    <n v="137500"/>
    <n v="90123"/>
    <n v="47377"/>
    <n v="0.34455999999999998"/>
    <x v="0"/>
    <x v="1"/>
    <x v="6"/>
    <x v="6"/>
  </r>
  <r>
    <s v="ORD-10670"/>
    <x v="406"/>
    <x v="2"/>
    <x v="2"/>
    <s v="PRD-ELE-101"/>
    <s v="Monitor 27inch"/>
    <n v="11"/>
    <n v="55000"/>
    <n v="33521"/>
    <s v="Credit Card"/>
    <s v="Pending"/>
    <n v="605000"/>
    <n v="368731"/>
    <n v="236269"/>
    <n v="0.39052727272727272"/>
    <x v="2"/>
    <x v="1"/>
    <x v="7"/>
    <x v="8"/>
  </r>
  <r>
    <s v="ORD-10671"/>
    <x v="407"/>
    <x v="4"/>
    <x v="3"/>
    <s v="PRD-FUR-201"/>
    <s v="Ergonomic Desk Chair"/>
    <n v="11"/>
    <n v="14000"/>
    <n v="8690"/>
    <s v="Net Banking"/>
    <s v="Pending"/>
    <n v="154000"/>
    <n v="95590"/>
    <n v="58410"/>
    <n v="0.37928571428571428"/>
    <x v="1"/>
    <x v="1"/>
    <x v="4"/>
    <x v="4"/>
  </r>
  <r>
    <s v="ORD-10672"/>
    <x v="408"/>
    <x v="6"/>
    <x v="3"/>
    <s v="PRD-ACC-302"/>
    <s v="Noise Cancelling Headphones"/>
    <n v="6"/>
    <n v="12500"/>
    <n v="9324"/>
    <s v="Cash on Delivery"/>
    <s v="Paid"/>
    <n v="75000"/>
    <n v="55944"/>
    <n v="19056"/>
    <n v="0.25407999999999997"/>
    <x v="0"/>
    <x v="0"/>
    <x v="9"/>
    <x v="12"/>
  </r>
  <r>
    <s v="ORD-10673"/>
    <x v="379"/>
    <x v="2"/>
    <x v="1"/>
    <s v="PRD-ACC-301"/>
    <s v="USB-C Docking Station"/>
    <n v="10"/>
    <n v="8500"/>
    <n v="6269"/>
    <s v="Credit Card"/>
    <s v="Pending"/>
    <n v="85000"/>
    <n v="62690"/>
    <n v="22310"/>
    <n v="0.26247058823529412"/>
    <x v="0"/>
    <x v="0"/>
    <x v="6"/>
    <x v="15"/>
  </r>
  <r>
    <s v="ORD-10674"/>
    <x v="29"/>
    <x v="7"/>
    <x v="1"/>
    <s v="PRD-ELE-105"/>
    <s v="Android Tablet 10inch"/>
    <n v="13"/>
    <n v="28000"/>
    <n v="17257"/>
    <s v="UPI"/>
    <s v="Pending"/>
    <n v="364000"/>
    <n v="224341"/>
    <n v="139659"/>
    <n v="0.38367857142857142"/>
    <x v="2"/>
    <x v="1"/>
    <x v="8"/>
    <x v="14"/>
  </r>
  <r>
    <s v="ORD-10675"/>
    <x v="409"/>
    <x v="3"/>
    <x v="4"/>
    <s v="PRD-ELE-103"/>
    <s v="Wireless Mouse"/>
    <n v="8"/>
    <n v="2500"/>
    <n v="1834"/>
    <s v="Credit Card"/>
    <s v="Unknown"/>
    <n v="20000"/>
    <n v="14672"/>
    <n v="5328"/>
    <n v="0.26640000000000003"/>
    <x v="2"/>
    <x v="0"/>
    <x v="3"/>
    <x v="16"/>
  </r>
  <r>
    <s v="ORD-10676"/>
    <x v="39"/>
    <x v="7"/>
    <x v="0"/>
    <s v="PRD-ELE-105"/>
    <s v="Android Tablet 10inch"/>
    <n v="4"/>
    <n v="28000"/>
    <n v="18022"/>
    <s v="Cash on Delivery"/>
    <s v="Paid"/>
    <n v="112000"/>
    <n v="72088"/>
    <n v="39912"/>
    <n v="0.35635714285714287"/>
    <x v="2"/>
    <x v="1"/>
    <x v="6"/>
    <x v="6"/>
  </r>
  <r>
    <s v="ORD-10677"/>
    <x v="410"/>
    <x v="2"/>
    <x v="4"/>
    <s v="PRD-ELE-103"/>
    <s v="Wireless Mouse"/>
    <n v="18"/>
    <n v="2500"/>
    <n v="1721"/>
    <s v="Cash on Delivery"/>
    <s v="Paid"/>
    <n v="45000"/>
    <n v="30978"/>
    <n v="14022"/>
    <n v="0.31159999999999999"/>
    <x v="2"/>
    <x v="0"/>
    <x v="2"/>
    <x v="2"/>
  </r>
  <r>
    <s v="ORD-10678"/>
    <x v="73"/>
    <x v="3"/>
    <x v="3"/>
    <s v="PRD-ACC-301"/>
    <s v="USB-C Docking Station"/>
    <n v="7"/>
    <n v="8500"/>
    <n v="5577"/>
    <s v="UPI"/>
    <s v="Pending"/>
    <n v="59500"/>
    <n v="39039"/>
    <n v="20461"/>
    <n v="0.34388235294117647"/>
    <x v="0"/>
    <x v="0"/>
    <x v="3"/>
    <x v="16"/>
  </r>
  <r>
    <s v="ORD-10679"/>
    <x v="115"/>
    <x v="4"/>
    <x v="0"/>
    <s v="PRD-FUR-202"/>
    <s v="Standing Executive Desk"/>
    <n v="2"/>
    <n v="35000"/>
    <n v="26173"/>
    <s v="Net Banking"/>
    <s v="Paid"/>
    <n v="70000"/>
    <n v="52346"/>
    <n v="17654"/>
    <n v="0.25219999999999998"/>
    <x v="1"/>
    <x v="1"/>
    <x v="0"/>
    <x v="17"/>
  </r>
  <r>
    <s v="ORD-10680"/>
    <x v="26"/>
    <x v="3"/>
    <x v="0"/>
    <s v="PRD-FUR-201"/>
    <s v="Ergonomic Desk Chair"/>
    <n v="7"/>
    <n v="14000"/>
    <n v="11160"/>
    <s v="Credit Card"/>
    <s v="Pending"/>
    <n v="98000"/>
    <n v="78120"/>
    <n v="19880"/>
    <n v="0.20285714285714285"/>
    <x v="1"/>
    <x v="0"/>
    <x v="9"/>
    <x v="12"/>
  </r>
  <r>
    <s v="ORD-10681"/>
    <x v="371"/>
    <x v="4"/>
    <x v="3"/>
    <s v="PRD-ACC-302"/>
    <s v="Noise Cancelling Headphones"/>
    <n v="14"/>
    <n v="12500"/>
    <n v="9646"/>
    <s v="Credit Card"/>
    <s v="Paid"/>
    <n v="175000"/>
    <n v="135044"/>
    <n v="39956"/>
    <n v="0.22832"/>
    <x v="0"/>
    <x v="1"/>
    <x v="10"/>
    <x v="13"/>
  </r>
  <r>
    <s v="ORD-10682"/>
    <x v="100"/>
    <x v="8"/>
    <x v="0"/>
    <s v="PRD-ELE-102"/>
    <s v="Mechanical Keyboard"/>
    <n v="11"/>
    <n v="4500"/>
    <n v="3315"/>
    <s v="Cash on Delivery"/>
    <s v="Paid"/>
    <n v="49500"/>
    <n v="36465"/>
    <n v="13035"/>
    <n v="0.26333333333333331"/>
    <x v="2"/>
    <x v="1"/>
    <x v="8"/>
    <x v="14"/>
  </r>
  <r>
    <s v="ORD-10683"/>
    <x v="133"/>
    <x v="2"/>
    <x v="4"/>
    <s v="PRD-ACC-302"/>
    <s v="Noise Cancelling Headphones"/>
    <n v="17"/>
    <n v="12500"/>
    <n v="9638"/>
    <s v="Net Banking"/>
    <s v="Failed"/>
    <n v="212500"/>
    <n v="163846"/>
    <n v="48654"/>
    <n v="0.22896"/>
    <x v="0"/>
    <x v="1"/>
    <x v="3"/>
    <x v="3"/>
  </r>
  <r>
    <s v="ORD-10684"/>
    <x v="162"/>
    <x v="0"/>
    <x v="3"/>
    <s v="PRD-ACC-302"/>
    <s v="Noise Cancelling Headphones"/>
    <n v="10"/>
    <n v="12500"/>
    <n v="9854"/>
    <s v="Net Banking"/>
    <s v="Pending"/>
    <n v="125000"/>
    <n v="98540"/>
    <n v="26460"/>
    <n v="0.21168000000000001"/>
    <x v="0"/>
    <x v="1"/>
    <x v="7"/>
    <x v="8"/>
  </r>
  <r>
    <s v="ORD-10685"/>
    <x v="284"/>
    <x v="2"/>
    <x v="3"/>
    <s v="PRD-ACC-301"/>
    <s v="USB-C Docking Station"/>
    <n v="11"/>
    <n v="8500"/>
    <n v="6576"/>
    <s v="Credit Card"/>
    <s v="Paid"/>
    <n v="93500"/>
    <n v="72336"/>
    <n v="21164"/>
    <n v="0.22635294117647059"/>
    <x v="0"/>
    <x v="1"/>
    <x v="5"/>
    <x v="7"/>
  </r>
  <r>
    <s v="ORD-10686"/>
    <x v="411"/>
    <x v="4"/>
    <x v="4"/>
    <s v="PRD-ELE-104"/>
    <s v="Core i7 Laptop"/>
    <n v="4"/>
    <n v="75000"/>
    <n v="58109"/>
    <s v="UPI"/>
    <s v="Paid"/>
    <n v="300000"/>
    <n v="232436"/>
    <n v="67564"/>
    <n v="0.22521333333333332"/>
    <x v="2"/>
    <x v="0"/>
    <x v="2"/>
    <x v="2"/>
  </r>
  <r>
    <s v="ORD-10687"/>
    <x v="101"/>
    <x v="5"/>
    <x v="2"/>
    <s v="PRD-ACC-301"/>
    <s v="USB-C Docking Station"/>
    <n v="7"/>
    <n v="8500"/>
    <n v="6295"/>
    <s v="Cash on Delivery"/>
    <s v="Pending"/>
    <n v="59500"/>
    <n v="44065"/>
    <n v="15435"/>
    <n v="0.25941176470588234"/>
    <x v="0"/>
    <x v="1"/>
    <x v="7"/>
    <x v="8"/>
  </r>
  <r>
    <s v="ORD-10688"/>
    <x v="221"/>
    <x v="2"/>
    <x v="1"/>
    <s v="PRD-ELE-103"/>
    <s v="Wireless Mouse"/>
    <n v="9"/>
    <n v="2500"/>
    <n v="1704"/>
    <s v="Net Banking"/>
    <s v="Failed"/>
    <n v="22500"/>
    <n v="15336"/>
    <n v="7164"/>
    <n v="0.31840000000000002"/>
    <x v="2"/>
    <x v="1"/>
    <x v="5"/>
    <x v="7"/>
  </r>
  <r>
    <s v="ORD-10689"/>
    <x v="172"/>
    <x v="3"/>
    <x v="1"/>
    <s v="PRD-ACC-302"/>
    <s v="Noise Cancelling Headphones"/>
    <n v="13"/>
    <n v="12500"/>
    <n v="9030"/>
    <s v="Cash on Delivery"/>
    <s v="Paid"/>
    <n v="162500"/>
    <n v="117390"/>
    <n v="45110"/>
    <n v="0.27760000000000001"/>
    <x v="0"/>
    <x v="0"/>
    <x v="5"/>
    <x v="5"/>
  </r>
  <r>
    <s v="ORD-10690"/>
    <x v="340"/>
    <x v="5"/>
    <x v="0"/>
    <s v="PRD-FUR-201"/>
    <s v="Ergonomic Desk Chair"/>
    <n v="11"/>
    <n v="14000"/>
    <n v="11037"/>
    <s v="Credit Card"/>
    <s v="Paid"/>
    <n v="154000"/>
    <n v="121407"/>
    <n v="32593"/>
    <n v="0.21164285714285713"/>
    <x v="1"/>
    <x v="1"/>
    <x v="3"/>
    <x v="3"/>
  </r>
  <r>
    <s v="ORD-10691"/>
    <x v="412"/>
    <x v="5"/>
    <x v="3"/>
    <s v="PRD-ACC-302"/>
    <s v="Noise Cancelling Headphones"/>
    <n v="15"/>
    <n v="12500"/>
    <n v="7785"/>
    <s v="Cash on Delivery"/>
    <s v="Pending"/>
    <n v="187500"/>
    <n v="116775"/>
    <n v="70725"/>
    <n v="0.37719999999999998"/>
    <x v="0"/>
    <x v="0"/>
    <x v="3"/>
    <x v="16"/>
  </r>
  <r>
    <s v="ORD-10692"/>
    <x v="248"/>
    <x v="7"/>
    <x v="0"/>
    <s v="PRD-ELE-101"/>
    <s v="Monitor 27inch"/>
    <n v="19"/>
    <n v="55000"/>
    <n v="40694"/>
    <s v="Net Banking"/>
    <s v="Pending"/>
    <n v="1045000"/>
    <n v="773186"/>
    <n v="271814"/>
    <n v="0.2601090909090909"/>
    <x v="2"/>
    <x v="1"/>
    <x v="6"/>
    <x v="6"/>
  </r>
  <r>
    <s v="ORD-10693"/>
    <x v="70"/>
    <x v="4"/>
    <x v="0"/>
    <s v="PRD-ELE-102"/>
    <s v="Mechanical Keyboard"/>
    <n v="7"/>
    <n v="4500"/>
    <n v="2713"/>
    <s v="Cash on Delivery"/>
    <s v="Pending"/>
    <n v="31500"/>
    <n v="18991"/>
    <n v="12509"/>
    <n v="0.39711111111111114"/>
    <x v="2"/>
    <x v="0"/>
    <x v="9"/>
    <x v="12"/>
  </r>
  <r>
    <s v="ORD-10694"/>
    <x v="159"/>
    <x v="2"/>
    <x v="4"/>
    <s v="PRD-ELE-101"/>
    <s v="Monitor 27inch"/>
    <n v="3"/>
    <n v="55000"/>
    <n v="36971"/>
    <s v="Cash on Delivery"/>
    <s v="Pending"/>
    <n v="165000"/>
    <n v="110913"/>
    <n v="54087"/>
    <n v="0.32779999999999998"/>
    <x v="2"/>
    <x v="1"/>
    <x v="6"/>
    <x v="6"/>
  </r>
  <r>
    <s v="ORD-10695"/>
    <x v="233"/>
    <x v="3"/>
    <x v="0"/>
    <s v="PRD-ELE-102"/>
    <s v="Mechanical Keyboard"/>
    <n v="7"/>
    <n v="4500"/>
    <n v="2954"/>
    <s v="Cash on Delivery"/>
    <s v="Failed"/>
    <n v="31500"/>
    <n v="20678"/>
    <n v="10822"/>
    <n v="0.34355555555555556"/>
    <x v="2"/>
    <x v="1"/>
    <x v="4"/>
    <x v="4"/>
  </r>
  <r>
    <s v="ORD-10696"/>
    <x v="413"/>
    <x v="3"/>
    <x v="1"/>
    <s v="PRD-ELE-103"/>
    <s v="Wireless Mouse"/>
    <n v="6"/>
    <n v="2500"/>
    <n v="1521"/>
    <s v="UPI"/>
    <s v="Pending"/>
    <n v="15000"/>
    <n v="9126"/>
    <n v="5874"/>
    <n v="0.3916"/>
    <x v="2"/>
    <x v="1"/>
    <x v="10"/>
    <x v="13"/>
  </r>
  <r>
    <s v="ORD-10697"/>
    <x v="251"/>
    <x v="1"/>
    <x v="1"/>
    <s v="PRD-ELE-102"/>
    <s v="Mechanical Keyboard"/>
    <n v="16"/>
    <n v="4500"/>
    <n v="3250"/>
    <s v="Cash on Delivery"/>
    <s v="Pending"/>
    <n v="72000"/>
    <n v="52000"/>
    <n v="20000"/>
    <n v="0.27777777777777779"/>
    <x v="2"/>
    <x v="0"/>
    <x v="8"/>
    <x v="9"/>
  </r>
  <r>
    <s v="ORD-10698"/>
    <x v="199"/>
    <x v="8"/>
    <x v="2"/>
    <s v="PRD-FUR-201"/>
    <s v="Ergonomic Desk Chair"/>
    <n v="8"/>
    <n v="14000"/>
    <n v="10958"/>
    <s v="Cash on Delivery"/>
    <s v="Pending"/>
    <n v="112000"/>
    <n v="87664"/>
    <n v="24336"/>
    <n v="0.21728571428571428"/>
    <x v="1"/>
    <x v="0"/>
    <x v="8"/>
    <x v="9"/>
  </r>
  <r>
    <s v="ORD-10699"/>
    <x v="361"/>
    <x v="0"/>
    <x v="1"/>
    <s v="PRD-ELE-102"/>
    <s v="Mechanical Keyboard"/>
    <n v="13"/>
    <n v="4500"/>
    <n v="3586"/>
    <s v="UPI"/>
    <s v="Paid"/>
    <n v="58500"/>
    <n v="46618"/>
    <n v="11882"/>
    <n v="0.2031111111111111"/>
    <x v="2"/>
    <x v="1"/>
    <x v="5"/>
    <x v="7"/>
  </r>
  <r>
    <s v="ORD-10701"/>
    <x v="414"/>
    <x v="0"/>
    <x v="0"/>
    <s v="PRD-FUR-201"/>
    <s v="Ergonomic Desk Chair"/>
    <n v="6"/>
    <n v="14000"/>
    <n v="9432"/>
    <s v="UPI"/>
    <s v="Paid"/>
    <n v="84000"/>
    <n v="56592"/>
    <n v="27408"/>
    <n v="0.32628571428571429"/>
    <x v="1"/>
    <x v="1"/>
    <x v="11"/>
    <x v="19"/>
  </r>
  <r>
    <s v="ORD-10702"/>
    <x v="415"/>
    <x v="3"/>
    <x v="4"/>
    <s v="PRD-ELE-103"/>
    <s v="Wireless Mouse"/>
    <n v="13"/>
    <n v="2500"/>
    <n v="1667"/>
    <s v="UPI"/>
    <s v="Paid"/>
    <n v="32500"/>
    <n v="21671"/>
    <n v="10829"/>
    <n v="0.3332"/>
    <x v="2"/>
    <x v="1"/>
    <x v="8"/>
    <x v="14"/>
  </r>
  <r>
    <s v="ORD-10703"/>
    <x v="416"/>
    <x v="1"/>
    <x v="4"/>
    <s v="PRD-ELE-102"/>
    <s v="Mechanical Keyboard"/>
    <n v="19"/>
    <n v="4500"/>
    <n v="3220"/>
    <s v="UPI"/>
    <s v="Failed"/>
    <n v="85500"/>
    <n v="61180"/>
    <n v="24320"/>
    <n v="0.28444444444444444"/>
    <x v="2"/>
    <x v="1"/>
    <x v="6"/>
    <x v="6"/>
  </r>
  <r>
    <s v="ORD-10704"/>
    <x v="417"/>
    <x v="4"/>
    <x v="4"/>
    <s v="PRD-ELE-105"/>
    <s v="Android Tablet 10inch"/>
    <n v="15"/>
    <n v="28000"/>
    <n v="20017"/>
    <s v="Cash on Delivery"/>
    <s v="Failed"/>
    <n v="420000"/>
    <n v="300255"/>
    <n v="119745"/>
    <n v="0.28510714285714284"/>
    <x v="2"/>
    <x v="1"/>
    <x v="5"/>
    <x v="7"/>
  </r>
  <r>
    <s v="ORD-10705"/>
    <x v="418"/>
    <x v="0"/>
    <x v="4"/>
    <s v="PRD-ELE-104"/>
    <s v="Core i7 Laptop"/>
    <n v="17"/>
    <n v="75000"/>
    <n v="50149"/>
    <s v="Cash on Delivery"/>
    <s v="Paid"/>
    <n v="1275000"/>
    <n v="852533"/>
    <n v="422467"/>
    <n v="0.33134666666666668"/>
    <x v="2"/>
    <x v="0"/>
    <x v="2"/>
    <x v="2"/>
  </r>
  <r>
    <s v="ORD-10706"/>
    <x v="60"/>
    <x v="1"/>
    <x v="4"/>
    <s v="PRD-FUR-202"/>
    <s v="Standing Executive Desk"/>
    <n v="3"/>
    <n v="35000"/>
    <n v="26819"/>
    <s v="UPI"/>
    <s v="Pending"/>
    <n v="105000"/>
    <n v="80457"/>
    <n v="24543"/>
    <n v="0.23374285714285714"/>
    <x v="1"/>
    <x v="0"/>
    <x v="11"/>
    <x v="18"/>
  </r>
  <r>
    <s v="ORD-10707"/>
    <x v="31"/>
    <x v="7"/>
    <x v="4"/>
    <s v="PRD-ELE-104"/>
    <s v="Core i7 Laptop"/>
    <n v="5"/>
    <n v="75000"/>
    <n v="52148"/>
    <s v="Net Banking"/>
    <s v="Pending"/>
    <n v="375000"/>
    <n v="260740"/>
    <n v="114260"/>
    <n v="0.30469333333333332"/>
    <x v="2"/>
    <x v="0"/>
    <x v="6"/>
    <x v="15"/>
  </r>
  <r>
    <s v="ORD-10708"/>
    <x v="332"/>
    <x v="4"/>
    <x v="4"/>
    <s v="PRD-ELE-105"/>
    <s v="Android Tablet 10inch"/>
    <n v="12"/>
    <n v="28000"/>
    <n v="20028"/>
    <s v="Net Banking"/>
    <s v="Paid"/>
    <n v="336000"/>
    <n v="240336"/>
    <n v="95664"/>
    <n v="0.2847142857142857"/>
    <x v="2"/>
    <x v="1"/>
    <x v="6"/>
    <x v="6"/>
  </r>
  <r>
    <s v="ORD-10709"/>
    <x v="102"/>
    <x v="6"/>
    <x v="1"/>
    <s v="PRD-ELE-101"/>
    <s v="Monitor 27inch"/>
    <n v="14"/>
    <n v="55000"/>
    <n v="42507"/>
    <s v="UPI"/>
    <s v="Failed"/>
    <n v="770000"/>
    <n v="595098"/>
    <n v="174902"/>
    <n v="0.22714545454545454"/>
    <x v="2"/>
    <x v="1"/>
    <x v="0"/>
    <x v="17"/>
  </r>
  <r>
    <s v="ORD-10710"/>
    <x v="260"/>
    <x v="5"/>
    <x v="0"/>
    <s v="PRD-ACC-301"/>
    <s v="USB-C Docking Station"/>
    <n v="5"/>
    <n v="8500"/>
    <n v="6052"/>
    <s v="Credit Card"/>
    <s v="Paid"/>
    <n v="42500"/>
    <n v="30260"/>
    <n v="12240"/>
    <n v="0.28799999999999998"/>
    <x v="0"/>
    <x v="0"/>
    <x v="5"/>
    <x v="5"/>
  </r>
  <r>
    <s v="ORD-10711"/>
    <x v="384"/>
    <x v="6"/>
    <x v="0"/>
    <s v="PRD-FUR-202"/>
    <s v="Standing Executive Desk"/>
    <n v="12"/>
    <n v="35000"/>
    <n v="21375"/>
    <s v="Cash on Delivery"/>
    <s v="Pending"/>
    <n v="420000"/>
    <n v="256500"/>
    <n v="163500"/>
    <n v="0.38928571428571429"/>
    <x v="1"/>
    <x v="1"/>
    <x v="2"/>
    <x v="10"/>
  </r>
  <r>
    <s v="ORD-10712"/>
    <x v="419"/>
    <x v="3"/>
    <x v="3"/>
    <s v="PRD-ACC-301"/>
    <s v="USB-C Docking Station"/>
    <n v="14"/>
    <n v="8500"/>
    <n v="6695"/>
    <s v="Credit Card"/>
    <s v="Paid"/>
    <n v="119000"/>
    <n v="93730"/>
    <n v="25270"/>
    <n v="0.21235294117647058"/>
    <x v="0"/>
    <x v="0"/>
    <x v="8"/>
    <x v="9"/>
  </r>
  <r>
    <s v="ORD-10713"/>
    <x v="337"/>
    <x v="8"/>
    <x v="1"/>
    <s v="PRD-ELE-104"/>
    <s v="Core i7 Laptop"/>
    <n v="15"/>
    <n v="75000"/>
    <n v="49604"/>
    <s v="Cash on Delivery"/>
    <s v="Paid"/>
    <n v="1125000"/>
    <n v="744060"/>
    <n v="380940"/>
    <n v="0.33861333333333332"/>
    <x v="2"/>
    <x v="1"/>
    <x v="7"/>
    <x v="8"/>
  </r>
  <r>
    <s v="ORD-10714"/>
    <x v="102"/>
    <x v="5"/>
    <x v="4"/>
    <s v="PRD-ELE-103"/>
    <s v="Wireless Mouse"/>
    <n v="16"/>
    <n v="2500"/>
    <n v="1536"/>
    <s v="Credit Card"/>
    <s v="Failed"/>
    <n v="40000"/>
    <n v="24576"/>
    <n v="15424"/>
    <n v="0.3856"/>
    <x v="2"/>
    <x v="1"/>
    <x v="0"/>
    <x v="17"/>
  </r>
  <r>
    <s v="ORD-10715"/>
    <x v="114"/>
    <x v="0"/>
    <x v="2"/>
    <s v="PRD-ELE-103"/>
    <s v="Wireless Mouse"/>
    <n v="18"/>
    <n v="2500"/>
    <n v="1571"/>
    <s v="Cash on Delivery"/>
    <s v="Pending"/>
    <n v="45000"/>
    <n v="28278"/>
    <n v="16722"/>
    <n v="0.37159999999999999"/>
    <x v="2"/>
    <x v="0"/>
    <x v="11"/>
    <x v="18"/>
  </r>
  <r>
    <s v="ORD-10716"/>
    <x v="370"/>
    <x v="6"/>
    <x v="3"/>
    <s v="PRD-FUR-201"/>
    <s v="Ergonomic Desk Chair"/>
    <n v="1"/>
    <n v="14000"/>
    <n v="10591"/>
    <s v="Cash on Delivery"/>
    <s v="Paid"/>
    <n v="14000"/>
    <n v="10591"/>
    <n v="3409"/>
    <n v="0.24349999999999999"/>
    <x v="1"/>
    <x v="0"/>
    <x v="5"/>
    <x v="5"/>
  </r>
  <r>
    <s v="ORD-10717"/>
    <x v="346"/>
    <x v="0"/>
    <x v="2"/>
    <s v="PRD-ELE-101"/>
    <s v="Monitor 27inch"/>
    <n v="5"/>
    <n v="55000"/>
    <n v="42211"/>
    <s v="Net Banking"/>
    <s v="Paid"/>
    <n v="275000"/>
    <n v="211055"/>
    <n v="63945"/>
    <n v="0.23252727272727272"/>
    <x v="2"/>
    <x v="1"/>
    <x v="2"/>
    <x v="10"/>
  </r>
  <r>
    <s v="ORD-10718"/>
    <x v="420"/>
    <x v="7"/>
    <x v="3"/>
    <s v="PRD-ELE-105"/>
    <s v="Android Tablet 10inch"/>
    <n v="3"/>
    <n v="28000"/>
    <n v="19044"/>
    <s v="Credit Card"/>
    <s v="Pending"/>
    <n v="84000"/>
    <n v="57132"/>
    <n v="26868"/>
    <n v="0.31985714285714284"/>
    <x v="2"/>
    <x v="1"/>
    <x v="4"/>
    <x v="4"/>
  </r>
  <r>
    <s v="ORD-10719"/>
    <x v="329"/>
    <x v="1"/>
    <x v="0"/>
    <s v="PRD-ACC-302"/>
    <s v="Noise Cancelling Headphones"/>
    <n v="9"/>
    <n v="12500"/>
    <n v="9522"/>
    <s v="Cash on Delivery"/>
    <s v="Paid"/>
    <n v="112500"/>
    <n v="85698"/>
    <n v="26802"/>
    <n v="0.23824000000000001"/>
    <x v="0"/>
    <x v="1"/>
    <x v="11"/>
    <x v="19"/>
  </r>
  <r>
    <s v="ORD-10720"/>
    <x v="421"/>
    <x v="3"/>
    <x v="3"/>
    <s v="PRD-ACC-302"/>
    <s v="Noise Cancelling Headphones"/>
    <n v="7"/>
    <n v="12500"/>
    <n v="9329"/>
    <s v="Net Banking"/>
    <s v="Unknown"/>
    <n v="87500"/>
    <n v="65303"/>
    <n v="22197"/>
    <n v="0.25368000000000002"/>
    <x v="0"/>
    <x v="0"/>
    <x v="0"/>
    <x v="0"/>
  </r>
  <r>
    <s v="ORD-10721"/>
    <x v="166"/>
    <x v="8"/>
    <x v="3"/>
    <s v="PRD-ELE-101"/>
    <s v="Monitor 27inch"/>
    <n v="11"/>
    <n v="55000"/>
    <n v="36687"/>
    <s v="Cash on Delivery"/>
    <s v="Pending"/>
    <n v="605000"/>
    <n v="403557"/>
    <n v="201443"/>
    <n v="0.33296363636363635"/>
    <x v="2"/>
    <x v="1"/>
    <x v="5"/>
    <x v="7"/>
  </r>
  <r>
    <s v="ORD-10722"/>
    <x v="226"/>
    <x v="4"/>
    <x v="4"/>
    <s v="PRD-ACC-301"/>
    <s v="USB-C Docking Station"/>
    <n v="2"/>
    <n v="8500"/>
    <n v="5756"/>
    <s v="UPI"/>
    <s v="Pending"/>
    <n v="17000"/>
    <n v="11512"/>
    <n v="5488"/>
    <n v="0.32282352941176473"/>
    <x v="0"/>
    <x v="0"/>
    <x v="5"/>
    <x v="5"/>
  </r>
  <r>
    <s v="ORD-10723"/>
    <x v="145"/>
    <x v="3"/>
    <x v="1"/>
    <s v="PRD-ELE-105"/>
    <s v="Android Tablet 10inch"/>
    <n v="1"/>
    <n v="28000"/>
    <n v="21806"/>
    <s v="Cash on Delivery"/>
    <s v="Pending"/>
    <n v="28000"/>
    <n v="21806"/>
    <n v="6194"/>
    <n v="0.22121428571428572"/>
    <x v="2"/>
    <x v="1"/>
    <x v="8"/>
    <x v="14"/>
  </r>
  <r>
    <s v="ORD-10724"/>
    <x v="422"/>
    <x v="2"/>
    <x v="4"/>
    <s v="PRD-ELE-105"/>
    <s v="Android Tablet 10inch"/>
    <n v="6"/>
    <n v="28000"/>
    <n v="21167"/>
    <s v="Cash on Delivery"/>
    <s v="Paid"/>
    <n v="168000"/>
    <n v="127002"/>
    <n v="40998"/>
    <n v="0.24403571428571427"/>
    <x v="2"/>
    <x v="1"/>
    <x v="11"/>
    <x v="19"/>
  </r>
  <r>
    <s v="ORD-10725"/>
    <x v="328"/>
    <x v="3"/>
    <x v="0"/>
    <s v="PRD-FUR-202"/>
    <s v="Standing Executive Desk"/>
    <n v="5"/>
    <n v="35000"/>
    <n v="23244"/>
    <s v="Cash on Delivery"/>
    <s v="Pending"/>
    <n v="175000"/>
    <n v="116220"/>
    <n v="58780"/>
    <n v="0.33588571428571429"/>
    <x v="1"/>
    <x v="1"/>
    <x v="5"/>
    <x v="7"/>
  </r>
  <r>
    <s v="ORD-10726"/>
    <x v="423"/>
    <x v="5"/>
    <x v="0"/>
    <s v="PRD-ELE-101"/>
    <s v="Monitor 27inch"/>
    <n v="17"/>
    <n v="55000"/>
    <n v="39524"/>
    <s v="Credit Card"/>
    <s v="Paid"/>
    <n v="935000"/>
    <n v="671908"/>
    <n v="263092"/>
    <n v="0.28138181818181818"/>
    <x v="2"/>
    <x v="1"/>
    <x v="4"/>
    <x v="4"/>
  </r>
  <r>
    <s v="ORD-10727"/>
    <x v="133"/>
    <x v="0"/>
    <x v="4"/>
    <s v="PRD-FUR-202"/>
    <s v="Standing Executive Desk"/>
    <n v="12"/>
    <n v="35000"/>
    <n v="24715"/>
    <s v="Net Banking"/>
    <s v="Pending"/>
    <n v="420000"/>
    <n v="296580"/>
    <n v="123420"/>
    <n v="0.29385714285714287"/>
    <x v="1"/>
    <x v="1"/>
    <x v="3"/>
    <x v="3"/>
  </r>
  <r>
    <s v="ORD-10728"/>
    <x v="413"/>
    <x v="4"/>
    <x v="4"/>
    <s v="PRD-ELE-101"/>
    <s v="Monitor 27inch"/>
    <n v="12"/>
    <n v="55000"/>
    <n v="43902"/>
    <s v="Cash on Delivery"/>
    <s v="Failed"/>
    <n v="660000"/>
    <n v="526824"/>
    <n v="133176"/>
    <n v="0.20178181818181817"/>
    <x v="2"/>
    <x v="1"/>
    <x v="10"/>
    <x v="13"/>
  </r>
  <r>
    <s v="ORD-10729"/>
    <x v="367"/>
    <x v="6"/>
    <x v="1"/>
    <s v="PRD-ELE-101"/>
    <s v="Monitor 27inch"/>
    <n v="11"/>
    <n v="55000"/>
    <n v="34896"/>
    <s v="Net Banking"/>
    <s v="Paid"/>
    <n v="605000"/>
    <n v="383856"/>
    <n v="221144"/>
    <n v="0.3655272727272727"/>
    <x v="2"/>
    <x v="0"/>
    <x v="0"/>
    <x v="0"/>
  </r>
  <r>
    <s v="ORD-10730"/>
    <x v="424"/>
    <x v="8"/>
    <x v="3"/>
    <s v="PRD-FUR-201"/>
    <s v="Ergonomic Desk Chair"/>
    <n v="11"/>
    <n v="14000"/>
    <n v="10685"/>
    <s v="UPI"/>
    <s v="Pending"/>
    <n v="154000"/>
    <n v="117535"/>
    <n v="36465"/>
    <n v="0.23678571428571429"/>
    <x v="1"/>
    <x v="1"/>
    <x v="2"/>
    <x v="10"/>
  </r>
  <r>
    <s v="ORD-10731"/>
    <x v="425"/>
    <x v="3"/>
    <x v="4"/>
    <s v="PRD-FUR-201"/>
    <s v="Ergonomic Desk Chair"/>
    <n v="6"/>
    <n v="14000"/>
    <n v="11153"/>
    <s v="UPI"/>
    <s v="Pending"/>
    <n v="84000"/>
    <n v="66918"/>
    <n v="17082"/>
    <n v="0.20335714285714285"/>
    <x v="1"/>
    <x v="0"/>
    <x v="0"/>
    <x v="0"/>
  </r>
  <r>
    <s v="ORD-10732"/>
    <x v="342"/>
    <x v="0"/>
    <x v="3"/>
    <s v="PRD-ACC-301"/>
    <s v="USB-C Docking Station"/>
    <n v="11"/>
    <n v="8500"/>
    <n v="5771"/>
    <s v="Credit Card"/>
    <s v="Paid"/>
    <n v="93500"/>
    <n v="63481"/>
    <n v="30019"/>
    <n v="0.32105882352941179"/>
    <x v="0"/>
    <x v="1"/>
    <x v="3"/>
    <x v="3"/>
  </r>
  <r>
    <s v="ORD-10733"/>
    <x v="285"/>
    <x v="8"/>
    <x v="4"/>
    <s v="PRD-ACC-301"/>
    <s v="USB-C Docking Station"/>
    <n v="9"/>
    <n v="8500"/>
    <n v="6086"/>
    <s v="Cash on Delivery"/>
    <s v="Paid"/>
    <n v="76500"/>
    <n v="54774"/>
    <n v="21726"/>
    <n v="0.28399999999999997"/>
    <x v="0"/>
    <x v="1"/>
    <x v="6"/>
    <x v="6"/>
  </r>
  <r>
    <s v="ORD-10734"/>
    <x v="167"/>
    <x v="5"/>
    <x v="3"/>
    <s v="PRD-ELE-105"/>
    <s v="Android Tablet 10inch"/>
    <n v="5"/>
    <n v="28000"/>
    <n v="18696"/>
    <s v="Credit Card"/>
    <s v="Paid"/>
    <n v="140000"/>
    <n v="93480"/>
    <n v="46520"/>
    <n v="0.3322857142857143"/>
    <x v="2"/>
    <x v="1"/>
    <x v="11"/>
    <x v="19"/>
  </r>
  <r>
    <s v="ORD-10736"/>
    <x v="100"/>
    <x v="0"/>
    <x v="4"/>
    <s v="PRD-ELE-105"/>
    <s v="Android Tablet 10inch"/>
    <n v="11"/>
    <n v="28000"/>
    <n v="17270"/>
    <s v="Net Banking"/>
    <s v="Failed"/>
    <n v="308000"/>
    <n v="189970"/>
    <n v="118030"/>
    <n v="0.38321428571428573"/>
    <x v="2"/>
    <x v="1"/>
    <x v="8"/>
    <x v="14"/>
  </r>
  <r>
    <s v="ORD-10737"/>
    <x v="334"/>
    <x v="6"/>
    <x v="4"/>
    <s v="PRD-FUR-201"/>
    <s v="Ergonomic Desk Chair"/>
    <n v="8"/>
    <n v="14000"/>
    <n v="9379"/>
    <s v="UPI"/>
    <s v="Paid"/>
    <n v="112000"/>
    <n v="75032"/>
    <n v="36968"/>
    <n v="0.33007142857142857"/>
    <x v="1"/>
    <x v="0"/>
    <x v="11"/>
    <x v="18"/>
  </r>
  <r>
    <s v="ORD-10738"/>
    <x v="316"/>
    <x v="0"/>
    <x v="3"/>
    <s v="PRD-ELE-101"/>
    <s v="Monitor 27inch"/>
    <n v="19"/>
    <n v="55000"/>
    <n v="38999"/>
    <s v="Credit Card"/>
    <s v="Paid"/>
    <n v="1045000"/>
    <n v="740981"/>
    <n v="304019"/>
    <n v="0.2909272727272727"/>
    <x v="2"/>
    <x v="0"/>
    <x v="3"/>
    <x v="16"/>
  </r>
  <r>
    <s v="ORD-10739"/>
    <x v="376"/>
    <x v="0"/>
    <x v="4"/>
    <s v="PRD-ACC-302"/>
    <s v="Noise Cancelling Headphones"/>
    <n v="9"/>
    <n v="12500"/>
    <n v="9203"/>
    <s v="Cash on Delivery"/>
    <s v="Paid"/>
    <n v="112500"/>
    <n v="82827"/>
    <n v="29673"/>
    <n v="0.26375999999999999"/>
    <x v="0"/>
    <x v="1"/>
    <x v="5"/>
    <x v="7"/>
  </r>
  <r>
    <s v="ORD-10740"/>
    <x v="264"/>
    <x v="6"/>
    <x v="0"/>
    <s v="PRD-ELE-105"/>
    <s v="Android Tablet 10inch"/>
    <n v="13"/>
    <n v="28000"/>
    <n v="21514"/>
    <s v="Net Banking"/>
    <s v="Pending"/>
    <n v="364000"/>
    <n v="279682"/>
    <n v="84318"/>
    <n v="0.23164285714285715"/>
    <x v="2"/>
    <x v="0"/>
    <x v="9"/>
    <x v="12"/>
  </r>
  <r>
    <s v="ORD-10741"/>
    <x v="426"/>
    <x v="7"/>
    <x v="0"/>
    <s v="PRD-ELE-104"/>
    <s v="Core i7 Laptop"/>
    <n v="16"/>
    <n v="75000"/>
    <n v="59569"/>
    <s v="Cash on Delivery"/>
    <s v="Pending"/>
    <n v="1200000"/>
    <n v="953104"/>
    <n v="246896"/>
    <n v="0.20574666666666666"/>
    <x v="2"/>
    <x v="1"/>
    <x v="0"/>
    <x v="17"/>
  </r>
  <r>
    <s v="ORD-10742"/>
    <x v="8"/>
    <x v="6"/>
    <x v="3"/>
    <s v="PRD-ACC-302"/>
    <s v="Noise Cancelling Headphones"/>
    <n v="6"/>
    <n v="12500"/>
    <n v="9195"/>
    <s v="Cash on Delivery"/>
    <s v="Pending"/>
    <n v="75000"/>
    <n v="55170"/>
    <n v="19830"/>
    <n v="0.26440000000000002"/>
    <x v="0"/>
    <x v="1"/>
    <x v="6"/>
    <x v="6"/>
  </r>
  <r>
    <s v="ORD-10743"/>
    <x v="35"/>
    <x v="4"/>
    <x v="4"/>
    <s v="PRD-FUR-201"/>
    <s v="Ergonomic Desk Chair"/>
    <n v="7"/>
    <n v="14000"/>
    <n v="9079"/>
    <s v="Cash on Delivery"/>
    <s v="Paid"/>
    <n v="98000"/>
    <n v="63553"/>
    <n v="34447"/>
    <n v="0.35149999999999998"/>
    <x v="1"/>
    <x v="1"/>
    <x v="8"/>
    <x v="14"/>
  </r>
  <r>
    <s v="ORD-10744"/>
    <x v="427"/>
    <x v="3"/>
    <x v="0"/>
    <s v="PRD-ELE-105"/>
    <s v="Android Tablet 10inch"/>
    <n v="5"/>
    <n v="28000"/>
    <n v="17842"/>
    <s v="Cash on Delivery"/>
    <s v="Paid"/>
    <n v="140000"/>
    <n v="89210"/>
    <n v="50790"/>
    <n v="0.36278571428571427"/>
    <x v="2"/>
    <x v="1"/>
    <x v="2"/>
    <x v="10"/>
  </r>
  <r>
    <s v="ORD-10745"/>
    <x v="90"/>
    <x v="0"/>
    <x v="4"/>
    <s v="PRD-ELE-103"/>
    <s v="Wireless Mouse"/>
    <n v="6"/>
    <n v="2500"/>
    <n v="1888"/>
    <s v="Cash on Delivery"/>
    <s v="Pending"/>
    <n v="15000"/>
    <n v="11328"/>
    <n v="3672"/>
    <n v="0.24479999999999999"/>
    <x v="2"/>
    <x v="1"/>
    <x v="4"/>
    <x v="4"/>
  </r>
  <r>
    <s v="ORD-10746"/>
    <x v="428"/>
    <x v="6"/>
    <x v="1"/>
    <s v="PRD-ELE-104"/>
    <s v="Core i7 Laptop"/>
    <n v="11"/>
    <n v="75000"/>
    <n v="51079"/>
    <s v="UPI"/>
    <s v="Paid"/>
    <n v="825000"/>
    <n v="561869"/>
    <n v="263131"/>
    <n v="0.31894666666666666"/>
    <x v="2"/>
    <x v="1"/>
    <x v="3"/>
    <x v="3"/>
  </r>
  <r>
    <s v="ORD-10747"/>
    <x v="422"/>
    <x v="6"/>
    <x v="4"/>
    <s v="PRD-ELE-101"/>
    <s v="Monitor 27inch"/>
    <n v="5"/>
    <n v="55000"/>
    <n v="40011"/>
    <s v="Net Banking"/>
    <s v="Paid"/>
    <n v="275000"/>
    <n v="200055"/>
    <n v="74945"/>
    <n v="0.27252727272727273"/>
    <x v="2"/>
    <x v="1"/>
    <x v="11"/>
    <x v="19"/>
  </r>
  <r>
    <s v="ORD-10748"/>
    <x v="200"/>
    <x v="2"/>
    <x v="0"/>
    <s v="PRD-ELE-103"/>
    <s v="Wireless Mouse"/>
    <n v="14"/>
    <n v="2500"/>
    <n v="1884"/>
    <s v="UPI"/>
    <s v="Paid"/>
    <n v="35000"/>
    <n v="26376"/>
    <n v="8624"/>
    <n v="0.24640000000000001"/>
    <x v="2"/>
    <x v="1"/>
    <x v="1"/>
    <x v="1"/>
  </r>
  <r>
    <s v="ORD-10749"/>
    <x v="392"/>
    <x v="2"/>
    <x v="1"/>
    <s v="PRD-ACC-301"/>
    <s v="USB-C Docking Station"/>
    <n v="15"/>
    <n v="8500"/>
    <n v="5534"/>
    <s v="UPI"/>
    <s v="Paid"/>
    <n v="127500"/>
    <n v="83010"/>
    <n v="44490"/>
    <n v="0.34894117647058825"/>
    <x v="0"/>
    <x v="1"/>
    <x v="10"/>
    <x v="13"/>
  </r>
  <r>
    <s v="ORD-10750"/>
    <x v="306"/>
    <x v="6"/>
    <x v="2"/>
    <s v="PRD-ELE-101"/>
    <s v="Monitor 27inch"/>
    <n v="8"/>
    <n v="55000"/>
    <n v="42820"/>
    <s v="Credit Card"/>
    <s v="Failed"/>
    <n v="440000"/>
    <n v="342560"/>
    <n v="97440"/>
    <n v="0.22145454545454546"/>
    <x v="2"/>
    <x v="0"/>
    <x v="11"/>
    <x v="18"/>
  </r>
  <r>
    <s v="ORD-10751"/>
    <x v="429"/>
    <x v="4"/>
    <x v="3"/>
    <s v="PRD-ELE-104"/>
    <s v="Core i7 Laptop"/>
    <n v="2"/>
    <n v="75000"/>
    <n v="48351"/>
    <s v="Credit Card"/>
    <s v="Failed"/>
    <n v="150000"/>
    <n v="96702"/>
    <n v="53298"/>
    <n v="0.35532000000000002"/>
    <x v="2"/>
    <x v="1"/>
    <x v="9"/>
    <x v="11"/>
  </r>
  <r>
    <s v="ORD-10752"/>
    <x v="265"/>
    <x v="7"/>
    <x v="0"/>
    <s v="PRD-ELE-104"/>
    <s v="Core i7 Laptop"/>
    <n v="9"/>
    <n v="75000"/>
    <n v="46716"/>
    <s v="Cash on Delivery"/>
    <s v="Pending"/>
    <n v="675000"/>
    <n v="420444"/>
    <n v="254556"/>
    <n v="0.37712000000000001"/>
    <x v="2"/>
    <x v="1"/>
    <x v="1"/>
    <x v="1"/>
  </r>
  <r>
    <s v="ORD-10753"/>
    <x v="40"/>
    <x v="2"/>
    <x v="4"/>
    <s v="PRD-ACC-301"/>
    <s v="USB-C Docking Station"/>
    <n v="1"/>
    <n v="8500"/>
    <n v="5121"/>
    <s v="Cash on Delivery"/>
    <s v="Failed"/>
    <n v="8500"/>
    <n v="5121"/>
    <n v="3379"/>
    <n v="0.39752941176470591"/>
    <x v="0"/>
    <x v="1"/>
    <x v="5"/>
    <x v="7"/>
  </r>
  <r>
    <s v="ORD-10754"/>
    <x v="180"/>
    <x v="0"/>
    <x v="2"/>
    <s v="PRD-ELE-104"/>
    <s v="Core i7 Laptop"/>
    <n v="2"/>
    <n v="75000"/>
    <n v="48533"/>
    <s v="Cash on Delivery"/>
    <s v="Pending"/>
    <n v="150000"/>
    <n v="97066"/>
    <n v="52934"/>
    <n v="0.35289333333333334"/>
    <x v="2"/>
    <x v="0"/>
    <x v="9"/>
    <x v="12"/>
  </r>
  <r>
    <s v="ORD-10755"/>
    <x v="430"/>
    <x v="3"/>
    <x v="4"/>
    <s v="PRD-FUR-201"/>
    <s v="Ergonomic Desk Chair"/>
    <n v="6"/>
    <n v="14000"/>
    <n v="10998"/>
    <s v="Credit Card"/>
    <s v="Paid"/>
    <n v="84000"/>
    <n v="65988"/>
    <n v="18012"/>
    <n v="0.21442857142857144"/>
    <x v="1"/>
    <x v="0"/>
    <x v="8"/>
    <x v="9"/>
  </r>
  <r>
    <s v="ORD-10756"/>
    <x v="431"/>
    <x v="1"/>
    <x v="1"/>
    <s v="PRD-ELE-103"/>
    <s v="Wireless Mouse"/>
    <n v="15"/>
    <n v="2500"/>
    <n v="1604"/>
    <s v="Credit Card"/>
    <s v="Failed"/>
    <n v="37500"/>
    <n v="24060"/>
    <n v="13440"/>
    <n v="0.3584"/>
    <x v="2"/>
    <x v="1"/>
    <x v="10"/>
    <x v="13"/>
  </r>
  <r>
    <s v="ORD-10757"/>
    <x v="322"/>
    <x v="3"/>
    <x v="2"/>
    <s v="PRD-ELE-101"/>
    <s v="Monitor 27inch"/>
    <n v="1"/>
    <n v="55000"/>
    <n v="35009"/>
    <s v="Credit Card"/>
    <s v="Paid"/>
    <n v="55000"/>
    <n v="35009"/>
    <n v="19991"/>
    <n v="0.36347272727272728"/>
    <x v="2"/>
    <x v="1"/>
    <x v="6"/>
    <x v="6"/>
  </r>
  <r>
    <s v="ORD-10758"/>
    <x v="34"/>
    <x v="8"/>
    <x v="3"/>
    <s v="PRD-FUR-202"/>
    <s v="Standing Executive Desk"/>
    <n v="15"/>
    <n v="35000"/>
    <n v="21556"/>
    <s v="Net Banking"/>
    <s v="Paid"/>
    <n v="525000"/>
    <n v="323340"/>
    <n v="201660"/>
    <n v="0.38411428571428574"/>
    <x v="1"/>
    <x v="1"/>
    <x v="8"/>
    <x v="14"/>
  </r>
  <r>
    <s v="ORD-10759"/>
    <x v="50"/>
    <x v="0"/>
    <x v="0"/>
    <s v="PRD-ELE-103"/>
    <s v="Wireless Mouse"/>
    <n v="19"/>
    <n v="2500"/>
    <n v="1574"/>
    <s v="UPI"/>
    <s v="Pending"/>
    <n v="47500"/>
    <n v="29906"/>
    <n v="17594"/>
    <n v="0.37040000000000001"/>
    <x v="2"/>
    <x v="0"/>
    <x v="5"/>
    <x v="5"/>
  </r>
  <r>
    <s v="ORD-10760"/>
    <x v="287"/>
    <x v="0"/>
    <x v="0"/>
    <s v="PRD-ELE-101"/>
    <s v="Monitor 27inch"/>
    <n v="6"/>
    <n v="55000"/>
    <n v="38819"/>
    <s v="Cash on Delivery"/>
    <s v="Failed"/>
    <n v="330000"/>
    <n v="232914"/>
    <n v="97086"/>
    <n v="0.29420000000000002"/>
    <x v="2"/>
    <x v="1"/>
    <x v="7"/>
    <x v="8"/>
  </r>
  <r>
    <s v="ORD-10761"/>
    <x v="18"/>
    <x v="5"/>
    <x v="3"/>
    <s v="PRD-ELE-101"/>
    <s v="Monitor 27inch"/>
    <n v="17"/>
    <n v="55000"/>
    <n v="42714"/>
    <s v="Credit Card"/>
    <s v="Failed"/>
    <n v="935000"/>
    <n v="726138"/>
    <n v="208862"/>
    <n v="0.22338181818181818"/>
    <x v="2"/>
    <x v="1"/>
    <x v="5"/>
    <x v="7"/>
  </r>
  <r>
    <s v="ORD-10762"/>
    <x v="405"/>
    <x v="4"/>
    <x v="4"/>
    <s v="PRD-FUR-201"/>
    <s v="Ergonomic Desk Chair"/>
    <n v="2"/>
    <n v="14000"/>
    <n v="10872"/>
    <s v="UPI"/>
    <s v="Pending"/>
    <n v="28000"/>
    <n v="21744"/>
    <n v="6256"/>
    <n v="0.22342857142857142"/>
    <x v="1"/>
    <x v="0"/>
    <x v="9"/>
    <x v="12"/>
  </r>
  <r>
    <s v="ORD-10763"/>
    <x v="432"/>
    <x v="2"/>
    <x v="0"/>
    <s v="PRD-ELE-102"/>
    <s v="Mechanical Keyboard"/>
    <n v="15"/>
    <n v="4500"/>
    <n v="3220"/>
    <s v="Cash on Delivery"/>
    <s v="Pending"/>
    <n v="67500"/>
    <n v="48300"/>
    <n v="19200"/>
    <n v="0.28444444444444444"/>
    <x v="2"/>
    <x v="0"/>
    <x v="8"/>
    <x v="9"/>
  </r>
  <r>
    <s v="ORD-10764"/>
    <x v="413"/>
    <x v="6"/>
    <x v="4"/>
    <s v="PRD-ELE-105"/>
    <s v="Android Tablet 10inch"/>
    <n v="18"/>
    <n v="28000"/>
    <n v="19617"/>
    <s v="UPI"/>
    <s v="Paid"/>
    <n v="504000"/>
    <n v="353106"/>
    <n v="150894"/>
    <n v="0.29939285714285713"/>
    <x v="2"/>
    <x v="1"/>
    <x v="10"/>
    <x v="13"/>
  </r>
  <r>
    <s v="ORD-10765"/>
    <x v="433"/>
    <x v="7"/>
    <x v="4"/>
    <s v="PRD-ACC-301"/>
    <s v="USB-C Docking Station"/>
    <n v="9"/>
    <n v="8500"/>
    <n v="6214"/>
    <s v="UPI"/>
    <s v="Unknown"/>
    <n v="76500"/>
    <n v="55926"/>
    <n v="20574"/>
    <n v="0.26894117647058824"/>
    <x v="0"/>
    <x v="1"/>
    <x v="9"/>
    <x v="11"/>
  </r>
  <r>
    <s v="ORD-10766"/>
    <x v="202"/>
    <x v="6"/>
    <x v="3"/>
    <s v="PRD-ELE-103"/>
    <s v="Wireless Mouse"/>
    <n v="9"/>
    <n v="2500"/>
    <n v="1855"/>
    <s v="UPI"/>
    <s v="Pending"/>
    <n v="22500"/>
    <n v="16695"/>
    <n v="5805"/>
    <n v="0.25800000000000001"/>
    <x v="2"/>
    <x v="1"/>
    <x v="11"/>
    <x v="19"/>
  </r>
  <r>
    <s v="ORD-10767"/>
    <x v="376"/>
    <x v="4"/>
    <x v="2"/>
    <s v="PRD-ACC-301"/>
    <s v="USB-C Docking Station"/>
    <n v="12"/>
    <n v="8500"/>
    <n v="6614"/>
    <s v="Net Banking"/>
    <s v="Failed"/>
    <n v="102000"/>
    <n v="79368"/>
    <n v="22632"/>
    <n v="0.22188235294117648"/>
    <x v="0"/>
    <x v="1"/>
    <x v="5"/>
    <x v="7"/>
  </r>
  <r>
    <s v="ORD-10768"/>
    <x v="177"/>
    <x v="6"/>
    <x v="4"/>
    <s v="PRD-FUR-201"/>
    <s v="Ergonomic Desk Chair"/>
    <n v="14"/>
    <n v="14000"/>
    <n v="9569"/>
    <s v="Credit Card"/>
    <s v="Paid"/>
    <n v="196000"/>
    <n v="133966"/>
    <n v="62034"/>
    <n v="0.3165"/>
    <x v="1"/>
    <x v="1"/>
    <x v="4"/>
    <x v="4"/>
  </r>
  <r>
    <s v="ORD-10769"/>
    <x v="88"/>
    <x v="5"/>
    <x v="0"/>
    <s v="PRD-ACC-301"/>
    <s v="USB-C Docking Station"/>
    <n v="1"/>
    <n v="8500"/>
    <n v="5987"/>
    <s v="Net Banking"/>
    <s v="Failed"/>
    <n v="8500"/>
    <n v="5987"/>
    <n v="2513"/>
    <n v="0.29564705882352943"/>
    <x v="0"/>
    <x v="1"/>
    <x v="1"/>
    <x v="1"/>
  </r>
  <r>
    <s v="ORD-10771"/>
    <x v="12"/>
    <x v="5"/>
    <x v="3"/>
    <s v="PRD-ELE-101"/>
    <s v="Monitor 27inch"/>
    <n v="2"/>
    <n v="55000"/>
    <n v="39496"/>
    <s v="Credit Card"/>
    <s v="Pending"/>
    <n v="110000"/>
    <n v="78992"/>
    <n v="31008"/>
    <n v="0.28189090909090908"/>
    <x v="2"/>
    <x v="0"/>
    <x v="5"/>
    <x v="5"/>
  </r>
  <r>
    <s v="ORD-10772"/>
    <x v="29"/>
    <x v="8"/>
    <x v="4"/>
    <s v="PRD-ACC-301"/>
    <s v="USB-C Docking Station"/>
    <n v="8"/>
    <n v="8500"/>
    <n v="6381"/>
    <s v="Cash on Delivery"/>
    <s v="Paid"/>
    <n v="68000"/>
    <n v="51048"/>
    <n v="16952"/>
    <n v="0.24929411764705883"/>
    <x v="0"/>
    <x v="1"/>
    <x v="8"/>
    <x v="14"/>
  </r>
  <r>
    <s v="ORD-10773"/>
    <x v="366"/>
    <x v="8"/>
    <x v="3"/>
    <s v="PRD-ELE-105"/>
    <s v="Android Tablet 10inch"/>
    <n v="18"/>
    <n v="28000"/>
    <n v="18854"/>
    <s v="Credit Card"/>
    <s v="Paid"/>
    <n v="504000"/>
    <n v="339372"/>
    <n v="164628"/>
    <n v="0.32664285714285712"/>
    <x v="2"/>
    <x v="0"/>
    <x v="11"/>
    <x v="18"/>
  </r>
  <r>
    <s v="ORD-10774"/>
    <x v="383"/>
    <x v="5"/>
    <x v="4"/>
    <s v="PRD-ELE-101"/>
    <s v="Monitor 27inch"/>
    <n v="17"/>
    <n v="55000"/>
    <n v="37680"/>
    <s v="UPI"/>
    <s v="Paid"/>
    <n v="935000"/>
    <n v="640560"/>
    <n v="294440"/>
    <n v="0.31490909090909092"/>
    <x v="2"/>
    <x v="1"/>
    <x v="4"/>
    <x v="4"/>
  </r>
  <r>
    <s v="ORD-10775"/>
    <x v="409"/>
    <x v="7"/>
    <x v="0"/>
    <s v="PRD-ELE-105"/>
    <s v="Android Tablet 10inch"/>
    <n v="14"/>
    <n v="28000"/>
    <n v="18959"/>
    <s v="Cash on Delivery"/>
    <s v="Pending"/>
    <n v="392000"/>
    <n v="265426"/>
    <n v="126574"/>
    <n v="0.32289285714285715"/>
    <x v="2"/>
    <x v="0"/>
    <x v="3"/>
    <x v="16"/>
  </r>
  <r>
    <s v="ORD-10776"/>
    <x v="427"/>
    <x v="8"/>
    <x v="2"/>
    <s v="PRD-ACC-302"/>
    <s v="Noise Cancelling Headphones"/>
    <n v="12"/>
    <n v="12500"/>
    <n v="9338"/>
    <s v="Cash on Delivery"/>
    <s v="Pending"/>
    <n v="150000"/>
    <n v="112056"/>
    <n v="37944"/>
    <n v="0.25296000000000002"/>
    <x v="0"/>
    <x v="1"/>
    <x v="2"/>
    <x v="10"/>
  </r>
  <r>
    <s v="ORD-10777"/>
    <x v="434"/>
    <x v="4"/>
    <x v="0"/>
    <s v="PRD-ELE-104"/>
    <s v="Core i7 Laptop"/>
    <n v="10"/>
    <n v="75000"/>
    <n v="48916"/>
    <s v="Credit Card"/>
    <s v="Failed"/>
    <n v="750000"/>
    <n v="489160"/>
    <n v="260840"/>
    <n v="0.34778666666666669"/>
    <x v="2"/>
    <x v="0"/>
    <x v="0"/>
    <x v="0"/>
  </r>
  <r>
    <s v="ORD-10778"/>
    <x v="435"/>
    <x v="8"/>
    <x v="4"/>
    <s v="PRD-ELE-102"/>
    <s v="Mechanical Keyboard"/>
    <n v="19"/>
    <n v="4500"/>
    <n v="3163"/>
    <s v="Credit Card"/>
    <s v="Pending"/>
    <n v="85500"/>
    <n v="60097"/>
    <n v="25403"/>
    <n v="0.2971111111111111"/>
    <x v="2"/>
    <x v="1"/>
    <x v="8"/>
    <x v="14"/>
  </r>
  <r>
    <s v="ORD-10779"/>
    <x v="382"/>
    <x v="3"/>
    <x v="4"/>
    <s v="PRD-ELE-103"/>
    <s v="Wireless Mouse"/>
    <n v="17"/>
    <n v="2500"/>
    <n v="1830"/>
    <s v="Cash on Delivery"/>
    <s v="Paid"/>
    <n v="42500"/>
    <n v="31110"/>
    <n v="11390"/>
    <n v="0.26800000000000002"/>
    <x v="2"/>
    <x v="1"/>
    <x v="10"/>
    <x v="13"/>
  </r>
  <r>
    <s v="ORD-10781"/>
    <x v="436"/>
    <x v="2"/>
    <x v="0"/>
    <s v="PRD-ACC-302"/>
    <s v="Noise Cancelling Headphones"/>
    <n v="13"/>
    <n v="12500"/>
    <n v="7782"/>
    <s v="Cash on Delivery"/>
    <s v="Paid"/>
    <n v="162500"/>
    <n v="101166"/>
    <n v="61334"/>
    <n v="0.37744"/>
    <x v="0"/>
    <x v="1"/>
    <x v="4"/>
    <x v="4"/>
  </r>
  <r>
    <s v="ORD-10782"/>
    <x v="413"/>
    <x v="5"/>
    <x v="0"/>
    <s v="PRD-FUR-201"/>
    <s v="Ergonomic Desk Chair"/>
    <n v="3"/>
    <n v="14000"/>
    <n v="9666"/>
    <s v="Credit Card"/>
    <s v="Paid"/>
    <n v="42000"/>
    <n v="28998"/>
    <n v="13002"/>
    <n v="0.30957142857142855"/>
    <x v="1"/>
    <x v="1"/>
    <x v="10"/>
    <x v="13"/>
  </r>
  <r>
    <s v="ORD-10783"/>
    <x v="356"/>
    <x v="0"/>
    <x v="4"/>
    <s v="PRD-ELE-102"/>
    <s v="Mechanical Keyboard"/>
    <n v="3"/>
    <n v="4500"/>
    <n v="3040"/>
    <s v="Cash on Delivery"/>
    <s v="Pending"/>
    <n v="13500"/>
    <n v="9120"/>
    <n v="4380"/>
    <n v="0.32444444444444442"/>
    <x v="2"/>
    <x v="1"/>
    <x v="10"/>
    <x v="13"/>
  </r>
  <r>
    <s v="ORD-10784"/>
    <x v="77"/>
    <x v="2"/>
    <x v="2"/>
    <s v="PRD-ELE-102"/>
    <s v="Mechanical Keyboard"/>
    <n v="19"/>
    <n v="4500"/>
    <n v="2918"/>
    <s v="Cash on Delivery"/>
    <s v="Paid"/>
    <n v="85500"/>
    <n v="55442"/>
    <n v="30058"/>
    <n v="0.35155555555555557"/>
    <x v="2"/>
    <x v="0"/>
    <x v="9"/>
    <x v="12"/>
  </r>
  <r>
    <s v="ORD-10785"/>
    <x v="278"/>
    <x v="4"/>
    <x v="0"/>
    <s v="PRD-FUR-201"/>
    <s v="Ergonomic Desk Chair"/>
    <n v="9"/>
    <n v="14000"/>
    <n v="9771"/>
    <s v="Net Banking"/>
    <s v="Paid"/>
    <n v="126000"/>
    <n v="87939"/>
    <n v="38061"/>
    <n v="0.30207142857142855"/>
    <x v="1"/>
    <x v="1"/>
    <x v="0"/>
    <x v="17"/>
  </r>
  <r>
    <s v="ORD-10786"/>
    <x v="437"/>
    <x v="3"/>
    <x v="0"/>
    <s v="PRD-ELE-104"/>
    <s v="Core i7 Laptop"/>
    <n v="14"/>
    <n v="75000"/>
    <n v="58067"/>
    <s v="Cash on Delivery"/>
    <s v="Pending"/>
    <n v="1050000"/>
    <n v="812938"/>
    <n v="237062"/>
    <n v="0.22577333333333333"/>
    <x v="2"/>
    <x v="1"/>
    <x v="7"/>
    <x v="8"/>
  </r>
  <r>
    <s v="ORD-10787"/>
    <x v="117"/>
    <x v="0"/>
    <x v="0"/>
    <s v="PRD-ELE-101"/>
    <s v="Monitor 27inch"/>
    <n v="8"/>
    <n v="55000"/>
    <n v="38455"/>
    <s v="UPI"/>
    <s v="Pending"/>
    <n v="440000"/>
    <n v="307640"/>
    <n v="132360"/>
    <n v="0.30081818181818182"/>
    <x v="2"/>
    <x v="1"/>
    <x v="4"/>
    <x v="4"/>
  </r>
  <r>
    <s v="ORD-10788"/>
    <x v="338"/>
    <x v="7"/>
    <x v="3"/>
    <s v="PRD-ELE-101"/>
    <s v="Monitor 27inch"/>
    <n v="4"/>
    <n v="55000"/>
    <n v="33261"/>
    <s v="Net Banking"/>
    <s v="Paid"/>
    <n v="220000"/>
    <n v="133044"/>
    <n v="86956"/>
    <n v="0.39525454545454547"/>
    <x v="2"/>
    <x v="1"/>
    <x v="6"/>
    <x v="6"/>
  </r>
  <r>
    <s v="ORD-10789"/>
    <x v="351"/>
    <x v="4"/>
    <x v="4"/>
    <s v="PRD-ELE-105"/>
    <s v="Android Tablet 10inch"/>
    <n v="6"/>
    <n v="28000"/>
    <n v="18750"/>
    <s v="UPI"/>
    <s v="Paid"/>
    <n v="168000"/>
    <n v="112500"/>
    <n v="55500"/>
    <n v="0.33035714285714285"/>
    <x v="2"/>
    <x v="1"/>
    <x v="0"/>
    <x v="17"/>
  </r>
  <r>
    <s v="ORD-10790"/>
    <x v="190"/>
    <x v="7"/>
    <x v="1"/>
    <s v="PRD-ELE-103"/>
    <s v="Wireless Mouse"/>
    <n v="14"/>
    <n v="2500"/>
    <n v="1833"/>
    <s v="Cash on Delivery"/>
    <s v="Pending"/>
    <n v="35000"/>
    <n v="25662"/>
    <n v="9338"/>
    <n v="0.26679999999999998"/>
    <x v="2"/>
    <x v="1"/>
    <x v="2"/>
    <x v="10"/>
  </r>
  <r>
    <s v="ORD-10791"/>
    <x v="86"/>
    <x v="1"/>
    <x v="3"/>
    <s v="PRD-ELE-104"/>
    <s v="Core i7 Laptop"/>
    <n v="15"/>
    <n v="75000"/>
    <n v="52997"/>
    <s v="Cash on Delivery"/>
    <s v="Paid"/>
    <n v="1125000"/>
    <n v="794955"/>
    <n v="330045"/>
    <n v="0.29337333333333332"/>
    <x v="2"/>
    <x v="1"/>
    <x v="11"/>
    <x v="19"/>
  </r>
  <r>
    <s v="ORD-10792"/>
    <x v="23"/>
    <x v="8"/>
    <x v="4"/>
    <s v="PRD-FUR-202"/>
    <s v="Standing Executive Desk"/>
    <n v="4"/>
    <n v="35000"/>
    <n v="26495"/>
    <s v="Cash on Delivery"/>
    <s v="Paid"/>
    <n v="140000"/>
    <n v="105980"/>
    <n v="34020"/>
    <n v="0.24299999999999999"/>
    <x v="1"/>
    <x v="1"/>
    <x v="8"/>
    <x v="14"/>
  </r>
  <r>
    <s v="ORD-10793"/>
    <x v="315"/>
    <x v="6"/>
    <x v="0"/>
    <s v="PRD-FUR-201"/>
    <s v="Ergonomic Desk Chair"/>
    <n v="6"/>
    <n v="14000"/>
    <n v="10450"/>
    <s v="Cash on Delivery"/>
    <s v="Failed"/>
    <n v="84000"/>
    <n v="62700"/>
    <n v="21300"/>
    <n v="0.25357142857142856"/>
    <x v="1"/>
    <x v="0"/>
    <x v="0"/>
    <x v="0"/>
  </r>
  <r>
    <s v="ORD-10794"/>
    <x v="200"/>
    <x v="2"/>
    <x v="4"/>
    <s v="PRD-ELE-102"/>
    <s v="Mechanical Keyboard"/>
    <n v="11"/>
    <n v="4500"/>
    <n v="3256"/>
    <s v="Cash on Delivery"/>
    <s v="Pending"/>
    <n v="49500"/>
    <n v="35816"/>
    <n v="13684"/>
    <n v="0.27644444444444444"/>
    <x v="2"/>
    <x v="1"/>
    <x v="1"/>
    <x v="1"/>
  </r>
  <r>
    <s v="ORD-10795"/>
    <x v="287"/>
    <x v="6"/>
    <x v="1"/>
    <s v="PRD-FUR-202"/>
    <s v="Standing Executive Desk"/>
    <n v="2"/>
    <n v="35000"/>
    <n v="25932"/>
    <s v="UPI"/>
    <s v="Failed"/>
    <n v="70000"/>
    <n v="51864"/>
    <n v="18136"/>
    <n v="0.25908571428571431"/>
    <x v="1"/>
    <x v="1"/>
    <x v="7"/>
    <x v="8"/>
  </r>
  <r>
    <s v="ORD-10796"/>
    <x v="392"/>
    <x v="6"/>
    <x v="0"/>
    <s v="PRD-ACC-302"/>
    <s v="Noise Cancelling Headphones"/>
    <n v="2"/>
    <n v="12500"/>
    <n v="9245"/>
    <s v="UPI"/>
    <s v="Paid"/>
    <n v="25000"/>
    <n v="18490"/>
    <n v="6510"/>
    <n v="0.26040000000000002"/>
    <x v="0"/>
    <x v="1"/>
    <x v="10"/>
    <x v="13"/>
  </r>
  <r>
    <s v="ORD-10797"/>
    <x v="20"/>
    <x v="0"/>
    <x v="1"/>
    <s v="PRD-ELE-104"/>
    <s v="Core i7 Laptop"/>
    <n v="10"/>
    <n v="75000"/>
    <n v="48734"/>
    <s v="Net Banking"/>
    <s v="Pending"/>
    <n v="750000"/>
    <n v="487340"/>
    <n v="262660"/>
    <n v="0.35021333333333332"/>
    <x v="2"/>
    <x v="0"/>
    <x v="9"/>
    <x v="12"/>
  </r>
  <r>
    <s v="ORD-10798"/>
    <x v="438"/>
    <x v="8"/>
    <x v="2"/>
    <s v="PRD-FUR-202"/>
    <s v="Standing Executive Desk"/>
    <n v="7"/>
    <n v="35000"/>
    <n v="23069"/>
    <s v="Cash on Delivery"/>
    <s v="Failed"/>
    <n v="245000"/>
    <n v="161483"/>
    <n v="83517"/>
    <n v="0.34088571428571429"/>
    <x v="1"/>
    <x v="1"/>
    <x v="8"/>
    <x v="14"/>
  </r>
  <r>
    <s v="ORD-10799"/>
    <x v="231"/>
    <x v="6"/>
    <x v="2"/>
    <s v="PRD-ELE-101"/>
    <s v="Monitor 27inch"/>
    <n v="17"/>
    <n v="55000"/>
    <n v="38736"/>
    <s v="UPI"/>
    <s v="Paid"/>
    <n v="935000"/>
    <n v="658512"/>
    <n v="276488"/>
    <n v="0.29570909090909092"/>
    <x v="2"/>
    <x v="0"/>
    <x v="5"/>
    <x v="5"/>
  </r>
  <r>
    <s v="ORD-10800"/>
    <x v="439"/>
    <x v="5"/>
    <x v="1"/>
    <s v="PRD-ELE-104"/>
    <s v="Core i7 Laptop"/>
    <n v="13"/>
    <n v="75000"/>
    <n v="58957"/>
    <s v="Cash on Delivery"/>
    <s v="Pending"/>
    <n v="975000"/>
    <n v="766441"/>
    <n v="208559"/>
    <n v="0.21390666666666666"/>
    <x v="2"/>
    <x v="0"/>
    <x v="9"/>
    <x v="12"/>
  </r>
  <r>
    <s v="ORD-10801"/>
    <x v="393"/>
    <x v="7"/>
    <x v="4"/>
    <s v="PRD-ELE-101"/>
    <s v="Monitor 27inch"/>
    <n v="8"/>
    <n v="55000"/>
    <n v="41084"/>
    <s v="Net Banking"/>
    <s v="Failed"/>
    <n v="440000"/>
    <n v="328672"/>
    <n v="111328"/>
    <n v="0.25301818181818181"/>
    <x v="2"/>
    <x v="0"/>
    <x v="5"/>
    <x v="5"/>
  </r>
  <r>
    <s v="ORD-10802"/>
    <x v="138"/>
    <x v="7"/>
    <x v="0"/>
    <s v="PRD-ELE-103"/>
    <s v="Wireless Mouse"/>
    <n v="11"/>
    <n v="2500"/>
    <n v="1849"/>
    <s v="UPI"/>
    <s v="Paid"/>
    <n v="27500"/>
    <n v="20339"/>
    <n v="7161"/>
    <n v="0.26040000000000002"/>
    <x v="2"/>
    <x v="1"/>
    <x v="10"/>
    <x v="13"/>
  </r>
  <r>
    <s v="ORD-10803"/>
    <x v="231"/>
    <x v="2"/>
    <x v="0"/>
    <s v="PRD-ACC-301"/>
    <s v="USB-C Docking Station"/>
    <n v="12"/>
    <n v="8500"/>
    <n v="5462"/>
    <s v="Cash on Delivery"/>
    <s v="Pending"/>
    <n v="102000"/>
    <n v="65544"/>
    <n v="36456"/>
    <n v="0.35741176470588237"/>
    <x v="0"/>
    <x v="0"/>
    <x v="5"/>
    <x v="5"/>
  </r>
  <r>
    <s v="ORD-10804"/>
    <x v="435"/>
    <x v="8"/>
    <x v="3"/>
    <s v="PRD-ACC-302"/>
    <s v="Noise Cancelling Headphones"/>
    <n v="19"/>
    <n v="12500"/>
    <n v="8700"/>
    <s v="Cash on Delivery"/>
    <s v="Failed"/>
    <n v="237500"/>
    <n v="165300"/>
    <n v="72200"/>
    <n v="0.30399999999999999"/>
    <x v="0"/>
    <x v="1"/>
    <x v="8"/>
    <x v="14"/>
  </r>
  <r>
    <s v="ORD-10806"/>
    <x v="440"/>
    <x v="4"/>
    <x v="1"/>
    <s v="PRD-ELE-105"/>
    <s v="Android Tablet 10inch"/>
    <n v="5"/>
    <n v="28000"/>
    <n v="18232"/>
    <s v="Credit Card"/>
    <s v="Paid"/>
    <n v="140000"/>
    <n v="91160"/>
    <n v="48840"/>
    <n v="0.34885714285714287"/>
    <x v="2"/>
    <x v="0"/>
    <x v="3"/>
    <x v="16"/>
  </r>
  <r>
    <s v="ORD-10807"/>
    <x v="441"/>
    <x v="5"/>
    <x v="2"/>
    <s v="PRD-ELE-105"/>
    <s v="Android Tablet 10inch"/>
    <n v="18"/>
    <n v="28000"/>
    <n v="17004"/>
    <s v="Cash on Delivery"/>
    <s v="Paid"/>
    <n v="504000"/>
    <n v="306072"/>
    <n v="197928"/>
    <n v="0.39271428571428574"/>
    <x v="2"/>
    <x v="1"/>
    <x v="2"/>
    <x v="10"/>
  </r>
  <r>
    <s v="ORD-10808"/>
    <x v="442"/>
    <x v="6"/>
    <x v="4"/>
    <s v="PRD-FUR-202"/>
    <s v="Standing Executive Desk"/>
    <n v="11"/>
    <n v="35000"/>
    <n v="25982"/>
    <s v="Cash on Delivery"/>
    <s v="Pending"/>
    <n v="385000"/>
    <n v="285802"/>
    <n v="99198"/>
    <n v="0.25765714285714286"/>
    <x v="1"/>
    <x v="1"/>
    <x v="2"/>
    <x v="10"/>
  </r>
  <r>
    <s v="ORD-10809"/>
    <x v="443"/>
    <x v="2"/>
    <x v="0"/>
    <s v="PRD-ELE-101"/>
    <s v="Monitor 27inch"/>
    <n v="17"/>
    <n v="55000"/>
    <n v="37053"/>
    <s v="Cash on Delivery"/>
    <s v="Paid"/>
    <n v="935000"/>
    <n v="629901"/>
    <n v="305099"/>
    <n v="0.32630909090909088"/>
    <x v="2"/>
    <x v="1"/>
    <x v="5"/>
    <x v="7"/>
  </r>
  <r>
    <s v="ORD-10810"/>
    <x v="291"/>
    <x v="0"/>
    <x v="2"/>
    <s v="PRD-ELE-103"/>
    <s v="Wireless Mouse"/>
    <n v="1"/>
    <n v="2500"/>
    <n v="1590"/>
    <s v="Cash on Delivery"/>
    <s v="Unknown"/>
    <n v="2500"/>
    <n v="1590"/>
    <n v="910"/>
    <n v="0.36399999999999999"/>
    <x v="2"/>
    <x v="1"/>
    <x v="6"/>
    <x v="6"/>
  </r>
  <r>
    <s v="ORD-10811"/>
    <x v="160"/>
    <x v="4"/>
    <x v="4"/>
    <s v="PRD-ACC-301"/>
    <s v="USB-C Docking Station"/>
    <n v="12"/>
    <n v="8500"/>
    <n v="5556"/>
    <s v="Net Banking"/>
    <s v="Paid"/>
    <n v="102000"/>
    <n v="66672"/>
    <n v="35328"/>
    <n v="0.34635294117647059"/>
    <x v="0"/>
    <x v="1"/>
    <x v="11"/>
    <x v="19"/>
  </r>
  <r>
    <s v="ORD-10812"/>
    <x v="444"/>
    <x v="0"/>
    <x v="1"/>
    <s v="PRD-ELE-101"/>
    <s v="Monitor 27inch"/>
    <n v="2"/>
    <n v="55000"/>
    <n v="33952"/>
    <s v="Cash on Delivery"/>
    <s v="Paid"/>
    <n v="110000"/>
    <n v="67904"/>
    <n v="42096"/>
    <n v="0.38269090909090908"/>
    <x v="2"/>
    <x v="1"/>
    <x v="0"/>
    <x v="17"/>
  </r>
  <r>
    <s v="ORD-10813"/>
    <x v="339"/>
    <x v="0"/>
    <x v="0"/>
    <s v="PRD-ELE-103"/>
    <s v="Wireless Mouse"/>
    <n v="5"/>
    <n v="2500"/>
    <n v="1581"/>
    <s v="UPI"/>
    <s v="Paid"/>
    <n v="12500"/>
    <n v="7905"/>
    <n v="4595"/>
    <n v="0.36759999999999998"/>
    <x v="2"/>
    <x v="1"/>
    <x v="5"/>
    <x v="7"/>
  </r>
  <r>
    <s v="ORD-10814"/>
    <x v="445"/>
    <x v="6"/>
    <x v="0"/>
    <s v="PRD-ELE-103"/>
    <s v="Wireless Mouse"/>
    <n v="2"/>
    <n v="2500"/>
    <n v="1957"/>
    <s v="Net Banking"/>
    <s v="Pending"/>
    <n v="5000"/>
    <n v="3914"/>
    <n v="1086"/>
    <n v="0.2172"/>
    <x v="2"/>
    <x v="1"/>
    <x v="8"/>
    <x v="14"/>
  </r>
  <r>
    <s v="ORD-10815"/>
    <x v="302"/>
    <x v="8"/>
    <x v="0"/>
    <s v="PRD-ELE-103"/>
    <s v="Wireless Mouse"/>
    <n v="17"/>
    <n v="2500"/>
    <n v="1745"/>
    <s v="Cash on Delivery"/>
    <s v="Paid"/>
    <n v="42500"/>
    <n v="29665"/>
    <n v="12835"/>
    <n v="0.30199999999999999"/>
    <x v="2"/>
    <x v="1"/>
    <x v="7"/>
    <x v="8"/>
  </r>
  <r>
    <s v="ORD-10816"/>
    <x v="440"/>
    <x v="7"/>
    <x v="4"/>
    <s v="PRD-ACC-301"/>
    <s v="USB-C Docking Station"/>
    <n v="6"/>
    <n v="8500"/>
    <n v="5363"/>
    <s v="Net Banking"/>
    <s v="Pending"/>
    <n v="51000"/>
    <n v="32178"/>
    <n v="18822"/>
    <n v="0.36905882352941177"/>
    <x v="0"/>
    <x v="0"/>
    <x v="3"/>
    <x v="16"/>
  </r>
  <r>
    <s v="ORD-10817"/>
    <x v="446"/>
    <x v="4"/>
    <x v="4"/>
    <s v="PRD-ELE-103"/>
    <s v="Wireless Mouse"/>
    <n v="12"/>
    <n v="2500"/>
    <n v="1662"/>
    <s v="Cash on Delivery"/>
    <s v="Pending"/>
    <n v="30000"/>
    <n v="19944"/>
    <n v="10056"/>
    <n v="0.3352"/>
    <x v="2"/>
    <x v="0"/>
    <x v="9"/>
    <x v="12"/>
  </r>
  <r>
    <s v="ORD-10818"/>
    <x v="447"/>
    <x v="8"/>
    <x v="0"/>
    <s v="PRD-ELE-101"/>
    <s v="Monitor 27inch"/>
    <n v="14"/>
    <n v="55000"/>
    <n v="39414"/>
    <s v="Credit Card"/>
    <s v="Paid"/>
    <n v="770000"/>
    <n v="551796"/>
    <n v="218204"/>
    <n v="0.28338181818181818"/>
    <x v="2"/>
    <x v="1"/>
    <x v="5"/>
    <x v="7"/>
  </r>
  <r>
    <s v="ORD-10819"/>
    <x v="375"/>
    <x v="4"/>
    <x v="4"/>
    <s v="PRD-ELE-105"/>
    <s v="Android Tablet 10inch"/>
    <n v="18"/>
    <n v="28000"/>
    <n v="19919"/>
    <s v="Net Banking"/>
    <s v="Pending"/>
    <n v="504000"/>
    <n v="358542"/>
    <n v="145458"/>
    <n v="0.28860714285714284"/>
    <x v="2"/>
    <x v="0"/>
    <x v="11"/>
    <x v="18"/>
  </r>
  <r>
    <s v="ORD-10820"/>
    <x v="266"/>
    <x v="2"/>
    <x v="1"/>
    <s v="PRD-ELE-103"/>
    <s v="Wireless Mouse"/>
    <n v="5"/>
    <n v="2500"/>
    <n v="1787"/>
    <s v="Cash on Delivery"/>
    <s v="Pending"/>
    <n v="12500"/>
    <n v="8935"/>
    <n v="3565"/>
    <n v="0.28520000000000001"/>
    <x v="2"/>
    <x v="1"/>
    <x v="3"/>
    <x v="3"/>
  </r>
  <r>
    <s v="ORD-10821"/>
    <x v="379"/>
    <x v="2"/>
    <x v="0"/>
    <s v="PRD-ELE-102"/>
    <s v="Mechanical Keyboard"/>
    <n v="9"/>
    <n v="4500"/>
    <n v="2850"/>
    <s v="Credit Card"/>
    <s v="Paid"/>
    <n v="40500"/>
    <n v="25650"/>
    <n v="14850"/>
    <n v="0.36666666666666664"/>
    <x v="2"/>
    <x v="0"/>
    <x v="6"/>
    <x v="15"/>
  </r>
  <r>
    <s v="ORD-10822"/>
    <x v="321"/>
    <x v="0"/>
    <x v="3"/>
    <s v="PRD-ACC-301"/>
    <s v="USB-C Docking Station"/>
    <n v="4"/>
    <n v="8500"/>
    <n v="6049"/>
    <s v="Credit Card"/>
    <s v="Paid"/>
    <n v="34000"/>
    <n v="24196"/>
    <n v="9804"/>
    <n v="0.28835294117647059"/>
    <x v="0"/>
    <x v="1"/>
    <x v="6"/>
    <x v="6"/>
  </r>
  <r>
    <s v="ORD-10823"/>
    <x v="448"/>
    <x v="4"/>
    <x v="3"/>
    <s v="PRD-ELE-102"/>
    <s v="Mechanical Keyboard"/>
    <n v="17"/>
    <n v="4500"/>
    <n v="2867"/>
    <s v="Net Banking"/>
    <s v="Pending"/>
    <n v="76500"/>
    <n v="48739"/>
    <n v="27761"/>
    <n v="0.36288888888888887"/>
    <x v="2"/>
    <x v="0"/>
    <x v="5"/>
    <x v="5"/>
  </r>
  <r>
    <s v="ORD-10824"/>
    <x v="281"/>
    <x v="5"/>
    <x v="2"/>
    <s v="PRD-ELE-105"/>
    <s v="Android Tablet 10inch"/>
    <n v="11"/>
    <n v="28000"/>
    <n v="18823"/>
    <s v="Cash on Delivery"/>
    <s v="Failed"/>
    <n v="308000"/>
    <n v="207053"/>
    <n v="100947"/>
    <n v="0.32774999999999999"/>
    <x v="2"/>
    <x v="0"/>
    <x v="8"/>
    <x v="9"/>
  </r>
  <r>
    <s v="ORD-10825"/>
    <x v="449"/>
    <x v="6"/>
    <x v="3"/>
    <s v="PRD-FUR-202"/>
    <s v="Standing Executive Desk"/>
    <n v="14"/>
    <n v="35000"/>
    <n v="24318"/>
    <s v="Net Banking"/>
    <s v="Pending"/>
    <n v="490000"/>
    <n v="340452"/>
    <n v="149548"/>
    <n v="0.30520000000000003"/>
    <x v="1"/>
    <x v="0"/>
    <x v="11"/>
    <x v="18"/>
  </r>
  <r>
    <s v="ORD-10826"/>
    <x v="34"/>
    <x v="3"/>
    <x v="2"/>
    <s v="PRD-FUR-201"/>
    <s v="Ergonomic Desk Chair"/>
    <n v="10"/>
    <n v="14000"/>
    <n v="9760"/>
    <s v="Cash on Delivery"/>
    <s v="Paid"/>
    <n v="140000"/>
    <n v="97600"/>
    <n v="42400"/>
    <n v="0.30285714285714288"/>
    <x v="1"/>
    <x v="1"/>
    <x v="8"/>
    <x v="14"/>
  </r>
  <r>
    <s v="ORD-10827"/>
    <x v="103"/>
    <x v="7"/>
    <x v="2"/>
    <s v="PRD-ELE-104"/>
    <s v="Core i7 Laptop"/>
    <n v="16"/>
    <n v="75000"/>
    <n v="51910"/>
    <s v="Credit Card"/>
    <s v="Paid"/>
    <n v="1200000"/>
    <n v="830560"/>
    <n v="369440"/>
    <n v="0.30786666666666668"/>
    <x v="2"/>
    <x v="1"/>
    <x v="7"/>
    <x v="8"/>
  </r>
  <r>
    <s v="ORD-10828"/>
    <x v="57"/>
    <x v="7"/>
    <x v="0"/>
    <s v="PRD-ACC-301"/>
    <s v="USB-C Docking Station"/>
    <n v="13"/>
    <n v="8500"/>
    <n v="5830"/>
    <s v="Credit Card"/>
    <s v="Pending"/>
    <n v="110500"/>
    <n v="75790"/>
    <n v="34710"/>
    <n v="0.31411764705882356"/>
    <x v="0"/>
    <x v="1"/>
    <x v="7"/>
    <x v="8"/>
  </r>
  <r>
    <s v="ORD-10829"/>
    <x v="18"/>
    <x v="2"/>
    <x v="4"/>
    <s v="PRD-ELE-103"/>
    <s v="Wireless Mouse"/>
    <n v="18"/>
    <n v="2500"/>
    <n v="1942"/>
    <s v="Credit Card"/>
    <s v="Pending"/>
    <n v="45000"/>
    <n v="34956"/>
    <n v="10044"/>
    <n v="0.22320000000000001"/>
    <x v="2"/>
    <x v="1"/>
    <x v="5"/>
    <x v="7"/>
  </r>
  <r>
    <s v="ORD-10830"/>
    <x v="122"/>
    <x v="0"/>
    <x v="2"/>
    <s v="PRD-ELE-103"/>
    <s v="Wireless Mouse"/>
    <n v="12"/>
    <n v="2500"/>
    <n v="1968"/>
    <s v="Credit Card"/>
    <s v="Failed"/>
    <n v="30000"/>
    <n v="23616"/>
    <n v="6384"/>
    <n v="0.21279999999999999"/>
    <x v="2"/>
    <x v="1"/>
    <x v="8"/>
    <x v="14"/>
  </r>
  <r>
    <s v="ORD-10831"/>
    <x v="450"/>
    <x v="5"/>
    <x v="2"/>
    <s v="PRD-ELE-104"/>
    <s v="Core i7 Laptop"/>
    <n v="13"/>
    <n v="75000"/>
    <n v="48561"/>
    <s v="Credit Card"/>
    <s v="Failed"/>
    <n v="975000"/>
    <n v="631293"/>
    <n v="343707"/>
    <n v="0.35252"/>
    <x v="2"/>
    <x v="1"/>
    <x v="3"/>
    <x v="3"/>
  </r>
  <r>
    <s v="ORD-10832"/>
    <x v="169"/>
    <x v="1"/>
    <x v="4"/>
    <s v="PRD-ELE-105"/>
    <s v="Android Tablet 10inch"/>
    <n v="10"/>
    <n v="28000"/>
    <n v="18171"/>
    <s v="UPI"/>
    <s v="Paid"/>
    <n v="280000"/>
    <n v="181710"/>
    <n v="98290"/>
    <n v="0.35103571428571428"/>
    <x v="2"/>
    <x v="1"/>
    <x v="9"/>
    <x v="11"/>
  </r>
  <r>
    <s v="ORD-10833"/>
    <x v="345"/>
    <x v="5"/>
    <x v="2"/>
    <s v="PRD-FUR-202"/>
    <s v="Standing Executive Desk"/>
    <n v="13"/>
    <n v="35000"/>
    <n v="24285"/>
    <s v="Credit Card"/>
    <s v="Pending"/>
    <n v="455000"/>
    <n v="315705"/>
    <n v="139295"/>
    <n v="0.30614285714285716"/>
    <x v="1"/>
    <x v="1"/>
    <x v="5"/>
    <x v="7"/>
  </r>
  <r>
    <s v="ORD-10834"/>
    <x v="341"/>
    <x v="1"/>
    <x v="4"/>
    <s v="PRD-ELE-103"/>
    <s v="Wireless Mouse"/>
    <n v="17"/>
    <n v="2500"/>
    <n v="1819"/>
    <s v="Credit Card"/>
    <s v="Pending"/>
    <n v="42500"/>
    <n v="30923"/>
    <n v="11577"/>
    <n v="0.27239999999999998"/>
    <x v="2"/>
    <x v="1"/>
    <x v="2"/>
    <x v="10"/>
  </r>
  <r>
    <s v="ORD-10835"/>
    <x v="227"/>
    <x v="2"/>
    <x v="2"/>
    <s v="PRD-ELE-104"/>
    <s v="Core i7 Laptop"/>
    <n v="6"/>
    <n v="75000"/>
    <n v="49774"/>
    <s v="Cash on Delivery"/>
    <s v="Failed"/>
    <n v="450000"/>
    <n v="298644"/>
    <n v="151356"/>
    <n v="0.33634666666666668"/>
    <x v="2"/>
    <x v="1"/>
    <x v="10"/>
    <x v="13"/>
  </r>
  <r>
    <s v="ORD-10836"/>
    <x v="158"/>
    <x v="7"/>
    <x v="4"/>
    <s v="PRD-ACC-301"/>
    <s v="USB-C Docking Station"/>
    <n v="12"/>
    <n v="8500"/>
    <n v="5304"/>
    <s v="UPI"/>
    <s v="Pending"/>
    <n v="102000"/>
    <n v="63648"/>
    <n v="38352"/>
    <n v="0.376"/>
    <x v="0"/>
    <x v="0"/>
    <x v="11"/>
    <x v="18"/>
  </r>
  <r>
    <s v="ORD-10837"/>
    <x v="148"/>
    <x v="0"/>
    <x v="1"/>
    <s v="PRD-ELE-102"/>
    <s v="Mechanical Keyboard"/>
    <n v="4"/>
    <n v="4500"/>
    <n v="2779"/>
    <s v="Cash on Delivery"/>
    <s v="Pending"/>
    <n v="18000"/>
    <n v="11116"/>
    <n v="6884"/>
    <n v="0.38244444444444442"/>
    <x v="2"/>
    <x v="1"/>
    <x v="2"/>
    <x v="10"/>
  </r>
  <r>
    <s v="ORD-10838"/>
    <x v="278"/>
    <x v="4"/>
    <x v="2"/>
    <s v="PRD-ELE-102"/>
    <s v="Mechanical Keyboard"/>
    <n v="9"/>
    <n v="4500"/>
    <n v="3050"/>
    <s v="Net Banking"/>
    <s v="Paid"/>
    <n v="40500"/>
    <n v="27450"/>
    <n v="13050"/>
    <n v="0.32222222222222224"/>
    <x v="2"/>
    <x v="1"/>
    <x v="0"/>
    <x v="17"/>
  </r>
  <r>
    <s v="ORD-10839"/>
    <x v="44"/>
    <x v="4"/>
    <x v="2"/>
    <s v="PRD-ELE-104"/>
    <s v="Core i7 Laptop"/>
    <n v="16"/>
    <n v="75000"/>
    <n v="59993"/>
    <s v="Credit Card"/>
    <s v="Paid"/>
    <n v="1200000"/>
    <n v="959888"/>
    <n v="240112"/>
    <n v="0.20009333333333335"/>
    <x v="2"/>
    <x v="1"/>
    <x v="0"/>
    <x v="17"/>
  </r>
  <r>
    <s v="ORD-10841"/>
    <x v="451"/>
    <x v="0"/>
    <x v="4"/>
    <s v="PRD-ELE-104"/>
    <s v="Core i7 Laptop"/>
    <n v="6"/>
    <n v="75000"/>
    <n v="50360"/>
    <s v="Cash on Delivery"/>
    <s v="Failed"/>
    <n v="450000"/>
    <n v="302160"/>
    <n v="147840"/>
    <n v="0.32853333333333334"/>
    <x v="2"/>
    <x v="1"/>
    <x v="8"/>
    <x v="14"/>
  </r>
  <r>
    <s v="ORD-10842"/>
    <x v="341"/>
    <x v="5"/>
    <x v="1"/>
    <s v="PRD-FUR-202"/>
    <s v="Standing Executive Desk"/>
    <n v="13"/>
    <n v="35000"/>
    <n v="24156"/>
    <s v="Credit Card"/>
    <s v="Paid"/>
    <n v="455000"/>
    <n v="314028"/>
    <n v="140972"/>
    <n v="0.30982857142857145"/>
    <x v="1"/>
    <x v="1"/>
    <x v="2"/>
    <x v="10"/>
  </r>
  <r>
    <s v="ORD-10843"/>
    <x v="259"/>
    <x v="7"/>
    <x v="0"/>
    <s v="PRD-ELE-101"/>
    <s v="Monitor 27inch"/>
    <n v="5"/>
    <n v="55000"/>
    <n v="33185"/>
    <s v="Cash on Delivery"/>
    <s v="Paid"/>
    <n v="275000"/>
    <n v="165925"/>
    <n v="109075"/>
    <n v="0.39663636363636362"/>
    <x v="2"/>
    <x v="1"/>
    <x v="8"/>
    <x v="14"/>
  </r>
  <r>
    <s v="ORD-10844"/>
    <x v="452"/>
    <x v="4"/>
    <x v="1"/>
    <s v="PRD-ELE-103"/>
    <s v="Wireless Mouse"/>
    <n v="14"/>
    <n v="2500"/>
    <n v="1581"/>
    <s v="Net Banking"/>
    <s v="Paid"/>
    <n v="35000"/>
    <n v="22134"/>
    <n v="12866"/>
    <n v="0.36759999999999998"/>
    <x v="2"/>
    <x v="1"/>
    <x v="9"/>
    <x v="11"/>
  </r>
  <r>
    <s v="ORD-10845"/>
    <x v="26"/>
    <x v="6"/>
    <x v="0"/>
    <s v="PRD-ELE-101"/>
    <s v="Monitor 27inch"/>
    <n v="5"/>
    <n v="55000"/>
    <n v="36462"/>
    <s v="Credit Card"/>
    <s v="Pending"/>
    <n v="275000"/>
    <n v="182310"/>
    <n v="92690"/>
    <n v="0.33705454545454544"/>
    <x v="2"/>
    <x v="0"/>
    <x v="9"/>
    <x v="12"/>
  </r>
  <r>
    <s v="ORD-10846"/>
    <x v="306"/>
    <x v="1"/>
    <x v="2"/>
    <s v="PRD-ELE-102"/>
    <s v="Mechanical Keyboard"/>
    <n v="4"/>
    <n v="4500"/>
    <n v="3542"/>
    <s v="Cash on Delivery"/>
    <s v="Pending"/>
    <n v="18000"/>
    <n v="14168"/>
    <n v="3832"/>
    <n v="0.21288888888888888"/>
    <x v="2"/>
    <x v="0"/>
    <x v="11"/>
    <x v="18"/>
  </r>
  <r>
    <s v="ORD-10847"/>
    <x v="36"/>
    <x v="0"/>
    <x v="2"/>
    <s v="PRD-ELE-104"/>
    <s v="Core i7 Laptop"/>
    <n v="8"/>
    <n v="75000"/>
    <n v="57569"/>
    <s v="Credit Card"/>
    <s v="Failed"/>
    <n v="600000"/>
    <n v="460552"/>
    <n v="139448"/>
    <n v="0.23241333333333333"/>
    <x v="2"/>
    <x v="0"/>
    <x v="2"/>
    <x v="2"/>
  </r>
  <r>
    <s v="ORD-10848"/>
    <x v="453"/>
    <x v="3"/>
    <x v="0"/>
    <s v="PRD-ELE-102"/>
    <s v="Mechanical Keyboard"/>
    <n v="2"/>
    <n v="4500"/>
    <n v="3417"/>
    <s v="Cash on Delivery"/>
    <s v="Paid"/>
    <n v="9000"/>
    <n v="6834"/>
    <n v="2166"/>
    <n v="0.24066666666666667"/>
    <x v="2"/>
    <x v="0"/>
    <x v="9"/>
    <x v="12"/>
  </r>
  <r>
    <s v="ORD-10849"/>
    <x v="120"/>
    <x v="5"/>
    <x v="1"/>
    <s v="PRD-ACC-302"/>
    <s v="Noise Cancelling Headphones"/>
    <n v="7"/>
    <n v="12500"/>
    <n v="8246"/>
    <s v="UPI"/>
    <s v="Failed"/>
    <n v="87500"/>
    <n v="57722"/>
    <n v="29778"/>
    <n v="0.34032000000000001"/>
    <x v="0"/>
    <x v="0"/>
    <x v="3"/>
    <x v="16"/>
  </r>
  <r>
    <s v="ORD-10851"/>
    <x v="454"/>
    <x v="1"/>
    <x v="1"/>
    <s v="PRD-ACC-302"/>
    <s v="Noise Cancelling Headphones"/>
    <n v="7"/>
    <n v="12500"/>
    <n v="9518"/>
    <s v="Net Banking"/>
    <s v="Pending"/>
    <n v="87500"/>
    <n v="66626"/>
    <n v="20874"/>
    <n v="0.23855999999999999"/>
    <x v="0"/>
    <x v="1"/>
    <x v="1"/>
    <x v="1"/>
  </r>
  <r>
    <s v="ORD-10852"/>
    <x v="53"/>
    <x v="7"/>
    <x v="4"/>
    <s v="PRD-ACC-301"/>
    <s v="USB-C Docking Station"/>
    <n v="7"/>
    <n v="8500"/>
    <n v="5614"/>
    <s v="Cash on Delivery"/>
    <s v="Failed"/>
    <n v="59500"/>
    <n v="39298"/>
    <n v="20202"/>
    <n v="0.33952941176470586"/>
    <x v="0"/>
    <x v="0"/>
    <x v="3"/>
    <x v="16"/>
  </r>
  <r>
    <s v="ORD-10853"/>
    <x v="435"/>
    <x v="2"/>
    <x v="4"/>
    <s v="PRD-ELE-102"/>
    <s v="Mechanical Keyboard"/>
    <n v="15"/>
    <n v="4500"/>
    <n v="3030"/>
    <s v="Cash on Delivery"/>
    <s v="Pending"/>
    <n v="67500"/>
    <n v="45450"/>
    <n v="22050"/>
    <n v="0.32666666666666666"/>
    <x v="2"/>
    <x v="1"/>
    <x v="8"/>
    <x v="14"/>
  </r>
  <r>
    <s v="ORD-10854"/>
    <x v="34"/>
    <x v="8"/>
    <x v="4"/>
    <s v="PRD-ELE-101"/>
    <s v="Monitor 27inch"/>
    <n v="9"/>
    <n v="55000"/>
    <n v="40606"/>
    <s v="UPI"/>
    <s v="Paid"/>
    <n v="495000"/>
    <n v="365454"/>
    <n v="129546"/>
    <n v="0.26170909090909089"/>
    <x v="2"/>
    <x v="1"/>
    <x v="8"/>
    <x v="14"/>
  </r>
  <r>
    <s v="ORD-10855"/>
    <x v="455"/>
    <x v="7"/>
    <x v="4"/>
    <s v="PRD-FUR-202"/>
    <s v="Standing Executive Desk"/>
    <n v="4"/>
    <n v="35000"/>
    <n v="22515"/>
    <s v="UPI"/>
    <s v="Unknown"/>
    <n v="140000"/>
    <n v="90060"/>
    <n v="49940"/>
    <n v="0.35671428571428571"/>
    <x v="1"/>
    <x v="0"/>
    <x v="8"/>
    <x v="9"/>
  </r>
  <r>
    <s v="ORD-10856"/>
    <x v="348"/>
    <x v="4"/>
    <x v="3"/>
    <s v="PRD-ELE-103"/>
    <s v="Wireless Mouse"/>
    <n v="7"/>
    <n v="2500"/>
    <n v="1729"/>
    <s v="Cash on Delivery"/>
    <s v="Pending"/>
    <n v="17500"/>
    <n v="12103"/>
    <n v="5397"/>
    <n v="0.30840000000000001"/>
    <x v="2"/>
    <x v="1"/>
    <x v="10"/>
    <x v="13"/>
  </r>
  <r>
    <s v="ORD-10857"/>
    <x v="456"/>
    <x v="5"/>
    <x v="1"/>
    <s v="PRD-ELE-102"/>
    <s v="Mechanical Keyboard"/>
    <n v="10"/>
    <n v="4500"/>
    <n v="3025"/>
    <s v="Cash on Delivery"/>
    <s v="Paid"/>
    <n v="45000"/>
    <n v="30250"/>
    <n v="14750"/>
    <n v="0.32777777777777778"/>
    <x v="2"/>
    <x v="1"/>
    <x v="5"/>
    <x v="7"/>
  </r>
  <r>
    <s v="ORD-10858"/>
    <x v="208"/>
    <x v="4"/>
    <x v="2"/>
    <s v="PRD-ELE-103"/>
    <s v="Wireless Mouse"/>
    <n v="1"/>
    <n v="2500"/>
    <n v="1591"/>
    <s v="UPI"/>
    <s v="Pending"/>
    <n v="2500"/>
    <n v="1591"/>
    <n v="909"/>
    <n v="0.36359999999999998"/>
    <x v="2"/>
    <x v="0"/>
    <x v="8"/>
    <x v="9"/>
  </r>
  <r>
    <s v="ORD-10859"/>
    <x v="457"/>
    <x v="0"/>
    <x v="1"/>
    <s v="PRD-ELE-105"/>
    <s v="Android Tablet 10inch"/>
    <n v="16"/>
    <n v="28000"/>
    <n v="22305"/>
    <s v="UPI"/>
    <s v="Pending"/>
    <n v="448000"/>
    <n v="356880"/>
    <n v="91120"/>
    <n v="0.20339285714285715"/>
    <x v="2"/>
    <x v="0"/>
    <x v="3"/>
    <x v="16"/>
  </r>
  <r>
    <s v="ORD-10860"/>
    <x v="381"/>
    <x v="3"/>
    <x v="1"/>
    <s v="PRD-FUR-202"/>
    <s v="Standing Executive Desk"/>
    <n v="7"/>
    <n v="35000"/>
    <n v="24799"/>
    <s v="Credit Card"/>
    <s v="Paid"/>
    <n v="245000"/>
    <n v="173593"/>
    <n v="71407"/>
    <n v="0.29145714285714286"/>
    <x v="1"/>
    <x v="1"/>
    <x v="6"/>
    <x v="6"/>
  </r>
  <r>
    <s v="ORD-10861"/>
    <x v="231"/>
    <x v="7"/>
    <x v="3"/>
    <s v="PRD-ELE-103"/>
    <s v="Wireless Mouse"/>
    <n v="19"/>
    <n v="2500"/>
    <n v="1908"/>
    <s v="Cash on Delivery"/>
    <s v="Failed"/>
    <n v="47500"/>
    <n v="36252"/>
    <n v="11248"/>
    <n v="0.23680000000000001"/>
    <x v="2"/>
    <x v="0"/>
    <x v="5"/>
    <x v="5"/>
  </r>
  <r>
    <s v="ORD-10862"/>
    <x v="182"/>
    <x v="4"/>
    <x v="2"/>
    <s v="PRD-ACC-301"/>
    <s v="USB-C Docking Station"/>
    <n v="10"/>
    <n v="8500"/>
    <n v="6146"/>
    <s v="Cash on Delivery"/>
    <s v="Pending"/>
    <n v="85000"/>
    <n v="61460"/>
    <n v="23540"/>
    <n v="0.27694117647058825"/>
    <x v="0"/>
    <x v="1"/>
    <x v="6"/>
    <x v="6"/>
  </r>
  <r>
    <s v="ORD-10863"/>
    <x v="458"/>
    <x v="2"/>
    <x v="0"/>
    <s v="PRD-ACC-301"/>
    <s v="USB-C Docking Station"/>
    <n v="12"/>
    <n v="8500"/>
    <n v="5838"/>
    <s v="UPI"/>
    <s v="Pending"/>
    <n v="102000"/>
    <n v="70056"/>
    <n v="31944"/>
    <n v="0.31317647058823528"/>
    <x v="0"/>
    <x v="1"/>
    <x v="11"/>
    <x v="19"/>
  </r>
  <r>
    <s v="ORD-10864"/>
    <x v="1"/>
    <x v="0"/>
    <x v="3"/>
    <s v="PRD-ACC-301"/>
    <s v="USB-C Docking Station"/>
    <n v="4"/>
    <n v="8500"/>
    <n v="5542"/>
    <s v="Credit Card"/>
    <s v="Pending"/>
    <n v="34000"/>
    <n v="22168"/>
    <n v="11832"/>
    <n v="0.34799999999999998"/>
    <x v="0"/>
    <x v="1"/>
    <x v="1"/>
    <x v="1"/>
  </r>
  <r>
    <s v="ORD-10865"/>
    <x v="449"/>
    <x v="3"/>
    <x v="2"/>
    <s v="PRD-ELE-105"/>
    <s v="Android Tablet 10inch"/>
    <n v="9"/>
    <n v="28000"/>
    <n v="19474"/>
    <s v="Cash on Delivery"/>
    <s v="Pending"/>
    <n v="252000"/>
    <n v="175266"/>
    <n v="76734"/>
    <n v="0.30449999999999999"/>
    <x v="2"/>
    <x v="0"/>
    <x v="11"/>
    <x v="18"/>
  </r>
  <r>
    <s v="ORD-10866"/>
    <x v="42"/>
    <x v="6"/>
    <x v="2"/>
    <s v="PRD-ACC-301"/>
    <s v="USB-C Docking Station"/>
    <n v="2"/>
    <n v="8500"/>
    <n v="5847"/>
    <s v="Cash on Delivery"/>
    <s v="Pending"/>
    <n v="17000"/>
    <n v="11694"/>
    <n v="5306"/>
    <n v="0.31211764705882356"/>
    <x v="0"/>
    <x v="1"/>
    <x v="3"/>
    <x v="3"/>
  </r>
  <r>
    <s v="ORD-10867"/>
    <x v="144"/>
    <x v="0"/>
    <x v="4"/>
    <s v="PRD-ELE-105"/>
    <s v="Android Tablet 10inch"/>
    <n v="7"/>
    <n v="28000"/>
    <n v="17634"/>
    <s v="Cash on Delivery"/>
    <s v="Failed"/>
    <n v="196000"/>
    <n v="123438"/>
    <n v="72562"/>
    <n v="0.37021428571428572"/>
    <x v="2"/>
    <x v="1"/>
    <x v="11"/>
    <x v="19"/>
  </r>
  <r>
    <s v="ORD-10868"/>
    <x v="76"/>
    <x v="8"/>
    <x v="4"/>
    <s v="PRD-ELE-103"/>
    <s v="Wireless Mouse"/>
    <n v="9"/>
    <n v="2500"/>
    <n v="1624"/>
    <s v="Cash on Delivery"/>
    <s v="Pending"/>
    <n v="22500"/>
    <n v="14616"/>
    <n v="7884"/>
    <n v="0.35039999999999999"/>
    <x v="2"/>
    <x v="0"/>
    <x v="8"/>
    <x v="9"/>
  </r>
  <r>
    <s v="ORD-10869"/>
    <x v="459"/>
    <x v="7"/>
    <x v="4"/>
    <s v="PRD-ACC-302"/>
    <s v="Noise Cancelling Headphones"/>
    <n v="6"/>
    <n v="12500"/>
    <n v="7605"/>
    <s v="Credit Card"/>
    <s v="Pending"/>
    <n v="75000"/>
    <n v="45630"/>
    <n v="29370"/>
    <n v="0.3916"/>
    <x v="0"/>
    <x v="0"/>
    <x v="2"/>
    <x v="2"/>
  </r>
  <r>
    <s v="ORD-10870"/>
    <x v="460"/>
    <x v="2"/>
    <x v="1"/>
    <s v="PRD-ELE-102"/>
    <s v="Mechanical Keyboard"/>
    <n v="8"/>
    <n v="4500"/>
    <n v="2931"/>
    <s v="Cash on Delivery"/>
    <s v="Paid"/>
    <n v="36000"/>
    <n v="23448"/>
    <n v="12552"/>
    <n v="0.34866666666666668"/>
    <x v="2"/>
    <x v="1"/>
    <x v="0"/>
    <x v="17"/>
  </r>
  <r>
    <s v="ORD-10871"/>
    <x v="244"/>
    <x v="3"/>
    <x v="4"/>
    <s v="PRD-ELE-105"/>
    <s v="Android Tablet 10inch"/>
    <n v="1"/>
    <n v="28000"/>
    <n v="17226"/>
    <s v="Credit Card"/>
    <s v="Paid"/>
    <n v="28000"/>
    <n v="17226"/>
    <n v="10774"/>
    <n v="0.38478571428571429"/>
    <x v="2"/>
    <x v="1"/>
    <x v="0"/>
    <x v="17"/>
  </r>
  <r>
    <s v="ORD-10872"/>
    <x v="340"/>
    <x v="3"/>
    <x v="4"/>
    <s v="PRD-ELE-101"/>
    <s v="Monitor 27inch"/>
    <n v="11"/>
    <n v="55000"/>
    <n v="40691"/>
    <s v="Credit Card"/>
    <s v="Pending"/>
    <n v="605000"/>
    <n v="447601"/>
    <n v="157399"/>
    <n v="0.26016363636363637"/>
    <x v="2"/>
    <x v="1"/>
    <x v="3"/>
    <x v="3"/>
  </r>
  <r>
    <s v="ORD-10873"/>
    <x v="1"/>
    <x v="7"/>
    <x v="2"/>
    <s v="PRD-ACC-301"/>
    <s v="USB-C Docking Station"/>
    <n v="11"/>
    <n v="8500"/>
    <n v="6436"/>
    <s v="UPI"/>
    <s v="Failed"/>
    <n v="93500"/>
    <n v="70796"/>
    <n v="22704"/>
    <n v="0.24282352941176472"/>
    <x v="0"/>
    <x v="1"/>
    <x v="1"/>
    <x v="1"/>
  </r>
  <r>
    <s v="ORD-10874"/>
    <x v="168"/>
    <x v="0"/>
    <x v="3"/>
    <s v="PRD-ACC-301"/>
    <s v="USB-C Docking Station"/>
    <n v="13"/>
    <n v="8500"/>
    <n v="5374"/>
    <s v="Net Banking"/>
    <s v="Paid"/>
    <n v="110500"/>
    <n v="69862"/>
    <n v="40638"/>
    <n v="0.36776470588235294"/>
    <x v="0"/>
    <x v="1"/>
    <x v="0"/>
    <x v="17"/>
  </r>
  <r>
    <s v="ORD-10876"/>
    <x v="461"/>
    <x v="5"/>
    <x v="1"/>
    <s v="PRD-ELE-102"/>
    <s v="Mechanical Keyboard"/>
    <n v="11"/>
    <n v="4500"/>
    <n v="3430"/>
    <s v="Cash on Delivery"/>
    <s v="Failed"/>
    <n v="49500"/>
    <n v="37730"/>
    <n v="11770"/>
    <n v="0.23777777777777778"/>
    <x v="2"/>
    <x v="1"/>
    <x v="7"/>
    <x v="8"/>
  </r>
  <r>
    <s v="ORD-10877"/>
    <x v="11"/>
    <x v="7"/>
    <x v="0"/>
    <s v="PRD-FUR-202"/>
    <s v="Standing Executive Desk"/>
    <n v="1"/>
    <n v="35000"/>
    <n v="26811"/>
    <s v="Cash on Delivery"/>
    <s v="Paid"/>
    <n v="35000"/>
    <n v="26811"/>
    <n v="8189"/>
    <n v="0.23397142857142858"/>
    <x v="1"/>
    <x v="1"/>
    <x v="3"/>
    <x v="3"/>
  </r>
  <r>
    <s v="ORD-10878"/>
    <x v="12"/>
    <x v="4"/>
    <x v="4"/>
    <s v="PRD-FUR-202"/>
    <s v="Standing Executive Desk"/>
    <n v="7"/>
    <n v="35000"/>
    <n v="24675"/>
    <s v="UPI"/>
    <s v="Pending"/>
    <n v="245000"/>
    <n v="172725"/>
    <n v="72275"/>
    <n v="0.29499999999999998"/>
    <x v="1"/>
    <x v="0"/>
    <x v="5"/>
    <x v="5"/>
  </r>
  <r>
    <s v="ORD-10879"/>
    <x v="28"/>
    <x v="6"/>
    <x v="4"/>
    <s v="PRD-ELE-105"/>
    <s v="Android Tablet 10inch"/>
    <n v="17"/>
    <n v="28000"/>
    <n v="21017"/>
    <s v="UPI"/>
    <s v="Pending"/>
    <n v="476000"/>
    <n v="357289"/>
    <n v="118711"/>
    <n v="0.24939285714285714"/>
    <x v="2"/>
    <x v="1"/>
    <x v="8"/>
    <x v="14"/>
  </r>
  <r>
    <s v="ORD-10880"/>
    <x v="222"/>
    <x v="7"/>
    <x v="4"/>
    <s v="PRD-ELE-101"/>
    <s v="Monitor 27inch"/>
    <n v="7"/>
    <n v="55000"/>
    <n v="37160"/>
    <s v="Cash on Delivery"/>
    <s v="Paid"/>
    <n v="385000"/>
    <n v="260120"/>
    <n v="124880"/>
    <n v="0.32436363636363635"/>
    <x v="2"/>
    <x v="1"/>
    <x v="6"/>
    <x v="6"/>
  </r>
  <r>
    <s v="ORD-10881"/>
    <x v="334"/>
    <x v="7"/>
    <x v="3"/>
    <s v="PRD-ELE-105"/>
    <s v="Android Tablet 10inch"/>
    <n v="16"/>
    <n v="28000"/>
    <n v="19651"/>
    <s v="UPI"/>
    <s v="Failed"/>
    <n v="448000"/>
    <n v="314416"/>
    <n v="133584"/>
    <n v="0.2981785714285714"/>
    <x v="2"/>
    <x v="0"/>
    <x v="11"/>
    <x v="18"/>
  </r>
  <r>
    <s v="ORD-10882"/>
    <x v="174"/>
    <x v="6"/>
    <x v="0"/>
    <s v="PRD-ELE-102"/>
    <s v="Mechanical Keyboard"/>
    <n v="6"/>
    <n v="4500"/>
    <n v="3503"/>
    <s v="UPI"/>
    <s v="Paid"/>
    <n v="27000"/>
    <n v="21018"/>
    <n v="5982"/>
    <n v="0.22155555555555556"/>
    <x v="2"/>
    <x v="0"/>
    <x v="2"/>
    <x v="2"/>
  </r>
  <r>
    <s v="ORD-10883"/>
    <x v="462"/>
    <x v="6"/>
    <x v="2"/>
    <s v="PRD-FUR-202"/>
    <s v="Standing Executive Desk"/>
    <n v="6"/>
    <n v="35000"/>
    <n v="27758"/>
    <s v="UPI"/>
    <s v="Failed"/>
    <n v="210000"/>
    <n v="166548"/>
    <n v="43452"/>
    <n v="0.20691428571428572"/>
    <x v="1"/>
    <x v="0"/>
    <x v="2"/>
    <x v="2"/>
  </r>
  <r>
    <s v="ORD-10884"/>
    <x v="463"/>
    <x v="1"/>
    <x v="1"/>
    <s v="PRD-ELE-103"/>
    <s v="Wireless Mouse"/>
    <n v="7"/>
    <n v="2500"/>
    <n v="1721"/>
    <s v="Cash on Delivery"/>
    <s v="Paid"/>
    <n v="17500"/>
    <n v="12047"/>
    <n v="5453"/>
    <n v="0.31159999999999999"/>
    <x v="2"/>
    <x v="1"/>
    <x v="7"/>
    <x v="8"/>
  </r>
  <r>
    <s v="ORD-10885"/>
    <x v="464"/>
    <x v="5"/>
    <x v="1"/>
    <s v="PRD-FUR-201"/>
    <s v="Ergonomic Desk Chair"/>
    <n v="7"/>
    <n v="14000"/>
    <n v="11069"/>
    <s v="UPI"/>
    <s v="Failed"/>
    <n v="98000"/>
    <n v="77483"/>
    <n v="20517"/>
    <n v="0.20935714285714285"/>
    <x v="1"/>
    <x v="1"/>
    <x v="6"/>
    <x v="6"/>
  </r>
  <r>
    <s v="ORD-10886"/>
    <x v="320"/>
    <x v="3"/>
    <x v="4"/>
    <s v="PRD-ELE-105"/>
    <s v="Android Tablet 10inch"/>
    <n v="8"/>
    <n v="28000"/>
    <n v="17219"/>
    <s v="Credit Card"/>
    <s v="Paid"/>
    <n v="224000"/>
    <n v="137752"/>
    <n v="86248"/>
    <n v="0.38503571428571426"/>
    <x v="2"/>
    <x v="1"/>
    <x v="4"/>
    <x v="4"/>
  </r>
  <r>
    <s v="ORD-10887"/>
    <x v="465"/>
    <x v="1"/>
    <x v="2"/>
    <s v="PRD-ACC-301"/>
    <s v="USB-C Docking Station"/>
    <n v="15"/>
    <n v="8500"/>
    <n v="6371"/>
    <s v="Cash on Delivery"/>
    <s v="Failed"/>
    <n v="127500"/>
    <n v="95565"/>
    <n v="31935"/>
    <n v="0.25047058823529411"/>
    <x v="0"/>
    <x v="1"/>
    <x v="3"/>
    <x v="3"/>
  </r>
  <r>
    <s v="ORD-10888"/>
    <x v="188"/>
    <x v="8"/>
    <x v="4"/>
    <s v="PRD-ELE-103"/>
    <s v="Wireless Mouse"/>
    <n v="8"/>
    <n v="2500"/>
    <n v="1876"/>
    <s v="Net Banking"/>
    <s v="Pending"/>
    <n v="20000"/>
    <n v="15008"/>
    <n v="4992"/>
    <n v="0.24959999999999999"/>
    <x v="2"/>
    <x v="1"/>
    <x v="9"/>
    <x v="11"/>
  </r>
  <r>
    <s v="ORD-10889"/>
    <x v="119"/>
    <x v="7"/>
    <x v="1"/>
    <s v="PRD-ELE-105"/>
    <s v="Android Tablet 10inch"/>
    <n v="14"/>
    <n v="28000"/>
    <n v="22028"/>
    <s v="UPI"/>
    <s v="Paid"/>
    <n v="392000"/>
    <n v="308392"/>
    <n v="83608"/>
    <n v="0.21328571428571427"/>
    <x v="2"/>
    <x v="1"/>
    <x v="11"/>
    <x v="19"/>
  </r>
  <r>
    <s v="ORD-10890"/>
    <x v="364"/>
    <x v="3"/>
    <x v="4"/>
    <s v="PRD-ELE-105"/>
    <s v="Android Tablet 10inch"/>
    <n v="4"/>
    <n v="28000"/>
    <n v="21840"/>
    <s v="Cash on Delivery"/>
    <s v="Paid"/>
    <n v="112000"/>
    <n v="87360"/>
    <n v="24640"/>
    <n v="0.22"/>
    <x v="2"/>
    <x v="1"/>
    <x v="10"/>
    <x v="13"/>
  </r>
  <r>
    <s v="ORD-10891"/>
    <x v="0"/>
    <x v="4"/>
    <x v="2"/>
    <s v="PRD-ACC-301"/>
    <s v="USB-C Docking Station"/>
    <n v="11"/>
    <n v="8500"/>
    <n v="6248"/>
    <s v="Credit Card"/>
    <s v="Failed"/>
    <n v="93500"/>
    <n v="68728"/>
    <n v="24772"/>
    <n v="0.26494117647058824"/>
    <x v="0"/>
    <x v="0"/>
    <x v="0"/>
    <x v="0"/>
  </r>
  <r>
    <s v="ORD-10892"/>
    <x v="30"/>
    <x v="7"/>
    <x v="1"/>
    <s v="PRD-ELE-101"/>
    <s v="Monitor 27inch"/>
    <n v="1"/>
    <n v="55000"/>
    <n v="39787"/>
    <s v="UPI"/>
    <s v="Paid"/>
    <n v="55000"/>
    <n v="39787"/>
    <n v="15213"/>
    <n v="0.27660000000000001"/>
    <x v="2"/>
    <x v="0"/>
    <x v="8"/>
    <x v="9"/>
  </r>
  <r>
    <s v="ORD-10893"/>
    <x v="466"/>
    <x v="8"/>
    <x v="0"/>
    <s v="PRD-ELE-101"/>
    <s v="Monitor 27inch"/>
    <n v="6"/>
    <n v="55000"/>
    <n v="40791"/>
    <s v="Credit Card"/>
    <s v="Paid"/>
    <n v="330000"/>
    <n v="244746"/>
    <n v="85254"/>
    <n v="0.25834545454545454"/>
    <x v="2"/>
    <x v="1"/>
    <x v="10"/>
    <x v="13"/>
  </r>
  <r>
    <s v="ORD-10894"/>
    <x v="253"/>
    <x v="8"/>
    <x v="4"/>
    <s v="PRD-FUR-201"/>
    <s v="Ergonomic Desk Chair"/>
    <n v="4"/>
    <n v="14000"/>
    <n v="9027"/>
    <s v="UPI"/>
    <s v="Failed"/>
    <n v="56000"/>
    <n v="36108"/>
    <n v="19892"/>
    <n v="0.3552142857142857"/>
    <x v="1"/>
    <x v="0"/>
    <x v="8"/>
    <x v="9"/>
  </r>
  <r>
    <s v="ORD-10895"/>
    <x v="467"/>
    <x v="7"/>
    <x v="1"/>
    <s v="PRD-FUR-201"/>
    <s v="Ergonomic Desk Chair"/>
    <n v="9"/>
    <n v="14000"/>
    <n v="9327"/>
    <s v="Credit Card"/>
    <s v="Paid"/>
    <n v="126000"/>
    <n v="83943"/>
    <n v="42057"/>
    <n v="0.3337857142857143"/>
    <x v="1"/>
    <x v="0"/>
    <x v="11"/>
    <x v="18"/>
  </r>
  <r>
    <s v="ORD-10896"/>
    <x v="468"/>
    <x v="5"/>
    <x v="3"/>
    <s v="PRD-ELE-104"/>
    <s v="Core i7 Laptop"/>
    <n v="5"/>
    <n v="75000"/>
    <n v="54860"/>
    <s v="Net Banking"/>
    <s v="Pending"/>
    <n v="375000"/>
    <n v="274300"/>
    <n v="100700"/>
    <n v="0.26853333333333335"/>
    <x v="2"/>
    <x v="1"/>
    <x v="10"/>
    <x v="13"/>
  </r>
  <r>
    <s v="ORD-10897"/>
    <x v="329"/>
    <x v="2"/>
    <x v="4"/>
    <s v="PRD-ELE-102"/>
    <s v="Mechanical Keyboard"/>
    <n v="17"/>
    <n v="4500"/>
    <n v="3011"/>
    <s v="UPI"/>
    <s v="Paid"/>
    <n v="76500"/>
    <n v="51187"/>
    <n v="25313"/>
    <n v="0.3308888888888889"/>
    <x v="2"/>
    <x v="1"/>
    <x v="11"/>
    <x v="19"/>
  </r>
  <r>
    <s v="ORD-10898"/>
    <x v="172"/>
    <x v="2"/>
    <x v="3"/>
    <s v="PRD-FUR-201"/>
    <s v="Ergonomic Desk Chair"/>
    <n v="17"/>
    <n v="14000"/>
    <n v="9401"/>
    <s v="UPI"/>
    <s v="Pending"/>
    <n v="238000"/>
    <n v="159817"/>
    <n v="78183"/>
    <n v="0.32850000000000001"/>
    <x v="1"/>
    <x v="0"/>
    <x v="5"/>
    <x v="5"/>
  </r>
  <r>
    <s v="ORD-10899"/>
    <x v="469"/>
    <x v="6"/>
    <x v="4"/>
    <s v="PRD-ELE-104"/>
    <s v="Core i7 Laptop"/>
    <n v="7"/>
    <n v="75000"/>
    <n v="48877"/>
    <s v="Cash on Delivery"/>
    <s v="Failed"/>
    <n v="525000"/>
    <n v="342139"/>
    <n v="182861"/>
    <n v="0.34830666666666665"/>
    <x v="2"/>
    <x v="1"/>
    <x v="9"/>
    <x v="11"/>
  </r>
  <r>
    <s v="ORD-10900"/>
    <x v="407"/>
    <x v="2"/>
    <x v="0"/>
    <s v="PRD-ACC-301"/>
    <s v="USB-C Docking Station"/>
    <n v="1"/>
    <n v="8500"/>
    <n v="5835"/>
    <s v="UPI"/>
    <s v="Unknown"/>
    <n v="8500"/>
    <n v="5835"/>
    <n v="2665"/>
    <n v="0.31352941176470589"/>
    <x v="0"/>
    <x v="1"/>
    <x v="4"/>
    <x v="4"/>
  </r>
  <r>
    <s v="ORD-10901"/>
    <x v="355"/>
    <x v="5"/>
    <x v="3"/>
    <s v="PRD-ELE-105"/>
    <s v="Android Tablet 10inch"/>
    <n v="19"/>
    <n v="28000"/>
    <n v="18425"/>
    <s v="Cash on Delivery"/>
    <s v="Failed"/>
    <n v="532000"/>
    <n v="350075"/>
    <n v="181925"/>
    <n v="0.34196428571428572"/>
    <x v="2"/>
    <x v="0"/>
    <x v="6"/>
    <x v="15"/>
  </r>
  <r>
    <s v="ORD-10902"/>
    <x v="363"/>
    <x v="1"/>
    <x v="2"/>
    <s v="PRD-FUR-202"/>
    <s v="Standing Executive Desk"/>
    <n v="7"/>
    <n v="35000"/>
    <n v="22950"/>
    <s v="Cash on Delivery"/>
    <s v="Paid"/>
    <n v="245000"/>
    <n v="160650"/>
    <n v="84350"/>
    <n v="0.34428571428571431"/>
    <x v="1"/>
    <x v="1"/>
    <x v="1"/>
    <x v="1"/>
  </r>
  <r>
    <s v="ORD-10903"/>
    <x v="11"/>
    <x v="4"/>
    <x v="4"/>
    <s v="PRD-ELE-104"/>
    <s v="Core i7 Laptop"/>
    <n v="9"/>
    <n v="75000"/>
    <n v="58002"/>
    <s v="UPI"/>
    <s v="Pending"/>
    <n v="675000"/>
    <n v="522018"/>
    <n v="152982"/>
    <n v="0.22664000000000001"/>
    <x v="2"/>
    <x v="1"/>
    <x v="3"/>
    <x v="3"/>
  </r>
  <r>
    <s v="ORD-10904"/>
    <x v="24"/>
    <x v="1"/>
    <x v="4"/>
    <s v="PRD-FUR-202"/>
    <s v="Standing Executive Desk"/>
    <n v="16"/>
    <n v="35000"/>
    <n v="23733"/>
    <s v="Cash on Delivery"/>
    <s v="Failed"/>
    <n v="560000"/>
    <n v="379728"/>
    <n v="180272"/>
    <n v="0.32191428571428571"/>
    <x v="1"/>
    <x v="1"/>
    <x v="3"/>
    <x v="3"/>
  </r>
  <r>
    <s v="ORD-10905"/>
    <x v="419"/>
    <x v="2"/>
    <x v="0"/>
    <s v="PRD-ACC-302"/>
    <s v="Noise Cancelling Headphones"/>
    <n v="13"/>
    <n v="12500"/>
    <n v="8636"/>
    <s v="Cash on Delivery"/>
    <s v="Failed"/>
    <n v="162500"/>
    <n v="112268"/>
    <n v="50232"/>
    <n v="0.30912000000000001"/>
    <x v="0"/>
    <x v="0"/>
    <x v="8"/>
    <x v="9"/>
  </r>
  <r>
    <s v="ORD-10906"/>
    <x v="278"/>
    <x v="7"/>
    <x v="1"/>
    <s v="PRD-ELE-103"/>
    <s v="Wireless Mouse"/>
    <n v="14"/>
    <n v="2500"/>
    <n v="1616"/>
    <s v="Cash on Delivery"/>
    <s v="Paid"/>
    <n v="35000"/>
    <n v="22624"/>
    <n v="12376"/>
    <n v="0.35360000000000003"/>
    <x v="2"/>
    <x v="1"/>
    <x v="0"/>
    <x v="17"/>
  </r>
  <r>
    <s v="ORD-10907"/>
    <x v="82"/>
    <x v="5"/>
    <x v="2"/>
    <s v="PRD-FUR-202"/>
    <s v="Standing Executive Desk"/>
    <n v="9"/>
    <n v="35000"/>
    <n v="22830"/>
    <s v="Cash on Delivery"/>
    <s v="Paid"/>
    <n v="315000"/>
    <n v="205470"/>
    <n v="109530"/>
    <n v="0.3477142857142857"/>
    <x v="1"/>
    <x v="0"/>
    <x v="3"/>
    <x v="16"/>
  </r>
  <r>
    <s v="ORD-10908"/>
    <x v="233"/>
    <x v="8"/>
    <x v="0"/>
    <s v="PRD-ELE-104"/>
    <s v="Core i7 Laptop"/>
    <n v="12"/>
    <n v="75000"/>
    <n v="45413"/>
    <s v="UPI"/>
    <s v="Pending"/>
    <n v="900000"/>
    <n v="544956"/>
    <n v="355044"/>
    <n v="0.39449333333333331"/>
    <x v="2"/>
    <x v="1"/>
    <x v="4"/>
    <x v="4"/>
  </r>
  <r>
    <s v="ORD-10909"/>
    <x v="375"/>
    <x v="1"/>
    <x v="3"/>
    <s v="PRD-ELE-102"/>
    <s v="Mechanical Keyboard"/>
    <n v="3"/>
    <n v="4500"/>
    <n v="2885"/>
    <s v="UPI"/>
    <s v="Paid"/>
    <n v="13500"/>
    <n v="8655"/>
    <n v="4845"/>
    <n v="0.35888888888888887"/>
    <x v="2"/>
    <x v="0"/>
    <x v="11"/>
    <x v="18"/>
  </r>
  <r>
    <s v="ORD-10911"/>
    <x v="10"/>
    <x v="3"/>
    <x v="2"/>
    <s v="PRD-FUR-202"/>
    <s v="Standing Executive Desk"/>
    <n v="7"/>
    <n v="35000"/>
    <n v="22885"/>
    <s v="Cash on Delivery"/>
    <s v="Pending"/>
    <n v="245000"/>
    <n v="160195"/>
    <n v="84805"/>
    <n v="0.34614285714285714"/>
    <x v="1"/>
    <x v="1"/>
    <x v="7"/>
    <x v="8"/>
  </r>
  <r>
    <s v="ORD-10912"/>
    <x v="56"/>
    <x v="5"/>
    <x v="0"/>
    <s v="PRD-ACC-302"/>
    <s v="Noise Cancelling Headphones"/>
    <n v="3"/>
    <n v="12500"/>
    <n v="7746"/>
    <s v="Net Banking"/>
    <s v="Failed"/>
    <n v="37500"/>
    <n v="23238"/>
    <n v="14262"/>
    <n v="0.38031999999999999"/>
    <x v="0"/>
    <x v="0"/>
    <x v="3"/>
    <x v="16"/>
  </r>
  <r>
    <s v="ORD-10913"/>
    <x v="143"/>
    <x v="6"/>
    <x v="4"/>
    <s v="PRD-ELE-104"/>
    <s v="Core i7 Laptop"/>
    <n v="19"/>
    <n v="75000"/>
    <n v="54338"/>
    <s v="Net Banking"/>
    <s v="Paid"/>
    <n v="1425000"/>
    <n v="1032422"/>
    <n v="392578"/>
    <n v="0.27549333333333331"/>
    <x v="2"/>
    <x v="0"/>
    <x v="6"/>
    <x v="15"/>
  </r>
  <r>
    <s v="ORD-10914"/>
    <x v="133"/>
    <x v="3"/>
    <x v="0"/>
    <s v="PRD-FUR-201"/>
    <s v="Ergonomic Desk Chair"/>
    <n v="13"/>
    <n v="14000"/>
    <n v="10345"/>
    <s v="Credit Card"/>
    <s v="Failed"/>
    <n v="182000"/>
    <n v="134485"/>
    <n v="47515"/>
    <n v="0.26107142857142857"/>
    <x v="1"/>
    <x v="1"/>
    <x v="3"/>
    <x v="3"/>
  </r>
  <r>
    <s v="ORD-10915"/>
    <x v="451"/>
    <x v="8"/>
    <x v="3"/>
    <s v="PRD-ELE-101"/>
    <s v="Monitor 27inch"/>
    <n v="3"/>
    <n v="55000"/>
    <n v="42674"/>
    <s v="Cash on Delivery"/>
    <s v="Paid"/>
    <n v="165000"/>
    <n v="128022"/>
    <n v="36978"/>
    <n v="0.2241090909090909"/>
    <x v="2"/>
    <x v="1"/>
    <x v="8"/>
    <x v="14"/>
  </r>
  <r>
    <s v="ORD-10916"/>
    <x v="141"/>
    <x v="1"/>
    <x v="1"/>
    <s v="PRD-ELE-105"/>
    <s v="Android Tablet 10inch"/>
    <n v="14"/>
    <n v="28000"/>
    <n v="21213"/>
    <s v="Cash on Delivery"/>
    <s v="Failed"/>
    <n v="392000"/>
    <n v="296982"/>
    <n v="95018"/>
    <n v="0.24239285714285713"/>
    <x v="2"/>
    <x v="1"/>
    <x v="2"/>
    <x v="10"/>
  </r>
  <r>
    <s v="ORD-10917"/>
    <x v="226"/>
    <x v="8"/>
    <x v="3"/>
    <s v="PRD-FUR-201"/>
    <s v="Ergonomic Desk Chair"/>
    <n v="13"/>
    <n v="14000"/>
    <n v="11147"/>
    <s v="Cash on Delivery"/>
    <s v="Failed"/>
    <n v="182000"/>
    <n v="144911"/>
    <n v="37089"/>
    <n v="0.20378571428571429"/>
    <x v="1"/>
    <x v="0"/>
    <x v="5"/>
    <x v="5"/>
  </r>
  <r>
    <s v="ORD-10918"/>
    <x v="436"/>
    <x v="1"/>
    <x v="4"/>
    <s v="PRD-ELE-102"/>
    <s v="Mechanical Keyboard"/>
    <n v="17"/>
    <n v="4500"/>
    <n v="2843"/>
    <s v="UPI"/>
    <s v="Paid"/>
    <n v="76500"/>
    <n v="48331"/>
    <n v="28169"/>
    <n v="0.36822222222222223"/>
    <x v="2"/>
    <x v="1"/>
    <x v="4"/>
    <x v="4"/>
  </r>
  <r>
    <s v="ORD-10919"/>
    <x v="353"/>
    <x v="0"/>
    <x v="1"/>
    <s v="PRD-FUR-201"/>
    <s v="Ergonomic Desk Chair"/>
    <n v="8"/>
    <n v="14000"/>
    <n v="8873"/>
    <s v="Credit Card"/>
    <s v="Paid"/>
    <n v="112000"/>
    <n v="70984"/>
    <n v="41016"/>
    <n v="0.36621428571428571"/>
    <x v="1"/>
    <x v="1"/>
    <x v="0"/>
    <x v="17"/>
  </r>
  <r>
    <s v="ORD-10920"/>
    <x v="380"/>
    <x v="2"/>
    <x v="1"/>
    <s v="PRD-ELE-102"/>
    <s v="Mechanical Keyboard"/>
    <n v="13"/>
    <n v="4500"/>
    <n v="2948"/>
    <s v="Net Banking"/>
    <s v="Pending"/>
    <n v="58500"/>
    <n v="38324"/>
    <n v="20176"/>
    <n v="0.34488888888888891"/>
    <x v="2"/>
    <x v="1"/>
    <x v="6"/>
    <x v="6"/>
  </r>
  <r>
    <s v="ORD-10921"/>
    <x v="15"/>
    <x v="4"/>
    <x v="2"/>
    <s v="PRD-ELE-105"/>
    <s v="Android Tablet 10inch"/>
    <n v="12"/>
    <n v="28000"/>
    <n v="16916"/>
    <s v="Credit Card"/>
    <s v="Paid"/>
    <n v="336000"/>
    <n v="202992"/>
    <n v="133008"/>
    <n v="0.39585714285714285"/>
    <x v="2"/>
    <x v="1"/>
    <x v="4"/>
    <x v="4"/>
  </r>
  <r>
    <s v="ORD-10922"/>
    <x v="470"/>
    <x v="5"/>
    <x v="4"/>
    <s v="PRD-ACC-302"/>
    <s v="Noise Cancelling Headphones"/>
    <n v="2"/>
    <n v="12500"/>
    <n v="9340"/>
    <s v="UPI"/>
    <s v="Failed"/>
    <n v="25000"/>
    <n v="18680"/>
    <n v="6320"/>
    <n v="0.25280000000000002"/>
    <x v="0"/>
    <x v="0"/>
    <x v="2"/>
    <x v="2"/>
  </r>
  <r>
    <s v="ORD-10923"/>
    <x v="220"/>
    <x v="5"/>
    <x v="3"/>
    <s v="PRD-ELE-102"/>
    <s v="Mechanical Keyboard"/>
    <n v="7"/>
    <n v="4500"/>
    <n v="3537"/>
    <s v="Net Banking"/>
    <s v="Pending"/>
    <n v="31500"/>
    <n v="24759"/>
    <n v="6741"/>
    <n v="0.214"/>
    <x v="2"/>
    <x v="1"/>
    <x v="2"/>
    <x v="10"/>
  </r>
  <r>
    <s v="ORD-10924"/>
    <x v="384"/>
    <x v="7"/>
    <x v="0"/>
    <s v="PRD-FUR-201"/>
    <s v="Ergonomic Desk Chair"/>
    <n v="4"/>
    <n v="14000"/>
    <n v="10338"/>
    <s v="Net Banking"/>
    <s v="Paid"/>
    <n v="56000"/>
    <n v="41352"/>
    <n v="14648"/>
    <n v="0.26157142857142857"/>
    <x v="1"/>
    <x v="1"/>
    <x v="2"/>
    <x v="10"/>
  </r>
  <r>
    <s v="ORD-10925"/>
    <x v="379"/>
    <x v="5"/>
    <x v="0"/>
    <s v="PRD-FUR-201"/>
    <s v="Ergonomic Desk Chair"/>
    <n v="1"/>
    <n v="14000"/>
    <n v="10843"/>
    <s v="UPI"/>
    <s v="Paid"/>
    <n v="14000"/>
    <n v="10843"/>
    <n v="3157"/>
    <n v="0.22550000000000001"/>
    <x v="1"/>
    <x v="0"/>
    <x v="6"/>
    <x v="15"/>
  </r>
  <r>
    <s v="ORD-10926"/>
    <x v="88"/>
    <x v="8"/>
    <x v="0"/>
    <s v="PRD-ACC-301"/>
    <s v="USB-C Docking Station"/>
    <n v="8"/>
    <n v="8500"/>
    <n v="6150"/>
    <s v="UPI"/>
    <s v="Paid"/>
    <n v="68000"/>
    <n v="49200"/>
    <n v="18800"/>
    <n v="0.27647058823529413"/>
    <x v="0"/>
    <x v="1"/>
    <x v="1"/>
    <x v="1"/>
  </r>
  <r>
    <s v="ORD-10927"/>
    <x v="37"/>
    <x v="3"/>
    <x v="0"/>
    <s v="PRD-FUR-201"/>
    <s v="Ergonomic Desk Chair"/>
    <n v="2"/>
    <n v="14000"/>
    <n v="9714"/>
    <s v="Net Banking"/>
    <s v="Paid"/>
    <n v="28000"/>
    <n v="19428"/>
    <n v="8572"/>
    <n v="0.30614285714285716"/>
    <x v="1"/>
    <x v="1"/>
    <x v="6"/>
    <x v="6"/>
  </r>
  <r>
    <s v="ORD-10928"/>
    <x v="142"/>
    <x v="0"/>
    <x v="0"/>
    <s v="PRD-ELE-104"/>
    <s v="Core i7 Laptop"/>
    <n v="1"/>
    <n v="75000"/>
    <n v="55005"/>
    <s v="Net Banking"/>
    <s v="Failed"/>
    <n v="75000"/>
    <n v="55005"/>
    <n v="19995"/>
    <n v="0.2666"/>
    <x v="2"/>
    <x v="1"/>
    <x v="4"/>
    <x v="4"/>
  </r>
  <r>
    <s v="ORD-10929"/>
    <x v="440"/>
    <x v="6"/>
    <x v="4"/>
    <s v="PRD-ACC-301"/>
    <s v="USB-C Docking Station"/>
    <n v="18"/>
    <n v="8500"/>
    <n v="6176"/>
    <s v="Cash on Delivery"/>
    <s v="Failed"/>
    <n v="153000"/>
    <n v="111168"/>
    <n v="41832"/>
    <n v="0.27341176470588235"/>
    <x v="0"/>
    <x v="0"/>
    <x v="3"/>
    <x v="16"/>
  </r>
  <r>
    <s v="ORD-10930"/>
    <x v="362"/>
    <x v="4"/>
    <x v="0"/>
    <s v="PRD-FUR-202"/>
    <s v="Standing Executive Desk"/>
    <n v="6"/>
    <n v="35000"/>
    <n v="26661"/>
    <s v="UPI"/>
    <s v="Paid"/>
    <n v="210000"/>
    <n v="159966"/>
    <n v="50034"/>
    <n v="0.23825714285714286"/>
    <x v="1"/>
    <x v="1"/>
    <x v="4"/>
    <x v="4"/>
  </r>
  <r>
    <s v="ORD-10931"/>
    <x v="471"/>
    <x v="4"/>
    <x v="0"/>
    <s v="PRD-ELE-105"/>
    <s v="Android Tablet 10inch"/>
    <n v="3"/>
    <n v="28000"/>
    <n v="18137"/>
    <s v="Cash on Delivery"/>
    <s v="Pending"/>
    <n v="84000"/>
    <n v="54411"/>
    <n v="29589"/>
    <n v="0.35225000000000001"/>
    <x v="2"/>
    <x v="1"/>
    <x v="6"/>
    <x v="6"/>
  </r>
  <r>
    <s v="ORD-10932"/>
    <x v="405"/>
    <x v="4"/>
    <x v="3"/>
    <s v="PRD-ELE-102"/>
    <s v="Mechanical Keyboard"/>
    <n v="16"/>
    <n v="4500"/>
    <n v="3589"/>
    <s v="Net Banking"/>
    <s v="Failed"/>
    <n v="72000"/>
    <n v="57424"/>
    <n v="14576"/>
    <n v="0.20244444444444445"/>
    <x v="2"/>
    <x v="0"/>
    <x v="9"/>
    <x v="12"/>
  </r>
  <r>
    <s v="ORD-10933"/>
    <x v="133"/>
    <x v="2"/>
    <x v="0"/>
    <s v="PRD-FUR-201"/>
    <s v="Ergonomic Desk Chair"/>
    <n v="1"/>
    <n v="14000"/>
    <n v="8701"/>
    <s v="Cash on Delivery"/>
    <s v="Pending"/>
    <n v="14000"/>
    <n v="8701"/>
    <n v="5299"/>
    <n v="0.3785"/>
    <x v="1"/>
    <x v="1"/>
    <x v="3"/>
    <x v="3"/>
  </r>
  <r>
    <s v="ORD-10934"/>
    <x v="5"/>
    <x v="2"/>
    <x v="0"/>
    <s v="PRD-ELE-105"/>
    <s v="Android Tablet 10inch"/>
    <n v="10"/>
    <n v="28000"/>
    <n v="20083"/>
    <s v="UPI"/>
    <s v="Failed"/>
    <n v="280000"/>
    <n v="200830"/>
    <n v="79170"/>
    <n v="0.28275"/>
    <x v="2"/>
    <x v="1"/>
    <x v="1"/>
    <x v="1"/>
  </r>
  <r>
    <s v="ORD-10935"/>
    <x v="472"/>
    <x v="5"/>
    <x v="3"/>
    <s v="PRD-FUR-202"/>
    <s v="Standing Executive Desk"/>
    <n v="8"/>
    <n v="35000"/>
    <n v="21215"/>
    <s v="Credit Card"/>
    <s v="Failed"/>
    <n v="280000"/>
    <n v="169720"/>
    <n v="110280"/>
    <n v="0.39385714285714285"/>
    <x v="1"/>
    <x v="1"/>
    <x v="9"/>
    <x v="11"/>
  </r>
  <r>
    <s v="ORD-10936"/>
    <x v="265"/>
    <x v="1"/>
    <x v="0"/>
    <s v="PRD-ELE-103"/>
    <s v="Wireless Mouse"/>
    <n v="6"/>
    <n v="2500"/>
    <n v="1736"/>
    <s v="UPI"/>
    <s v="Pending"/>
    <n v="15000"/>
    <n v="10416"/>
    <n v="4584"/>
    <n v="0.30559999999999998"/>
    <x v="2"/>
    <x v="1"/>
    <x v="1"/>
    <x v="1"/>
  </r>
  <r>
    <s v="ORD-10937"/>
    <x v="366"/>
    <x v="2"/>
    <x v="4"/>
    <s v="PRD-FUR-201"/>
    <s v="Ergonomic Desk Chair"/>
    <n v="4"/>
    <n v="14000"/>
    <n v="9290"/>
    <s v="Cash on Delivery"/>
    <s v="Failed"/>
    <n v="56000"/>
    <n v="37160"/>
    <n v="18840"/>
    <n v="0.33642857142857141"/>
    <x v="1"/>
    <x v="0"/>
    <x v="11"/>
    <x v="18"/>
  </r>
  <r>
    <s v="ORD-10938"/>
    <x v="143"/>
    <x v="8"/>
    <x v="0"/>
    <s v="PRD-ELE-103"/>
    <s v="Wireless Mouse"/>
    <n v="3"/>
    <n v="2500"/>
    <n v="1857"/>
    <s v="Credit Card"/>
    <s v="Failed"/>
    <n v="7500"/>
    <n v="5571"/>
    <n v="1929"/>
    <n v="0.25719999999999998"/>
    <x v="2"/>
    <x v="0"/>
    <x v="6"/>
    <x v="15"/>
  </r>
  <r>
    <s v="ORD-10939"/>
    <x v="109"/>
    <x v="5"/>
    <x v="1"/>
    <s v="PRD-ELE-101"/>
    <s v="Monitor 27inch"/>
    <n v="3"/>
    <n v="55000"/>
    <n v="41313"/>
    <s v="Cash on Delivery"/>
    <s v="Failed"/>
    <n v="165000"/>
    <n v="123939"/>
    <n v="41061"/>
    <n v="0.24885454545454547"/>
    <x v="2"/>
    <x v="1"/>
    <x v="7"/>
    <x v="8"/>
  </r>
  <r>
    <s v="ORD-10940"/>
    <x v="391"/>
    <x v="3"/>
    <x v="4"/>
    <s v="PRD-ELE-104"/>
    <s v="Core i7 Laptop"/>
    <n v="1"/>
    <n v="75000"/>
    <n v="51894"/>
    <s v="Credit Card"/>
    <s v="Paid"/>
    <n v="75000"/>
    <n v="51894"/>
    <n v="23106"/>
    <n v="0.30808000000000002"/>
    <x v="2"/>
    <x v="0"/>
    <x v="8"/>
    <x v="9"/>
  </r>
  <r>
    <s v="ORD-10941"/>
    <x v="176"/>
    <x v="6"/>
    <x v="4"/>
    <s v="PRD-ELE-104"/>
    <s v="Core i7 Laptop"/>
    <n v="17"/>
    <n v="75000"/>
    <n v="58434"/>
    <s v="UPI"/>
    <s v="Paid"/>
    <n v="1275000"/>
    <n v="993378"/>
    <n v="281622"/>
    <n v="0.22087999999999999"/>
    <x v="2"/>
    <x v="0"/>
    <x v="3"/>
    <x v="16"/>
  </r>
  <r>
    <s v="ORD-10942"/>
    <x v="375"/>
    <x v="4"/>
    <x v="3"/>
    <s v="PRD-ELE-101"/>
    <s v="Monitor 27inch"/>
    <n v="10"/>
    <n v="55000"/>
    <n v="34836"/>
    <s v="UPI"/>
    <s v="Failed"/>
    <n v="550000"/>
    <n v="348360"/>
    <n v="201640"/>
    <n v="0.36661818181818184"/>
    <x v="2"/>
    <x v="0"/>
    <x v="11"/>
    <x v="18"/>
  </r>
  <r>
    <s v="ORD-10943"/>
    <x v="247"/>
    <x v="6"/>
    <x v="0"/>
    <s v="PRD-ELE-105"/>
    <s v="Android Tablet 10inch"/>
    <n v="11"/>
    <n v="28000"/>
    <n v="17328"/>
    <s v="Credit Card"/>
    <s v="Paid"/>
    <n v="308000"/>
    <n v="190608"/>
    <n v="117392"/>
    <n v="0.38114285714285712"/>
    <x v="2"/>
    <x v="1"/>
    <x v="1"/>
    <x v="1"/>
  </r>
  <r>
    <s v="ORD-10944"/>
    <x v="268"/>
    <x v="4"/>
    <x v="4"/>
    <s v="PRD-ELE-104"/>
    <s v="Core i7 Laptop"/>
    <n v="8"/>
    <n v="75000"/>
    <n v="57819"/>
    <s v="Net Banking"/>
    <s v="Paid"/>
    <n v="600000"/>
    <n v="462552"/>
    <n v="137448"/>
    <n v="0.22908000000000001"/>
    <x v="2"/>
    <x v="0"/>
    <x v="0"/>
    <x v="0"/>
  </r>
  <r>
    <s v="ORD-10946"/>
    <x v="143"/>
    <x v="3"/>
    <x v="3"/>
    <s v="PRD-FUR-201"/>
    <s v="Ergonomic Desk Chair"/>
    <n v="19"/>
    <n v="14000"/>
    <n v="9599"/>
    <s v="Cash on Delivery"/>
    <s v="Failed"/>
    <n v="266000"/>
    <n v="182381"/>
    <n v="83619"/>
    <n v="0.31435714285714284"/>
    <x v="1"/>
    <x v="0"/>
    <x v="6"/>
    <x v="15"/>
  </r>
  <r>
    <s v="ORD-10947"/>
    <x v="473"/>
    <x v="0"/>
    <x v="0"/>
    <s v="PRD-FUR-201"/>
    <s v="Ergonomic Desk Chair"/>
    <n v="12"/>
    <n v="14000"/>
    <n v="9398"/>
    <s v="Net Banking"/>
    <s v="Paid"/>
    <n v="168000"/>
    <n v="112776"/>
    <n v="55224"/>
    <n v="0.32871428571428574"/>
    <x v="1"/>
    <x v="0"/>
    <x v="8"/>
    <x v="9"/>
  </r>
  <r>
    <s v="ORD-10948"/>
    <x v="474"/>
    <x v="4"/>
    <x v="4"/>
    <s v="PRD-ELE-101"/>
    <s v="Monitor 27inch"/>
    <n v="3"/>
    <n v="55000"/>
    <n v="33846"/>
    <s v="Credit Card"/>
    <s v="Pending"/>
    <n v="165000"/>
    <n v="101538"/>
    <n v="63462"/>
    <n v="0.3846181818181818"/>
    <x v="2"/>
    <x v="0"/>
    <x v="11"/>
    <x v="18"/>
  </r>
  <r>
    <s v="ORD-10949"/>
    <x v="136"/>
    <x v="6"/>
    <x v="3"/>
    <s v="PRD-ELE-104"/>
    <s v="Core i7 Laptop"/>
    <n v="19"/>
    <n v="75000"/>
    <n v="46747"/>
    <s v="Credit Card"/>
    <s v="Paid"/>
    <n v="1425000"/>
    <n v="888193"/>
    <n v="536807"/>
    <n v="0.37670666666666669"/>
    <x v="2"/>
    <x v="0"/>
    <x v="0"/>
    <x v="0"/>
  </r>
  <r>
    <s v="ORD-10950"/>
    <x v="357"/>
    <x v="2"/>
    <x v="4"/>
    <s v="PRD-FUR-202"/>
    <s v="Standing Executive Desk"/>
    <n v="12"/>
    <n v="35000"/>
    <n v="24228"/>
    <s v="Credit Card"/>
    <s v="Paid"/>
    <n v="420000"/>
    <n v="290736"/>
    <n v="129264"/>
    <n v="0.30777142857142858"/>
    <x v="1"/>
    <x v="1"/>
    <x v="0"/>
    <x v="17"/>
  </r>
  <r>
    <s v="ORD-10951"/>
    <x v="116"/>
    <x v="6"/>
    <x v="4"/>
    <s v="PRD-FUR-201"/>
    <s v="Ergonomic Desk Chair"/>
    <n v="7"/>
    <n v="14000"/>
    <n v="9181"/>
    <s v="Credit Card"/>
    <s v="Pending"/>
    <n v="98000"/>
    <n v="64267"/>
    <n v="33733"/>
    <n v="0.34421428571428569"/>
    <x v="1"/>
    <x v="1"/>
    <x v="11"/>
    <x v="19"/>
  </r>
  <r>
    <s v="ORD-10952"/>
    <x v="475"/>
    <x v="7"/>
    <x v="3"/>
    <s v="PRD-FUR-202"/>
    <s v="Standing Executive Desk"/>
    <n v="12"/>
    <n v="35000"/>
    <n v="27573"/>
    <s v="UPI"/>
    <s v="Failed"/>
    <n v="420000"/>
    <n v="330876"/>
    <n v="89124"/>
    <n v="0.2122"/>
    <x v="1"/>
    <x v="0"/>
    <x v="5"/>
    <x v="5"/>
  </r>
  <r>
    <s v="ORD-10953"/>
    <x v="439"/>
    <x v="5"/>
    <x v="2"/>
    <s v="PRD-ELE-102"/>
    <s v="Mechanical Keyboard"/>
    <n v="18"/>
    <n v="4500"/>
    <n v="2720"/>
    <s v="Cash on Delivery"/>
    <s v="Pending"/>
    <n v="81000"/>
    <n v="48960"/>
    <n v="32040"/>
    <n v="0.39555555555555555"/>
    <x v="2"/>
    <x v="0"/>
    <x v="9"/>
    <x v="12"/>
  </r>
  <r>
    <s v="ORD-10954"/>
    <x v="476"/>
    <x v="3"/>
    <x v="4"/>
    <s v="PRD-ELE-104"/>
    <s v="Core i7 Laptop"/>
    <n v="14"/>
    <n v="75000"/>
    <n v="52376"/>
    <s v="Net Banking"/>
    <s v="Paid"/>
    <n v="1050000"/>
    <n v="733264"/>
    <n v="316736"/>
    <n v="0.30165333333333333"/>
    <x v="2"/>
    <x v="0"/>
    <x v="0"/>
    <x v="0"/>
  </r>
  <r>
    <s v="ORD-10955"/>
    <x v="403"/>
    <x v="8"/>
    <x v="2"/>
    <s v="PRD-ELE-103"/>
    <s v="Wireless Mouse"/>
    <n v="6"/>
    <n v="2500"/>
    <n v="1826"/>
    <s v="Cash on Delivery"/>
    <s v="Pending"/>
    <n v="15000"/>
    <n v="10956"/>
    <n v="4044"/>
    <n v="0.26960000000000001"/>
    <x v="2"/>
    <x v="0"/>
    <x v="8"/>
    <x v="9"/>
  </r>
  <r>
    <s v="ORD-10956"/>
    <x v="168"/>
    <x v="8"/>
    <x v="0"/>
    <s v="PRD-FUR-201"/>
    <s v="Ergonomic Desk Chair"/>
    <n v="10"/>
    <n v="14000"/>
    <n v="9353"/>
    <s v="Cash on Delivery"/>
    <s v="Paid"/>
    <n v="140000"/>
    <n v="93530"/>
    <n v="46470"/>
    <n v="0.33192857142857141"/>
    <x v="1"/>
    <x v="1"/>
    <x v="0"/>
    <x v="17"/>
  </r>
  <r>
    <s v="ORD-10957"/>
    <x v="320"/>
    <x v="1"/>
    <x v="3"/>
    <s v="PRD-ELE-102"/>
    <s v="Mechanical Keyboard"/>
    <n v="1"/>
    <n v="4500"/>
    <n v="3016"/>
    <s v="Net Banking"/>
    <s v="Failed"/>
    <n v="4500"/>
    <n v="3016"/>
    <n v="1484"/>
    <n v="0.32977777777777778"/>
    <x v="2"/>
    <x v="1"/>
    <x v="4"/>
    <x v="4"/>
  </r>
  <r>
    <s v="ORD-10958"/>
    <x v="250"/>
    <x v="6"/>
    <x v="2"/>
    <s v="PRD-ELE-104"/>
    <s v="Core i7 Laptop"/>
    <n v="17"/>
    <n v="75000"/>
    <n v="53038"/>
    <s v="Credit Card"/>
    <s v="Pending"/>
    <n v="1275000"/>
    <n v="901646"/>
    <n v="373354"/>
    <n v="0.29282666666666668"/>
    <x v="2"/>
    <x v="0"/>
    <x v="6"/>
    <x v="15"/>
  </r>
  <r>
    <s v="ORD-10959"/>
    <x v="309"/>
    <x v="7"/>
    <x v="2"/>
    <s v="PRD-ELE-101"/>
    <s v="Monitor 27inch"/>
    <n v="13"/>
    <n v="55000"/>
    <n v="43521"/>
    <s v="Credit Card"/>
    <s v="Pending"/>
    <n v="715000"/>
    <n v="565773"/>
    <n v="149227"/>
    <n v="0.2087090909090909"/>
    <x v="2"/>
    <x v="1"/>
    <x v="4"/>
    <x v="4"/>
  </r>
  <r>
    <s v="ORD-10960"/>
    <x v="140"/>
    <x v="7"/>
    <x v="4"/>
    <s v="PRD-ELE-102"/>
    <s v="Mechanical Keyboard"/>
    <n v="5"/>
    <n v="4500"/>
    <n v="3288"/>
    <s v="Cash on Delivery"/>
    <s v="Failed"/>
    <n v="22500"/>
    <n v="16440"/>
    <n v="6060"/>
    <n v="0.26933333333333331"/>
    <x v="2"/>
    <x v="0"/>
    <x v="5"/>
    <x v="5"/>
  </r>
  <r>
    <s v="ORD-10961"/>
    <x v="477"/>
    <x v="7"/>
    <x v="4"/>
    <s v="PRD-ELE-101"/>
    <s v="Monitor 27inch"/>
    <n v="8"/>
    <n v="55000"/>
    <n v="35844"/>
    <s v="Net Banking"/>
    <s v="Paid"/>
    <n v="440000"/>
    <n v="286752"/>
    <n v="153248"/>
    <n v="0.3482909090909091"/>
    <x v="2"/>
    <x v="0"/>
    <x v="3"/>
    <x v="16"/>
  </r>
  <r>
    <s v="ORD-10962"/>
    <x v="384"/>
    <x v="0"/>
    <x v="1"/>
    <s v="PRD-ELE-102"/>
    <s v="Mechanical Keyboard"/>
    <n v="17"/>
    <n v="4500"/>
    <n v="2764"/>
    <s v="Cash on Delivery"/>
    <s v="Paid"/>
    <n v="76500"/>
    <n v="46988"/>
    <n v="29512"/>
    <n v="0.38577777777777778"/>
    <x v="2"/>
    <x v="1"/>
    <x v="2"/>
    <x v="10"/>
  </r>
  <r>
    <s v="ORD-10963"/>
    <x v="83"/>
    <x v="1"/>
    <x v="0"/>
    <s v="PRD-ELE-101"/>
    <s v="Monitor 27inch"/>
    <n v="2"/>
    <n v="55000"/>
    <n v="38011"/>
    <s v="Credit Card"/>
    <s v="Pending"/>
    <n v="110000"/>
    <n v="76022"/>
    <n v="33978"/>
    <n v="0.3088909090909091"/>
    <x v="2"/>
    <x v="1"/>
    <x v="10"/>
    <x v="13"/>
  </r>
  <r>
    <s v="ORD-10964"/>
    <x v="178"/>
    <x v="4"/>
    <x v="1"/>
    <s v="PRD-ELE-104"/>
    <s v="Core i7 Laptop"/>
    <n v="8"/>
    <n v="75000"/>
    <n v="54319"/>
    <s v="Cash on Delivery"/>
    <s v="Paid"/>
    <n v="600000"/>
    <n v="434552"/>
    <n v="165448"/>
    <n v="0.27574666666666664"/>
    <x v="2"/>
    <x v="1"/>
    <x v="0"/>
    <x v="17"/>
  </r>
  <r>
    <s v="ORD-10965"/>
    <x v="104"/>
    <x v="4"/>
    <x v="1"/>
    <s v="PRD-FUR-202"/>
    <s v="Standing Executive Desk"/>
    <n v="17"/>
    <n v="35000"/>
    <n v="27361"/>
    <s v="UPI"/>
    <s v="Paid"/>
    <n v="595000"/>
    <n v="465137"/>
    <n v="129863"/>
    <n v="0.21825714285714284"/>
    <x v="1"/>
    <x v="1"/>
    <x v="6"/>
    <x v="6"/>
  </r>
  <r>
    <s v="ORD-10966"/>
    <x v="349"/>
    <x v="8"/>
    <x v="4"/>
    <s v="PRD-ELE-104"/>
    <s v="Core i7 Laptop"/>
    <n v="10"/>
    <n v="75000"/>
    <n v="58709"/>
    <s v="Cash on Delivery"/>
    <s v="Paid"/>
    <n v="750000"/>
    <n v="587090"/>
    <n v="162910"/>
    <n v="0.21721333333333334"/>
    <x v="2"/>
    <x v="0"/>
    <x v="9"/>
    <x v="12"/>
  </r>
  <r>
    <s v="ORD-10967"/>
    <x v="476"/>
    <x v="5"/>
    <x v="3"/>
    <s v="PRD-FUR-202"/>
    <s v="Standing Executive Desk"/>
    <n v="9"/>
    <n v="35000"/>
    <n v="22118"/>
    <s v="Cash on Delivery"/>
    <s v="Pending"/>
    <n v="315000"/>
    <n v="199062"/>
    <n v="115938"/>
    <n v="0.36805714285714286"/>
    <x v="1"/>
    <x v="0"/>
    <x v="0"/>
    <x v="0"/>
  </r>
  <r>
    <s v="ORD-10968"/>
    <x v="73"/>
    <x v="6"/>
    <x v="0"/>
    <s v="PRD-ELE-104"/>
    <s v="Core i7 Laptop"/>
    <n v="10"/>
    <n v="75000"/>
    <n v="54473"/>
    <s v="Net Banking"/>
    <s v="Pending"/>
    <n v="750000"/>
    <n v="544730"/>
    <n v="205270"/>
    <n v="0.27369333333333334"/>
    <x v="2"/>
    <x v="0"/>
    <x v="3"/>
    <x v="16"/>
  </r>
  <r>
    <s v="ORD-10969"/>
    <x v="453"/>
    <x v="5"/>
    <x v="4"/>
    <s v="PRD-ACC-302"/>
    <s v="Noise Cancelling Headphones"/>
    <n v="8"/>
    <n v="12500"/>
    <n v="7505"/>
    <s v="Credit Card"/>
    <s v="Pending"/>
    <n v="100000"/>
    <n v="60040"/>
    <n v="39960"/>
    <n v="0.39960000000000001"/>
    <x v="0"/>
    <x v="0"/>
    <x v="9"/>
    <x v="12"/>
  </r>
  <r>
    <s v="ORD-10970"/>
    <x v="203"/>
    <x v="5"/>
    <x v="0"/>
    <s v="PRD-FUR-202"/>
    <s v="Standing Executive Desk"/>
    <n v="3"/>
    <n v="35000"/>
    <n v="25944"/>
    <s v="Cash on Delivery"/>
    <s v="Paid"/>
    <n v="105000"/>
    <n v="77832"/>
    <n v="27168"/>
    <n v="0.25874285714285716"/>
    <x v="1"/>
    <x v="1"/>
    <x v="7"/>
    <x v="8"/>
  </r>
  <r>
    <s v="ORD-10971"/>
    <x v="118"/>
    <x v="7"/>
    <x v="4"/>
    <s v="PRD-FUR-201"/>
    <s v="Ergonomic Desk Chair"/>
    <n v="19"/>
    <n v="14000"/>
    <n v="10197"/>
    <s v="Cash on Delivery"/>
    <s v="Pending"/>
    <n v="266000"/>
    <n v="193743"/>
    <n v="72257"/>
    <n v="0.27164285714285713"/>
    <x v="1"/>
    <x v="1"/>
    <x v="4"/>
    <x v="4"/>
  </r>
  <r>
    <s v="ORD-10972"/>
    <x v="177"/>
    <x v="1"/>
    <x v="0"/>
    <s v="PRD-ELE-104"/>
    <s v="Core i7 Laptop"/>
    <n v="1"/>
    <n v="75000"/>
    <n v="46238"/>
    <s v="Cash on Delivery"/>
    <s v="Pending"/>
    <n v="75000"/>
    <n v="46238"/>
    <n v="28762"/>
    <n v="0.38349333333333335"/>
    <x v="2"/>
    <x v="1"/>
    <x v="4"/>
    <x v="4"/>
  </r>
  <r>
    <s v="ORD-10973"/>
    <x v="155"/>
    <x v="2"/>
    <x v="4"/>
    <s v="PRD-ACC-302"/>
    <s v="Noise Cancelling Headphones"/>
    <n v="14"/>
    <n v="12500"/>
    <n v="7534"/>
    <s v="Net Banking"/>
    <s v="Paid"/>
    <n v="175000"/>
    <n v="105476"/>
    <n v="69524"/>
    <n v="0.39728000000000002"/>
    <x v="0"/>
    <x v="1"/>
    <x v="4"/>
    <x v="4"/>
  </r>
  <r>
    <s v="ORD-10974"/>
    <x v="80"/>
    <x v="0"/>
    <x v="4"/>
    <s v="PRD-FUR-202"/>
    <s v="Standing Executive Desk"/>
    <n v="11"/>
    <n v="35000"/>
    <n v="26996"/>
    <s v="Credit Card"/>
    <s v="Paid"/>
    <n v="385000"/>
    <n v="296956"/>
    <n v="88044"/>
    <n v="0.2286857142857143"/>
    <x v="1"/>
    <x v="0"/>
    <x v="5"/>
    <x v="5"/>
  </r>
  <r>
    <s v="ORD-10975"/>
    <x v="294"/>
    <x v="5"/>
    <x v="3"/>
    <s v="PRD-ELE-104"/>
    <s v="Core i7 Laptop"/>
    <n v="19"/>
    <n v="75000"/>
    <n v="59760"/>
    <s v="UPI"/>
    <s v="Pending"/>
    <n v="1425000"/>
    <n v="1135440"/>
    <n v="289560"/>
    <n v="0.20319999999999999"/>
    <x v="2"/>
    <x v="1"/>
    <x v="10"/>
    <x v="13"/>
  </r>
  <r>
    <s v="ORD-10976"/>
    <x v="6"/>
    <x v="3"/>
    <x v="2"/>
    <s v="PRD-ELE-105"/>
    <s v="Android Tablet 10inch"/>
    <n v="12"/>
    <n v="28000"/>
    <n v="18763"/>
    <s v="UPI"/>
    <s v="Paid"/>
    <n v="336000"/>
    <n v="225156"/>
    <n v="110844"/>
    <n v="0.32989285714285715"/>
    <x v="2"/>
    <x v="0"/>
    <x v="5"/>
    <x v="5"/>
  </r>
  <r>
    <s v="ORD-10977"/>
    <x v="205"/>
    <x v="8"/>
    <x v="3"/>
    <s v="PRD-ACC-302"/>
    <s v="Noise Cancelling Headphones"/>
    <n v="17"/>
    <n v="12500"/>
    <n v="9091"/>
    <s v="Credit Card"/>
    <s v="Paid"/>
    <n v="212500"/>
    <n v="154547"/>
    <n v="57953"/>
    <n v="0.27272000000000002"/>
    <x v="0"/>
    <x v="1"/>
    <x v="4"/>
    <x v="4"/>
  </r>
  <r>
    <s v="ORD-10978"/>
    <x v="396"/>
    <x v="1"/>
    <x v="0"/>
    <s v="PRD-ACC-302"/>
    <s v="Noise Cancelling Headphones"/>
    <n v="14"/>
    <n v="12500"/>
    <n v="8721"/>
    <s v="Net Banking"/>
    <s v="Failed"/>
    <n v="175000"/>
    <n v="122094"/>
    <n v="52906"/>
    <n v="0.30231999999999998"/>
    <x v="0"/>
    <x v="1"/>
    <x v="7"/>
    <x v="8"/>
  </r>
  <r>
    <s v="ORD-10979"/>
    <x v="264"/>
    <x v="3"/>
    <x v="3"/>
    <s v="PRD-ELE-101"/>
    <s v="Monitor 27inch"/>
    <n v="9"/>
    <n v="55000"/>
    <n v="36922"/>
    <s v="Cash on Delivery"/>
    <s v="Paid"/>
    <n v="495000"/>
    <n v="332298"/>
    <n v="162702"/>
    <n v="0.32869090909090909"/>
    <x v="2"/>
    <x v="0"/>
    <x v="9"/>
    <x v="12"/>
  </r>
  <r>
    <s v="ORD-10981"/>
    <x v="211"/>
    <x v="5"/>
    <x v="4"/>
    <s v="PRD-ACC-302"/>
    <s v="Noise Cancelling Headphones"/>
    <n v="3"/>
    <n v="12500"/>
    <n v="9262"/>
    <s v="UPI"/>
    <s v="Pending"/>
    <n v="37500"/>
    <n v="27786"/>
    <n v="9714"/>
    <n v="0.25903999999999999"/>
    <x v="0"/>
    <x v="1"/>
    <x v="9"/>
    <x v="11"/>
  </r>
  <r>
    <s v="ORD-10982"/>
    <x v="166"/>
    <x v="7"/>
    <x v="0"/>
    <s v="PRD-ACC-302"/>
    <s v="Noise Cancelling Headphones"/>
    <n v="7"/>
    <n v="12500"/>
    <n v="8015"/>
    <s v="Cash on Delivery"/>
    <s v="Pending"/>
    <n v="87500"/>
    <n v="56105"/>
    <n v="31395"/>
    <n v="0.35880000000000001"/>
    <x v="0"/>
    <x v="1"/>
    <x v="5"/>
    <x v="7"/>
  </r>
  <r>
    <s v="ORD-10983"/>
    <x v="220"/>
    <x v="1"/>
    <x v="0"/>
    <s v="PRD-ACC-301"/>
    <s v="USB-C Docking Station"/>
    <n v="7"/>
    <n v="8500"/>
    <n v="6397"/>
    <s v="Cash on Delivery"/>
    <s v="Pending"/>
    <n v="59500"/>
    <n v="44779"/>
    <n v="14721"/>
    <n v="0.24741176470588236"/>
    <x v="0"/>
    <x v="1"/>
    <x v="2"/>
    <x v="10"/>
  </r>
  <r>
    <s v="ORD-10984"/>
    <x v="368"/>
    <x v="7"/>
    <x v="0"/>
    <s v="PRD-FUR-202"/>
    <s v="Standing Executive Desk"/>
    <n v="9"/>
    <n v="35000"/>
    <n v="24788"/>
    <s v="UPI"/>
    <s v="Pending"/>
    <n v="315000"/>
    <n v="223092"/>
    <n v="91908"/>
    <n v="0.29177142857142857"/>
    <x v="1"/>
    <x v="0"/>
    <x v="11"/>
    <x v="18"/>
  </r>
  <r>
    <s v="ORD-10985"/>
    <x v="478"/>
    <x v="7"/>
    <x v="4"/>
    <s v="PRD-ELE-102"/>
    <s v="Mechanical Keyboard"/>
    <n v="3"/>
    <n v="4500"/>
    <n v="2889"/>
    <s v="Cash on Delivery"/>
    <s v="Pending"/>
    <n v="13500"/>
    <n v="8667"/>
    <n v="4833"/>
    <n v="0.35799999999999998"/>
    <x v="2"/>
    <x v="1"/>
    <x v="0"/>
    <x v="17"/>
  </r>
  <r>
    <s v="ORD-10986"/>
    <x v="72"/>
    <x v="3"/>
    <x v="4"/>
    <s v="PRD-ACC-301"/>
    <s v="USB-C Docking Station"/>
    <n v="17"/>
    <n v="8500"/>
    <n v="6120"/>
    <s v="Cash on Delivery"/>
    <s v="Paid"/>
    <n v="144500"/>
    <n v="104040"/>
    <n v="40460"/>
    <n v="0.28000000000000003"/>
    <x v="0"/>
    <x v="0"/>
    <x v="9"/>
    <x v="12"/>
  </r>
  <r>
    <s v="ORD-10987"/>
    <x v="320"/>
    <x v="3"/>
    <x v="2"/>
    <s v="PRD-FUR-201"/>
    <s v="Ergonomic Desk Chair"/>
    <n v="8"/>
    <n v="14000"/>
    <n v="9350"/>
    <s v="Cash on Delivery"/>
    <s v="Failed"/>
    <n v="112000"/>
    <n v="74800"/>
    <n v="37200"/>
    <n v="0.33214285714285713"/>
    <x v="1"/>
    <x v="1"/>
    <x v="4"/>
    <x v="4"/>
  </r>
  <r>
    <s v="ORD-10988"/>
    <x v="101"/>
    <x v="2"/>
    <x v="4"/>
    <s v="PRD-ACC-301"/>
    <s v="USB-C Docking Station"/>
    <n v="16"/>
    <n v="8500"/>
    <n v="6239"/>
    <s v="UPI"/>
    <s v="Pending"/>
    <n v="136000"/>
    <n v="99824"/>
    <n v="36176"/>
    <n v="0.26600000000000001"/>
    <x v="0"/>
    <x v="1"/>
    <x v="7"/>
    <x v="8"/>
  </r>
  <r>
    <s v="ORD-10989"/>
    <x v="168"/>
    <x v="8"/>
    <x v="3"/>
    <s v="PRD-ELE-104"/>
    <s v="Core i7 Laptop"/>
    <n v="2"/>
    <n v="75000"/>
    <n v="45480"/>
    <s v="Cash on Delivery"/>
    <s v="Failed"/>
    <n v="150000"/>
    <n v="90960"/>
    <n v="59040"/>
    <n v="0.39360000000000001"/>
    <x v="2"/>
    <x v="1"/>
    <x v="0"/>
    <x v="17"/>
  </r>
  <r>
    <s v="ORD-10991"/>
    <x v="136"/>
    <x v="7"/>
    <x v="0"/>
    <s v="PRD-ELE-105"/>
    <s v="Android Tablet 10inch"/>
    <n v="4"/>
    <n v="28000"/>
    <n v="21254"/>
    <s v="Credit Card"/>
    <s v="Failed"/>
    <n v="112000"/>
    <n v="85016"/>
    <n v="26984"/>
    <n v="0.24092857142857144"/>
    <x v="2"/>
    <x v="0"/>
    <x v="0"/>
    <x v="0"/>
  </r>
  <r>
    <s v="ORD-10992"/>
    <x v="87"/>
    <x v="7"/>
    <x v="3"/>
    <s v="PRD-ELE-104"/>
    <s v="Core i7 Laptop"/>
    <n v="5"/>
    <n v="75000"/>
    <n v="48594"/>
    <s v="Net Banking"/>
    <s v="Paid"/>
    <n v="375000"/>
    <n v="242970"/>
    <n v="132030"/>
    <n v="0.35208"/>
    <x v="2"/>
    <x v="1"/>
    <x v="10"/>
    <x v="13"/>
  </r>
  <r>
    <s v="ORD-10993"/>
    <x v="142"/>
    <x v="3"/>
    <x v="1"/>
    <s v="PRD-ACC-302"/>
    <s v="Noise Cancelling Headphones"/>
    <n v="14"/>
    <n v="12500"/>
    <n v="7957"/>
    <s v="Cash on Delivery"/>
    <s v="Failed"/>
    <n v="175000"/>
    <n v="111398"/>
    <n v="63602"/>
    <n v="0.36343999999999999"/>
    <x v="0"/>
    <x v="1"/>
    <x v="4"/>
    <x v="4"/>
  </r>
  <r>
    <s v="ORD-10994"/>
    <x v="103"/>
    <x v="8"/>
    <x v="2"/>
    <s v="PRD-ELE-104"/>
    <s v="Core i7 Laptop"/>
    <n v="5"/>
    <n v="75000"/>
    <n v="55585"/>
    <s v="Cash on Delivery"/>
    <s v="Paid"/>
    <n v="375000"/>
    <n v="277925"/>
    <n v="97075"/>
    <n v="0.25886666666666669"/>
    <x v="2"/>
    <x v="1"/>
    <x v="7"/>
    <x v="8"/>
  </r>
  <r>
    <s v="ORD-10995"/>
    <x v="53"/>
    <x v="5"/>
    <x v="1"/>
    <s v="PRD-ACC-301"/>
    <s v="USB-C Docking Station"/>
    <n v="14"/>
    <n v="8500"/>
    <n v="5257"/>
    <s v="Credit Card"/>
    <s v="Paid"/>
    <n v="119000"/>
    <n v="73598"/>
    <n v="45402"/>
    <n v="0.38152941176470589"/>
    <x v="0"/>
    <x v="0"/>
    <x v="3"/>
    <x v="16"/>
  </r>
  <r>
    <s v="ORD-10996"/>
    <x v="311"/>
    <x v="8"/>
    <x v="0"/>
    <s v="PRD-ACC-301"/>
    <s v="USB-C Docking Station"/>
    <n v="17"/>
    <n v="8500"/>
    <n v="6691"/>
    <s v="Net Banking"/>
    <s v="Pending"/>
    <n v="144500"/>
    <n v="113747"/>
    <n v="30753"/>
    <n v="0.21282352941176472"/>
    <x v="0"/>
    <x v="0"/>
    <x v="2"/>
    <x v="2"/>
  </r>
  <r>
    <s v="ORD-10997"/>
    <x v="237"/>
    <x v="2"/>
    <x v="0"/>
    <s v="PRD-ELE-104"/>
    <s v="Core i7 Laptop"/>
    <n v="5"/>
    <n v="75000"/>
    <n v="45138"/>
    <s v="Credit Card"/>
    <s v="Paid"/>
    <n v="375000"/>
    <n v="225690"/>
    <n v="149310"/>
    <n v="0.39816000000000001"/>
    <x v="2"/>
    <x v="1"/>
    <x v="1"/>
    <x v="1"/>
  </r>
  <r>
    <s v="ORD-10998"/>
    <x v="440"/>
    <x v="7"/>
    <x v="1"/>
    <s v="PRD-FUR-201"/>
    <s v="Ergonomic Desk Chair"/>
    <n v="7"/>
    <n v="14000"/>
    <n v="10921"/>
    <s v="Net Banking"/>
    <s v="Paid"/>
    <n v="98000"/>
    <n v="76447"/>
    <n v="21553"/>
    <n v="0.21992857142857142"/>
    <x v="1"/>
    <x v="0"/>
    <x v="3"/>
    <x v="16"/>
  </r>
  <r>
    <s v="ORD-10999"/>
    <x v="247"/>
    <x v="4"/>
    <x v="1"/>
    <s v="PRD-ELE-103"/>
    <s v="Wireless Mouse"/>
    <n v="15"/>
    <n v="2500"/>
    <n v="1744"/>
    <s v="Credit Card"/>
    <s v="Paid"/>
    <n v="37500"/>
    <n v="26160"/>
    <n v="11340"/>
    <n v="0.3024"/>
    <x v="2"/>
    <x v="1"/>
    <x v="1"/>
    <x v="1"/>
  </r>
  <r>
    <s v="ORD-11000"/>
    <x v="479"/>
    <x v="3"/>
    <x v="4"/>
    <s v="PRD-ACC-301"/>
    <s v="USB-C Docking Station"/>
    <n v="11"/>
    <n v="8500"/>
    <n v="5538"/>
    <s v="Cash on Delivery"/>
    <s v="Failed"/>
    <n v="93500"/>
    <n v="60918"/>
    <n v="32582"/>
    <n v="0.34847058823529414"/>
    <x v="0"/>
    <x v="1"/>
    <x v="1"/>
    <x v="1"/>
  </r>
  <r>
    <s v="ORD-11001"/>
    <x v="291"/>
    <x v="5"/>
    <x v="0"/>
    <s v="PRD-ACC-302"/>
    <s v="Noise Cancelling Headphones"/>
    <n v="18"/>
    <n v="12500"/>
    <n v="7666"/>
    <s v="Cash on Delivery"/>
    <s v="Paid"/>
    <n v="225000"/>
    <n v="137988"/>
    <n v="87012"/>
    <n v="0.38672000000000001"/>
    <x v="0"/>
    <x v="1"/>
    <x v="6"/>
    <x v="6"/>
  </r>
  <r>
    <s v="ORD-11002"/>
    <x v="336"/>
    <x v="5"/>
    <x v="0"/>
    <s v="PRD-ELE-104"/>
    <s v="Core i7 Laptop"/>
    <n v="11"/>
    <n v="75000"/>
    <n v="52334"/>
    <s v="UPI"/>
    <s v="Failed"/>
    <n v="825000"/>
    <n v="575674"/>
    <n v="249326"/>
    <n v="0.30221333333333333"/>
    <x v="2"/>
    <x v="1"/>
    <x v="2"/>
    <x v="10"/>
  </r>
  <r>
    <s v="ORD-11003"/>
    <x v="458"/>
    <x v="3"/>
    <x v="3"/>
    <s v="PRD-FUR-202"/>
    <s v="Standing Executive Desk"/>
    <n v="9"/>
    <n v="35000"/>
    <n v="23188"/>
    <s v="Cash on Delivery"/>
    <s v="Paid"/>
    <n v="315000"/>
    <n v="208692"/>
    <n v="106308"/>
    <n v="0.33748571428571428"/>
    <x v="1"/>
    <x v="1"/>
    <x v="11"/>
    <x v="19"/>
  </r>
  <r>
    <s v="ORD-11004"/>
    <x v="144"/>
    <x v="4"/>
    <x v="4"/>
    <s v="PRD-ELE-104"/>
    <s v="Core i7 Laptop"/>
    <n v="10"/>
    <n v="75000"/>
    <n v="51332"/>
    <s v="UPI"/>
    <s v="Pending"/>
    <n v="750000"/>
    <n v="513320"/>
    <n v="236680"/>
    <n v="0.31557333333333332"/>
    <x v="2"/>
    <x v="1"/>
    <x v="11"/>
    <x v="19"/>
  </r>
  <r>
    <s v="ORD-11005"/>
    <x v="480"/>
    <x v="2"/>
    <x v="0"/>
    <s v="PRD-ELE-104"/>
    <s v="Core i7 Laptop"/>
    <n v="5"/>
    <n v="75000"/>
    <n v="53952"/>
    <s v="UPI"/>
    <s v="Failed"/>
    <n v="375000"/>
    <n v="269760"/>
    <n v="105240"/>
    <n v="0.28064"/>
    <x v="2"/>
    <x v="1"/>
    <x v="10"/>
    <x v="13"/>
  </r>
  <r>
    <s v="ORD-11006"/>
    <x v="246"/>
    <x v="8"/>
    <x v="4"/>
    <s v="PRD-ACC-302"/>
    <s v="Noise Cancelling Headphones"/>
    <n v="2"/>
    <n v="12500"/>
    <n v="9736"/>
    <s v="Cash on Delivery"/>
    <s v="Pending"/>
    <n v="25000"/>
    <n v="19472"/>
    <n v="5528"/>
    <n v="0.22112000000000001"/>
    <x v="0"/>
    <x v="1"/>
    <x v="11"/>
    <x v="19"/>
  </r>
  <r>
    <s v="ORD-11007"/>
    <x v="457"/>
    <x v="5"/>
    <x v="2"/>
    <s v="PRD-FUR-201"/>
    <s v="Ergonomic Desk Chair"/>
    <n v="7"/>
    <n v="14000"/>
    <n v="8833"/>
    <s v="Credit Card"/>
    <s v="Paid"/>
    <n v="98000"/>
    <n v="61831"/>
    <n v="36169"/>
    <n v="0.36907142857142855"/>
    <x v="1"/>
    <x v="0"/>
    <x v="3"/>
    <x v="16"/>
  </r>
  <r>
    <s v="ORD-11008"/>
    <x v="133"/>
    <x v="0"/>
    <x v="2"/>
    <s v="PRD-FUR-201"/>
    <s v="Ergonomic Desk Chair"/>
    <n v="17"/>
    <n v="14000"/>
    <n v="10302"/>
    <s v="Credit Card"/>
    <s v="Paid"/>
    <n v="238000"/>
    <n v="175134"/>
    <n v="62866"/>
    <n v="0.26414285714285712"/>
    <x v="1"/>
    <x v="1"/>
    <x v="3"/>
    <x v="3"/>
  </r>
  <r>
    <s v="ORD-11009"/>
    <x v="302"/>
    <x v="6"/>
    <x v="3"/>
    <s v="PRD-ELE-102"/>
    <s v="Mechanical Keyboard"/>
    <n v="12"/>
    <n v="4500"/>
    <n v="3505"/>
    <s v="Credit Card"/>
    <s v="Pending"/>
    <n v="54000"/>
    <n v="42060"/>
    <n v="11940"/>
    <n v="0.22111111111111112"/>
    <x v="2"/>
    <x v="1"/>
    <x v="7"/>
    <x v="8"/>
  </r>
  <r>
    <s v="ORD-11010"/>
    <x v="356"/>
    <x v="2"/>
    <x v="1"/>
    <s v="PRD-ELE-103"/>
    <s v="Wireless Mouse"/>
    <n v="7"/>
    <n v="2500"/>
    <n v="1515"/>
    <s v="Net Banking"/>
    <s v="Paid"/>
    <n v="17500"/>
    <n v="10605"/>
    <n v="6895"/>
    <n v="0.39400000000000002"/>
    <x v="2"/>
    <x v="1"/>
    <x v="10"/>
    <x v="13"/>
  </r>
  <r>
    <s v="ORD-11011"/>
    <x v="420"/>
    <x v="5"/>
    <x v="0"/>
    <s v="PRD-ELE-105"/>
    <s v="Android Tablet 10inch"/>
    <n v="9"/>
    <n v="28000"/>
    <n v="19243"/>
    <s v="Credit Card"/>
    <s v="Failed"/>
    <n v="252000"/>
    <n v="173187"/>
    <n v="78813"/>
    <n v="0.31274999999999997"/>
    <x v="2"/>
    <x v="1"/>
    <x v="4"/>
    <x v="4"/>
  </r>
  <r>
    <s v="ORD-11012"/>
    <x v="31"/>
    <x v="1"/>
    <x v="0"/>
    <s v="PRD-ELE-105"/>
    <s v="Android Tablet 10inch"/>
    <n v="7"/>
    <n v="28000"/>
    <n v="17379"/>
    <s v="UPI"/>
    <s v="Pending"/>
    <n v="196000"/>
    <n v="121653"/>
    <n v="74347"/>
    <n v="0.37932142857142859"/>
    <x v="2"/>
    <x v="0"/>
    <x v="6"/>
    <x v="15"/>
  </r>
  <r>
    <s v="ORD-11013"/>
    <x v="471"/>
    <x v="3"/>
    <x v="4"/>
    <s v="PRD-ELE-105"/>
    <s v="Android Tablet 10inch"/>
    <n v="4"/>
    <n v="28000"/>
    <n v="21515"/>
    <s v="Cash on Delivery"/>
    <s v="Pending"/>
    <n v="112000"/>
    <n v="86060"/>
    <n v="25940"/>
    <n v="0.23160714285714284"/>
    <x v="2"/>
    <x v="1"/>
    <x v="6"/>
    <x v="6"/>
  </r>
  <r>
    <s v="ORD-11014"/>
    <x v="38"/>
    <x v="3"/>
    <x v="3"/>
    <s v="PRD-ELE-103"/>
    <s v="Wireless Mouse"/>
    <n v="3"/>
    <n v="2500"/>
    <n v="1824"/>
    <s v="Cash on Delivery"/>
    <s v="Paid"/>
    <n v="7500"/>
    <n v="5472"/>
    <n v="2028"/>
    <n v="0.27039999999999997"/>
    <x v="2"/>
    <x v="0"/>
    <x v="3"/>
    <x v="16"/>
  </r>
  <r>
    <s v="ORD-11016"/>
    <x v="370"/>
    <x v="6"/>
    <x v="0"/>
    <s v="PRD-ELE-102"/>
    <s v="Mechanical Keyboard"/>
    <n v="17"/>
    <n v="4500"/>
    <n v="3467"/>
    <s v="Cash on Delivery"/>
    <s v="Pending"/>
    <n v="76500"/>
    <n v="58939"/>
    <n v="17561"/>
    <n v="0.22955555555555557"/>
    <x v="2"/>
    <x v="0"/>
    <x v="5"/>
    <x v="5"/>
  </r>
  <r>
    <s v="ORD-11017"/>
    <x v="206"/>
    <x v="7"/>
    <x v="4"/>
    <s v="PRD-ELE-102"/>
    <s v="Mechanical Keyboard"/>
    <n v="9"/>
    <n v="4500"/>
    <n v="2880"/>
    <s v="UPI"/>
    <s v="Pending"/>
    <n v="40500"/>
    <n v="25920"/>
    <n v="14580"/>
    <n v="0.36"/>
    <x v="2"/>
    <x v="1"/>
    <x v="10"/>
    <x v="13"/>
  </r>
  <r>
    <s v="ORD-11018"/>
    <x v="376"/>
    <x v="0"/>
    <x v="4"/>
    <s v="PRD-ELE-101"/>
    <s v="Monitor 27inch"/>
    <n v="8"/>
    <n v="55000"/>
    <n v="34321"/>
    <s v="Cash on Delivery"/>
    <s v="Paid"/>
    <n v="440000"/>
    <n v="274568"/>
    <n v="165432"/>
    <n v="0.37598181818181819"/>
    <x v="2"/>
    <x v="1"/>
    <x v="5"/>
    <x v="7"/>
  </r>
  <r>
    <s v="ORD-11019"/>
    <x v="413"/>
    <x v="6"/>
    <x v="0"/>
    <s v="PRD-ELE-102"/>
    <s v="Mechanical Keyboard"/>
    <n v="13"/>
    <n v="4500"/>
    <n v="3447"/>
    <s v="UPI"/>
    <s v="Paid"/>
    <n v="58500"/>
    <n v="44811"/>
    <n v="13689"/>
    <n v="0.23400000000000001"/>
    <x v="2"/>
    <x v="1"/>
    <x v="10"/>
    <x v="13"/>
  </r>
  <r>
    <s v="ORD-11020"/>
    <x v="481"/>
    <x v="7"/>
    <x v="0"/>
    <s v="PRD-FUR-201"/>
    <s v="Ergonomic Desk Chair"/>
    <n v="3"/>
    <n v="14000"/>
    <n v="9785"/>
    <s v="Cash on Delivery"/>
    <s v="Paid"/>
    <n v="42000"/>
    <n v="29355"/>
    <n v="12645"/>
    <n v="0.30107142857142855"/>
    <x v="1"/>
    <x v="1"/>
    <x v="3"/>
    <x v="3"/>
  </r>
  <r>
    <s v="ORD-11021"/>
    <x v="319"/>
    <x v="6"/>
    <x v="4"/>
    <s v="PRD-ELE-101"/>
    <s v="Monitor 27inch"/>
    <n v="2"/>
    <n v="55000"/>
    <n v="34614"/>
    <s v="Credit Card"/>
    <s v="Pending"/>
    <n v="110000"/>
    <n v="69228"/>
    <n v="40772"/>
    <n v="0.37065454545454546"/>
    <x v="2"/>
    <x v="1"/>
    <x v="11"/>
    <x v="19"/>
  </r>
  <r>
    <s v="ORD-11022"/>
    <x v="245"/>
    <x v="5"/>
    <x v="1"/>
    <s v="PRD-FUR-201"/>
    <s v="Ergonomic Desk Chair"/>
    <n v="13"/>
    <n v="14000"/>
    <n v="8491"/>
    <s v="Credit Card"/>
    <s v="Failed"/>
    <n v="182000"/>
    <n v="110383"/>
    <n v="71617"/>
    <n v="0.39350000000000002"/>
    <x v="1"/>
    <x v="1"/>
    <x v="9"/>
    <x v="11"/>
  </r>
  <r>
    <s v="ORD-11023"/>
    <x v="482"/>
    <x v="5"/>
    <x v="4"/>
    <s v="PRD-ELE-103"/>
    <s v="Wireless Mouse"/>
    <n v="17"/>
    <n v="2500"/>
    <n v="1817"/>
    <s v="UPI"/>
    <s v="Paid"/>
    <n v="42500"/>
    <n v="30889"/>
    <n v="11611"/>
    <n v="0.2732"/>
    <x v="2"/>
    <x v="1"/>
    <x v="3"/>
    <x v="3"/>
  </r>
  <r>
    <s v="ORD-11024"/>
    <x v="416"/>
    <x v="1"/>
    <x v="1"/>
    <s v="PRD-FUR-202"/>
    <s v="Standing Executive Desk"/>
    <n v="15"/>
    <n v="35000"/>
    <n v="21748"/>
    <s v="Net Banking"/>
    <s v="Failed"/>
    <n v="525000"/>
    <n v="326220"/>
    <n v="198780"/>
    <n v="0.37862857142857143"/>
    <x v="1"/>
    <x v="1"/>
    <x v="6"/>
    <x v="6"/>
  </r>
  <r>
    <s v="ORD-11025"/>
    <x v="133"/>
    <x v="6"/>
    <x v="2"/>
    <s v="PRD-ELE-102"/>
    <s v="Mechanical Keyboard"/>
    <n v="11"/>
    <n v="4500"/>
    <n v="3388"/>
    <s v="Credit Card"/>
    <s v="Failed"/>
    <n v="49500"/>
    <n v="37268"/>
    <n v="12232"/>
    <n v="0.24711111111111111"/>
    <x v="2"/>
    <x v="1"/>
    <x v="3"/>
    <x v="3"/>
  </r>
  <r>
    <s v="ORD-11026"/>
    <x v="106"/>
    <x v="4"/>
    <x v="1"/>
    <s v="PRD-FUR-202"/>
    <s v="Standing Executive Desk"/>
    <n v="14"/>
    <n v="35000"/>
    <n v="23047"/>
    <s v="Cash on Delivery"/>
    <s v="Failed"/>
    <n v="490000"/>
    <n v="322658"/>
    <n v="167342"/>
    <n v="0.34151428571428571"/>
    <x v="1"/>
    <x v="0"/>
    <x v="6"/>
    <x v="15"/>
  </r>
  <r>
    <s v="ORD-11027"/>
    <x v="415"/>
    <x v="1"/>
    <x v="1"/>
    <s v="PRD-ELE-104"/>
    <s v="Core i7 Laptop"/>
    <n v="7"/>
    <n v="75000"/>
    <n v="53140"/>
    <s v="Net Banking"/>
    <s v="Pending"/>
    <n v="525000"/>
    <n v="371980"/>
    <n v="153020"/>
    <n v="0.29146666666666665"/>
    <x v="2"/>
    <x v="1"/>
    <x v="8"/>
    <x v="14"/>
  </r>
  <r>
    <s v="ORD-11028"/>
    <x v="45"/>
    <x v="2"/>
    <x v="4"/>
    <s v="PRD-ELE-105"/>
    <s v="Android Tablet 10inch"/>
    <n v="18"/>
    <n v="28000"/>
    <n v="22069"/>
    <s v="UPI"/>
    <s v="Pending"/>
    <n v="504000"/>
    <n v="397242"/>
    <n v="106758"/>
    <n v="0.21182142857142858"/>
    <x v="2"/>
    <x v="1"/>
    <x v="3"/>
    <x v="3"/>
  </r>
  <r>
    <s v="ORD-11029"/>
    <x v="355"/>
    <x v="0"/>
    <x v="2"/>
    <s v="PRD-ELE-105"/>
    <s v="Android Tablet 10inch"/>
    <n v="8"/>
    <n v="28000"/>
    <n v="19953"/>
    <s v="Cash on Delivery"/>
    <s v="Pending"/>
    <n v="224000"/>
    <n v="159624"/>
    <n v="64376"/>
    <n v="0.28739285714285712"/>
    <x v="2"/>
    <x v="0"/>
    <x v="6"/>
    <x v="15"/>
  </r>
  <r>
    <s v="ORD-11030"/>
    <x v="483"/>
    <x v="1"/>
    <x v="4"/>
    <s v="PRD-ACC-301"/>
    <s v="USB-C Docking Station"/>
    <n v="15"/>
    <n v="8500"/>
    <n v="5487"/>
    <s v="Cash on Delivery"/>
    <s v="Pending"/>
    <n v="127500"/>
    <n v="82305"/>
    <n v="45195"/>
    <n v="0.35447058823529409"/>
    <x v="0"/>
    <x v="0"/>
    <x v="5"/>
    <x v="5"/>
  </r>
  <r>
    <s v="ORD-11031"/>
    <x v="142"/>
    <x v="5"/>
    <x v="2"/>
    <s v="PRD-ACC-302"/>
    <s v="Noise Cancelling Headphones"/>
    <n v="13"/>
    <n v="12500"/>
    <n v="9265"/>
    <s v="Cash on Delivery"/>
    <s v="Pending"/>
    <n v="162500"/>
    <n v="120445"/>
    <n v="42055"/>
    <n v="0.25879999999999997"/>
    <x v="0"/>
    <x v="1"/>
    <x v="4"/>
    <x v="4"/>
  </r>
  <r>
    <s v="ORD-11032"/>
    <x v="7"/>
    <x v="3"/>
    <x v="2"/>
    <s v="PRD-ELE-103"/>
    <s v="Wireless Mouse"/>
    <n v="10"/>
    <n v="2500"/>
    <n v="1624"/>
    <s v="Cash on Delivery"/>
    <s v="Failed"/>
    <n v="25000"/>
    <n v="16240"/>
    <n v="8760"/>
    <n v="0.35039999999999999"/>
    <x v="2"/>
    <x v="0"/>
    <x v="0"/>
    <x v="0"/>
  </r>
  <r>
    <s v="ORD-11033"/>
    <x v="292"/>
    <x v="8"/>
    <x v="0"/>
    <s v="PRD-FUR-201"/>
    <s v="Ergonomic Desk Chair"/>
    <n v="9"/>
    <n v="14000"/>
    <n v="11093"/>
    <s v="Cash on Delivery"/>
    <s v="Pending"/>
    <n v="126000"/>
    <n v="99837"/>
    <n v="26163"/>
    <n v="0.20764285714285713"/>
    <x v="1"/>
    <x v="1"/>
    <x v="10"/>
    <x v="13"/>
  </r>
  <r>
    <s v="ORD-11034"/>
    <x v="470"/>
    <x v="8"/>
    <x v="1"/>
    <s v="PRD-FUR-201"/>
    <s v="Ergonomic Desk Chair"/>
    <n v="15"/>
    <n v="14000"/>
    <n v="9646"/>
    <s v="Cash on Delivery"/>
    <s v="Pending"/>
    <n v="210000"/>
    <n v="144690"/>
    <n v="65310"/>
    <n v="0.311"/>
    <x v="1"/>
    <x v="0"/>
    <x v="2"/>
    <x v="2"/>
  </r>
  <r>
    <s v="ORD-11035"/>
    <x v="142"/>
    <x v="4"/>
    <x v="4"/>
    <s v="PRD-ELE-103"/>
    <s v="Wireless Mouse"/>
    <n v="6"/>
    <n v="2500"/>
    <n v="1861"/>
    <s v="Cash on Delivery"/>
    <s v="Unknown"/>
    <n v="15000"/>
    <n v="11166"/>
    <n v="3834"/>
    <n v="0.25559999999999999"/>
    <x v="2"/>
    <x v="1"/>
    <x v="4"/>
    <x v="4"/>
  </r>
  <r>
    <s v="ORD-11036"/>
    <x v="474"/>
    <x v="2"/>
    <x v="1"/>
    <s v="PRD-ELE-101"/>
    <s v="Monitor 27inch"/>
    <n v="13"/>
    <n v="55000"/>
    <n v="34168"/>
    <s v="Credit Card"/>
    <s v="Paid"/>
    <n v="715000"/>
    <n v="444184"/>
    <n v="270816"/>
    <n v="0.37876363636363636"/>
    <x v="2"/>
    <x v="0"/>
    <x v="11"/>
    <x v="18"/>
  </r>
  <r>
    <s v="ORD-11037"/>
    <x v="102"/>
    <x v="3"/>
    <x v="1"/>
    <s v="PRD-ELE-102"/>
    <s v="Mechanical Keyboard"/>
    <n v="16"/>
    <n v="4500"/>
    <n v="3315"/>
    <s v="Cash on Delivery"/>
    <s v="Paid"/>
    <n v="72000"/>
    <n v="53040"/>
    <n v="18960"/>
    <n v="0.26333333333333331"/>
    <x v="2"/>
    <x v="1"/>
    <x v="0"/>
    <x v="17"/>
  </r>
  <r>
    <s v="ORD-11038"/>
    <x v="26"/>
    <x v="2"/>
    <x v="4"/>
    <s v="PRD-FUR-201"/>
    <s v="Ergonomic Desk Chair"/>
    <n v="15"/>
    <n v="14000"/>
    <n v="9961"/>
    <s v="Credit Card"/>
    <s v="Failed"/>
    <n v="210000"/>
    <n v="149415"/>
    <n v="60585"/>
    <n v="0.28849999999999998"/>
    <x v="1"/>
    <x v="0"/>
    <x v="9"/>
    <x v="12"/>
  </r>
  <r>
    <s v="ORD-11039"/>
    <x v="160"/>
    <x v="2"/>
    <x v="4"/>
    <s v="PRD-FUR-202"/>
    <s v="Standing Executive Desk"/>
    <n v="6"/>
    <n v="35000"/>
    <n v="25310"/>
    <s v="Net Banking"/>
    <s v="Paid"/>
    <n v="210000"/>
    <n v="151860"/>
    <n v="58140"/>
    <n v="0.27685714285714286"/>
    <x v="1"/>
    <x v="1"/>
    <x v="11"/>
    <x v="19"/>
  </r>
  <r>
    <s v="ORD-11040"/>
    <x v="228"/>
    <x v="3"/>
    <x v="3"/>
    <s v="PRD-ACC-301"/>
    <s v="USB-C Docking Station"/>
    <n v="16"/>
    <n v="8500"/>
    <n v="6762"/>
    <s v="Net Banking"/>
    <s v="Failed"/>
    <n v="136000"/>
    <n v="108192"/>
    <n v="27808"/>
    <n v="0.20447058823529413"/>
    <x v="0"/>
    <x v="1"/>
    <x v="8"/>
    <x v="14"/>
  </r>
  <r>
    <s v="ORD-11041"/>
    <x v="484"/>
    <x v="3"/>
    <x v="3"/>
    <s v="PRD-ACC-302"/>
    <s v="Noise Cancelling Headphones"/>
    <n v="17"/>
    <n v="12500"/>
    <n v="9615"/>
    <s v="UPI"/>
    <s v="Pending"/>
    <n v="212500"/>
    <n v="163455"/>
    <n v="49045"/>
    <n v="0.23080000000000001"/>
    <x v="0"/>
    <x v="1"/>
    <x v="2"/>
    <x v="10"/>
  </r>
  <r>
    <s v="ORD-11042"/>
    <x v="485"/>
    <x v="0"/>
    <x v="4"/>
    <s v="PRD-ELE-105"/>
    <s v="Android Tablet 10inch"/>
    <n v="10"/>
    <n v="28000"/>
    <n v="21608"/>
    <s v="UPI"/>
    <s v="Failed"/>
    <n v="280000"/>
    <n v="216080"/>
    <n v="63920"/>
    <n v="0.22828571428571429"/>
    <x v="2"/>
    <x v="1"/>
    <x v="9"/>
    <x v="11"/>
  </r>
  <r>
    <s v="ORD-11043"/>
    <x v="60"/>
    <x v="2"/>
    <x v="2"/>
    <s v="PRD-ELE-102"/>
    <s v="Mechanical Keyboard"/>
    <n v="17"/>
    <n v="4500"/>
    <n v="3308"/>
    <s v="Credit Card"/>
    <s v="Pending"/>
    <n v="76500"/>
    <n v="56236"/>
    <n v="20264"/>
    <n v="0.2648888888888889"/>
    <x v="2"/>
    <x v="0"/>
    <x v="11"/>
    <x v="18"/>
  </r>
  <r>
    <s v="ORD-11044"/>
    <x v="257"/>
    <x v="3"/>
    <x v="4"/>
    <s v="PRD-ELE-101"/>
    <s v="Monitor 27inch"/>
    <n v="12"/>
    <n v="55000"/>
    <n v="38629"/>
    <s v="Credit Card"/>
    <s v="Paid"/>
    <n v="660000"/>
    <n v="463548"/>
    <n v="196452"/>
    <n v="0.29765454545454545"/>
    <x v="2"/>
    <x v="0"/>
    <x v="5"/>
    <x v="5"/>
  </r>
  <r>
    <s v="ORD-11045"/>
    <x v="486"/>
    <x v="6"/>
    <x v="0"/>
    <s v="PRD-ELE-101"/>
    <s v="Monitor 27inch"/>
    <n v="15"/>
    <n v="55000"/>
    <n v="33853"/>
    <s v="UPI"/>
    <s v="Paid"/>
    <n v="825000"/>
    <n v="507795"/>
    <n v="317205"/>
    <n v="0.38449090909090911"/>
    <x v="2"/>
    <x v="0"/>
    <x v="11"/>
    <x v="18"/>
  </r>
  <r>
    <s v="ORD-11046"/>
    <x v="246"/>
    <x v="1"/>
    <x v="3"/>
    <s v="PRD-FUR-202"/>
    <s v="Standing Executive Desk"/>
    <n v="11"/>
    <n v="35000"/>
    <n v="26753"/>
    <s v="Credit Card"/>
    <s v="Paid"/>
    <n v="385000"/>
    <n v="294283"/>
    <n v="90717"/>
    <n v="0.23562857142857144"/>
    <x v="1"/>
    <x v="1"/>
    <x v="11"/>
    <x v="19"/>
  </r>
  <r>
    <s v="ORD-11047"/>
    <x v="382"/>
    <x v="2"/>
    <x v="1"/>
    <s v="PRD-ACC-302"/>
    <s v="Noise Cancelling Headphones"/>
    <n v="9"/>
    <n v="12500"/>
    <n v="9993"/>
    <s v="UPI"/>
    <s v="Paid"/>
    <n v="112500"/>
    <n v="89937"/>
    <n v="22563"/>
    <n v="0.20055999999999999"/>
    <x v="0"/>
    <x v="1"/>
    <x v="10"/>
    <x v="13"/>
  </r>
  <r>
    <s v="ORD-11048"/>
    <x v="487"/>
    <x v="2"/>
    <x v="4"/>
    <s v="PRD-ELE-105"/>
    <s v="Android Tablet 10inch"/>
    <n v="16"/>
    <n v="28000"/>
    <n v="19452"/>
    <s v="Credit Card"/>
    <s v="Failed"/>
    <n v="448000"/>
    <n v="311232"/>
    <n v="136768"/>
    <n v="0.30528571428571427"/>
    <x v="2"/>
    <x v="1"/>
    <x v="11"/>
    <x v="19"/>
  </r>
  <r>
    <s v="ORD-11049"/>
    <x v="422"/>
    <x v="0"/>
    <x v="4"/>
    <s v="PRD-ACC-302"/>
    <s v="Noise Cancelling Headphones"/>
    <n v="7"/>
    <n v="12500"/>
    <n v="7564"/>
    <s v="Cash on Delivery"/>
    <s v="Paid"/>
    <n v="87500"/>
    <n v="52948"/>
    <n v="34552"/>
    <n v="0.39488000000000001"/>
    <x v="0"/>
    <x v="1"/>
    <x v="11"/>
    <x v="19"/>
  </r>
  <r>
    <s v="ORD-11051"/>
    <x v="427"/>
    <x v="4"/>
    <x v="4"/>
    <s v="PRD-FUR-201"/>
    <s v="Ergonomic Desk Chair"/>
    <n v="15"/>
    <n v="14000"/>
    <n v="9400"/>
    <s v="Cash on Delivery"/>
    <s v="Paid"/>
    <n v="210000"/>
    <n v="141000"/>
    <n v="69000"/>
    <n v="0.32857142857142857"/>
    <x v="1"/>
    <x v="1"/>
    <x v="2"/>
    <x v="10"/>
  </r>
  <r>
    <s v="ORD-11052"/>
    <x v="34"/>
    <x v="3"/>
    <x v="1"/>
    <s v="PRD-ELE-105"/>
    <s v="Android Tablet 10inch"/>
    <n v="3"/>
    <n v="28000"/>
    <n v="19385"/>
    <s v="UPI"/>
    <s v="Pending"/>
    <n v="84000"/>
    <n v="58155"/>
    <n v="25845"/>
    <n v="0.30767857142857141"/>
    <x v="2"/>
    <x v="1"/>
    <x v="8"/>
    <x v="14"/>
  </r>
  <r>
    <s v="ORD-11053"/>
    <x v="48"/>
    <x v="2"/>
    <x v="1"/>
    <s v="PRD-ELE-105"/>
    <s v="Android Tablet 10inch"/>
    <n v="1"/>
    <n v="28000"/>
    <n v="19434"/>
    <s v="Net Banking"/>
    <s v="Failed"/>
    <n v="28000"/>
    <n v="19434"/>
    <n v="8566"/>
    <n v="0.30592857142857144"/>
    <x v="2"/>
    <x v="0"/>
    <x v="6"/>
    <x v="15"/>
  </r>
  <r>
    <s v="ORD-11054"/>
    <x v="365"/>
    <x v="7"/>
    <x v="4"/>
    <s v="PRD-FUR-201"/>
    <s v="Ergonomic Desk Chair"/>
    <n v="8"/>
    <n v="14000"/>
    <n v="8625"/>
    <s v="Cash on Delivery"/>
    <s v="Pending"/>
    <n v="112000"/>
    <n v="69000"/>
    <n v="43000"/>
    <n v="0.38392857142857145"/>
    <x v="1"/>
    <x v="0"/>
    <x v="9"/>
    <x v="12"/>
  </r>
  <r>
    <s v="ORD-11055"/>
    <x v="488"/>
    <x v="2"/>
    <x v="0"/>
    <s v="PRD-ELE-103"/>
    <s v="Wireless Mouse"/>
    <n v="16"/>
    <n v="2500"/>
    <n v="1629"/>
    <s v="UPI"/>
    <s v="Paid"/>
    <n v="40000"/>
    <n v="26064"/>
    <n v="13936"/>
    <n v="0.34839999999999999"/>
    <x v="2"/>
    <x v="0"/>
    <x v="11"/>
    <x v="18"/>
  </r>
  <r>
    <s v="ORD-11056"/>
    <x v="108"/>
    <x v="7"/>
    <x v="2"/>
    <s v="PRD-ELE-101"/>
    <s v="Monitor 27inch"/>
    <n v="15"/>
    <n v="55000"/>
    <n v="40264"/>
    <s v="Credit Card"/>
    <s v="Pending"/>
    <n v="825000"/>
    <n v="603960"/>
    <n v="221040"/>
    <n v="0.26792727272727274"/>
    <x v="2"/>
    <x v="1"/>
    <x v="7"/>
    <x v="8"/>
  </r>
  <r>
    <s v="ORD-11057"/>
    <x v="370"/>
    <x v="0"/>
    <x v="3"/>
    <s v="PRD-ACC-301"/>
    <s v="USB-C Docking Station"/>
    <n v="3"/>
    <n v="8500"/>
    <n v="6362"/>
    <s v="Credit Card"/>
    <s v="Pending"/>
    <n v="25500"/>
    <n v="19086"/>
    <n v="6414"/>
    <n v="0.25152941176470589"/>
    <x v="0"/>
    <x v="0"/>
    <x v="5"/>
    <x v="5"/>
  </r>
  <r>
    <s v="ORD-11058"/>
    <x v="175"/>
    <x v="7"/>
    <x v="4"/>
    <s v="PRD-ELE-101"/>
    <s v="Monitor 27inch"/>
    <n v="9"/>
    <n v="55000"/>
    <n v="35637"/>
    <s v="Cash on Delivery"/>
    <s v="Failed"/>
    <n v="495000"/>
    <n v="320733"/>
    <n v="174267"/>
    <n v="0.35205454545454545"/>
    <x v="2"/>
    <x v="0"/>
    <x v="11"/>
    <x v="18"/>
  </r>
  <r>
    <s v="ORD-11059"/>
    <x v="447"/>
    <x v="3"/>
    <x v="0"/>
    <s v="PRD-ELE-105"/>
    <s v="Android Tablet 10inch"/>
    <n v="6"/>
    <n v="28000"/>
    <n v="21768"/>
    <s v="UPI"/>
    <s v="Pending"/>
    <n v="168000"/>
    <n v="130608"/>
    <n v="37392"/>
    <n v="0.22257142857142856"/>
    <x v="2"/>
    <x v="1"/>
    <x v="5"/>
    <x v="7"/>
  </r>
  <r>
    <s v="ORD-11060"/>
    <x v="430"/>
    <x v="0"/>
    <x v="4"/>
    <s v="PRD-FUR-201"/>
    <s v="Ergonomic Desk Chair"/>
    <n v="17"/>
    <n v="14000"/>
    <n v="10384"/>
    <s v="Cash on Delivery"/>
    <s v="Failed"/>
    <n v="238000"/>
    <n v="176528"/>
    <n v="61472"/>
    <n v="0.25828571428571429"/>
    <x v="1"/>
    <x v="0"/>
    <x v="8"/>
    <x v="9"/>
  </r>
  <r>
    <s v="ORD-11061"/>
    <x v="442"/>
    <x v="6"/>
    <x v="4"/>
    <s v="PRD-FUR-202"/>
    <s v="Standing Executive Desk"/>
    <n v="11"/>
    <n v="35000"/>
    <n v="27233"/>
    <s v="Net Banking"/>
    <s v="Pending"/>
    <n v="385000"/>
    <n v="299563"/>
    <n v="85437"/>
    <n v="0.2219142857142857"/>
    <x v="1"/>
    <x v="1"/>
    <x v="2"/>
    <x v="10"/>
  </r>
  <r>
    <s v="ORD-11062"/>
    <x v="408"/>
    <x v="5"/>
    <x v="1"/>
    <s v="PRD-ELE-105"/>
    <s v="Android Tablet 10inch"/>
    <n v="13"/>
    <n v="28000"/>
    <n v="19266"/>
    <s v="Cash on Delivery"/>
    <s v="Paid"/>
    <n v="364000"/>
    <n v="250458"/>
    <n v="113542"/>
    <n v="0.31192857142857144"/>
    <x v="2"/>
    <x v="0"/>
    <x v="9"/>
    <x v="12"/>
  </r>
  <r>
    <s v="ORD-11063"/>
    <x v="419"/>
    <x v="8"/>
    <x v="0"/>
    <s v="PRD-ELE-101"/>
    <s v="Monitor 27inch"/>
    <n v="10"/>
    <n v="55000"/>
    <n v="39023"/>
    <s v="Cash on Delivery"/>
    <s v="Paid"/>
    <n v="550000"/>
    <n v="390230"/>
    <n v="159770"/>
    <n v="0.29049090909090908"/>
    <x v="2"/>
    <x v="0"/>
    <x v="8"/>
    <x v="9"/>
  </r>
  <r>
    <s v="ORD-11064"/>
    <x v="489"/>
    <x v="7"/>
    <x v="0"/>
    <s v="PRD-ACC-301"/>
    <s v="USB-C Docking Station"/>
    <n v="3"/>
    <n v="8500"/>
    <n v="5284"/>
    <s v="Cash on Delivery"/>
    <s v="Failed"/>
    <n v="25500"/>
    <n v="15852"/>
    <n v="9648"/>
    <n v="0.37835294117647061"/>
    <x v="0"/>
    <x v="1"/>
    <x v="1"/>
    <x v="1"/>
  </r>
  <r>
    <s v="ORD-11065"/>
    <x v="259"/>
    <x v="8"/>
    <x v="0"/>
    <s v="PRD-FUR-202"/>
    <s v="Standing Executive Desk"/>
    <n v="14"/>
    <n v="35000"/>
    <n v="22761"/>
    <s v="Net Banking"/>
    <s v="Failed"/>
    <n v="490000"/>
    <n v="318654"/>
    <n v="171346"/>
    <n v="0.34968571428571427"/>
    <x v="1"/>
    <x v="1"/>
    <x v="8"/>
    <x v="14"/>
  </r>
  <r>
    <s v="ORD-11066"/>
    <x v="316"/>
    <x v="1"/>
    <x v="4"/>
    <s v="PRD-ELE-105"/>
    <s v="Android Tablet 10inch"/>
    <n v="17"/>
    <n v="28000"/>
    <n v="21258"/>
    <s v="Net Banking"/>
    <s v="Paid"/>
    <n v="476000"/>
    <n v="361386"/>
    <n v="114614"/>
    <n v="0.2407857142857143"/>
    <x v="2"/>
    <x v="0"/>
    <x v="3"/>
    <x v="16"/>
  </r>
  <r>
    <s v="ORD-11067"/>
    <x v="406"/>
    <x v="4"/>
    <x v="4"/>
    <s v="PRD-ELE-102"/>
    <s v="Mechanical Keyboard"/>
    <n v="13"/>
    <n v="4500"/>
    <n v="3540"/>
    <s v="UPI"/>
    <s v="Pending"/>
    <n v="58500"/>
    <n v="46020"/>
    <n v="12480"/>
    <n v="0.21333333333333335"/>
    <x v="2"/>
    <x v="1"/>
    <x v="7"/>
    <x v="8"/>
  </r>
  <r>
    <s v="ORD-11068"/>
    <x v="139"/>
    <x v="2"/>
    <x v="0"/>
    <s v="PRD-ELE-102"/>
    <s v="Mechanical Keyboard"/>
    <n v="9"/>
    <n v="4500"/>
    <n v="3089"/>
    <s v="Credit Card"/>
    <s v="Failed"/>
    <n v="40500"/>
    <n v="27801"/>
    <n v="12699"/>
    <n v="0.31355555555555553"/>
    <x v="2"/>
    <x v="0"/>
    <x v="5"/>
    <x v="5"/>
  </r>
  <r>
    <s v="ORD-11069"/>
    <x v="77"/>
    <x v="7"/>
    <x v="2"/>
    <s v="PRD-ELE-103"/>
    <s v="Wireless Mouse"/>
    <n v="16"/>
    <n v="2500"/>
    <n v="1723"/>
    <s v="Net Banking"/>
    <s v="Failed"/>
    <n v="40000"/>
    <n v="27568"/>
    <n v="12432"/>
    <n v="0.31080000000000002"/>
    <x v="2"/>
    <x v="0"/>
    <x v="9"/>
    <x v="12"/>
  </r>
  <r>
    <s v="ORD-11070"/>
    <x v="42"/>
    <x v="5"/>
    <x v="2"/>
    <s v="PRD-ELE-104"/>
    <s v="Core i7 Laptop"/>
    <n v="14"/>
    <n v="75000"/>
    <n v="50064"/>
    <s v="Cash on Delivery"/>
    <s v="Paid"/>
    <n v="1050000"/>
    <n v="700896"/>
    <n v="349104"/>
    <n v="0.33248"/>
    <x v="2"/>
    <x v="1"/>
    <x v="3"/>
    <x v="3"/>
  </r>
  <r>
    <s v="ORD-11071"/>
    <x v="236"/>
    <x v="8"/>
    <x v="3"/>
    <s v="PRD-ACC-301"/>
    <s v="USB-C Docking Station"/>
    <n v="17"/>
    <n v="8500"/>
    <n v="6729"/>
    <s v="Net Banking"/>
    <s v="Pending"/>
    <n v="144500"/>
    <n v="114393"/>
    <n v="30107"/>
    <n v="0.2083529411764706"/>
    <x v="0"/>
    <x v="0"/>
    <x v="11"/>
    <x v="18"/>
  </r>
  <r>
    <s v="ORD-11072"/>
    <x v="490"/>
    <x v="1"/>
    <x v="4"/>
    <s v="PRD-ELE-104"/>
    <s v="Core i7 Laptop"/>
    <n v="14"/>
    <n v="75000"/>
    <n v="56613"/>
    <s v="UPI"/>
    <s v="Paid"/>
    <n v="1050000"/>
    <n v="792582"/>
    <n v="257418"/>
    <n v="0.24515999999999999"/>
    <x v="2"/>
    <x v="1"/>
    <x v="0"/>
    <x v="17"/>
  </r>
  <r>
    <s v="ORD-11073"/>
    <x v="96"/>
    <x v="7"/>
    <x v="4"/>
    <s v="PRD-ELE-104"/>
    <s v="Core i7 Laptop"/>
    <n v="9"/>
    <n v="75000"/>
    <n v="55755"/>
    <s v="UPI"/>
    <s v="Failed"/>
    <n v="675000"/>
    <n v="501795"/>
    <n v="173205"/>
    <n v="0.25659999999999999"/>
    <x v="2"/>
    <x v="1"/>
    <x v="4"/>
    <x v="4"/>
  </r>
  <r>
    <s v="ORD-11074"/>
    <x v="81"/>
    <x v="1"/>
    <x v="1"/>
    <s v="PRD-FUR-201"/>
    <s v="Ergonomic Desk Chair"/>
    <n v="18"/>
    <n v="14000"/>
    <n v="9488"/>
    <s v="Net Banking"/>
    <s v="Paid"/>
    <n v="252000"/>
    <n v="170784"/>
    <n v="81216"/>
    <n v="0.32228571428571429"/>
    <x v="1"/>
    <x v="0"/>
    <x v="0"/>
    <x v="0"/>
  </r>
  <r>
    <s v="ORD-11075"/>
    <x v="491"/>
    <x v="4"/>
    <x v="2"/>
    <s v="PRD-ACC-301"/>
    <s v="USB-C Docking Station"/>
    <n v="1"/>
    <n v="8500"/>
    <n v="5169"/>
    <s v="Cash on Delivery"/>
    <s v="Pending"/>
    <n v="8500"/>
    <n v="5169"/>
    <n v="3331"/>
    <n v="0.39188235294117646"/>
    <x v="0"/>
    <x v="1"/>
    <x v="10"/>
    <x v="13"/>
  </r>
  <r>
    <s v="ORD-11076"/>
    <x v="35"/>
    <x v="2"/>
    <x v="2"/>
    <s v="PRD-FUR-201"/>
    <s v="Ergonomic Desk Chair"/>
    <n v="13"/>
    <n v="14000"/>
    <n v="10299"/>
    <s v="UPI"/>
    <s v="Paid"/>
    <n v="182000"/>
    <n v="133887"/>
    <n v="48113"/>
    <n v="0.26435714285714285"/>
    <x v="1"/>
    <x v="1"/>
    <x v="8"/>
    <x v="14"/>
  </r>
  <r>
    <s v="ORD-11077"/>
    <x v="21"/>
    <x v="0"/>
    <x v="0"/>
    <s v="PRD-ACC-301"/>
    <s v="USB-C Docking Station"/>
    <n v="17"/>
    <n v="8500"/>
    <n v="5569"/>
    <s v="UPI"/>
    <s v="Pending"/>
    <n v="144500"/>
    <n v="94673"/>
    <n v="49827"/>
    <n v="0.3448235294117647"/>
    <x v="0"/>
    <x v="1"/>
    <x v="10"/>
    <x v="13"/>
  </r>
  <r>
    <s v="ORD-11078"/>
    <x v="14"/>
    <x v="3"/>
    <x v="4"/>
    <s v="PRD-ELE-105"/>
    <s v="Android Tablet 10inch"/>
    <n v="6"/>
    <n v="28000"/>
    <n v="18382"/>
    <s v="Net Banking"/>
    <s v="Pending"/>
    <n v="168000"/>
    <n v="110292"/>
    <n v="57708"/>
    <n v="0.34350000000000003"/>
    <x v="2"/>
    <x v="0"/>
    <x v="8"/>
    <x v="9"/>
  </r>
  <r>
    <s v="ORD-11079"/>
    <x v="492"/>
    <x v="6"/>
    <x v="1"/>
    <s v="PRD-ELE-101"/>
    <s v="Monitor 27inch"/>
    <n v="7"/>
    <n v="55000"/>
    <n v="38741"/>
    <s v="Credit Card"/>
    <s v="Pending"/>
    <n v="385000"/>
    <n v="271187"/>
    <n v="113813"/>
    <n v="0.29561818181818184"/>
    <x v="2"/>
    <x v="1"/>
    <x v="2"/>
    <x v="10"/>
  </r>
  <r>
    <s v="ORD-11080"/>
    <x v="441"/>
    <x v="6"/>
    <x v="4"/>
    <s v="PRD-ACC-301"/>
    <s v="USB-C Docking Station"/>
    <n v="6"/>
    <n v="8500"/>
    <n v="6299"/>
    <s v="Cash on Delivery"/>
    <s v="Unknown"/>
    <n v="51000"/>
    <n v="37794"/>
    <n v="13206"/>
    <n v="0.25894117647058823"/>
    <x v="0"/>
    <x v="1"/>
    <x v="2"/>
    <x v="10"/>
  </r>
  <r>
    <s v="ORD-11081"/>
    <x v="476"/>
    <x v="4"/>
    <x v="4"/>
    <s v="PRD-FUR-201"/>
    <s v="Ergonomic Desk Chair"/>
    <n v="6"/>
    <n v="14000"/>
    <n v="11077"/>
    <s v="UPI"/>
    <s v="Paid"/>
    <n v="84000"/>
    <n v="66462"/>
    <n v="17538"/>
    <n v="0.2087857142857143"/>
    <x v="1"/>
    <x v="0"/>
    <x v="0"/>
    <x v="0"/>
  </r>
  <r>
    <s v="ORD-11082"/>
    <x v="201"/>
    <x v="2"/>
    <x v="0"/>
    <s v="PRD-FUR-202"/>
    <s v="Standing Executive Desk"/>
    <n v="6"/>
    <n v="35000"/>
    <n v="23803"/>
    <s v="Net Banking"/>
    <s v="Pending"/>
    <n v="210000"/>
    <n v="142818"/>
    <n v="67182"/>
    <n v="0.31991428571428571"/>
    <x v="1"/>
    <x v="1"/>
    <x v="4"/>
    <x v="4"/>
  </r>
  <r>
    <s v="ORD-11083"/>
    <x v="265"/>
    <x v="0"/>
    <x v="0"/>
    <s v="PRD-FUR-201"/>
    <s v="Ergonomic Desk Chair"/>
    <n v="13"/>
    <n v="14000"/>
    <n v="10300"/>
    <s v="UPI"/>
    <s v="Failed"/>
    <n v="182000"/>
    <n v="133900"/>
    <n v="48100"/>
    <n v="0.26428571428571429"/>
    <x v="1"/>
    <x v="1"/>
    <x v="1"/>
    <x v="1"/>
  </r>
  <r>
    <s v="ORD-11084"/>
    <x v="31"/>
    <x v="5"/>
    <x v="3"/>
    <s v="PRD-ELE-103"/>
    <s v="Wireless Mouse"/>
    <n v="2"/>
    <n v="2500"/>
    <n v="1580"/>
    <s v="UPI"/>
    <s v="Paid"/>
    <n v="5000"/>
    <n v="3160"/>
    <n v="1840"/>
    <n v="0.36799999999999999"/>
    <x v="2"/>
    <x v="0"/>
    <x v="6"/>
    <x v="15"/>
  </r>
  <r>
    <s v="ORD-11086"/>
    <x v="493"/>
    <x v="2"/>
    <x v="3"/>
    <s v="PRD-FUR-202"/>
    <s v="Standing Executive Desk"/>
    <n v="5"/>
    <n v="35000"/>
    <n v="22994"/>
    <s v="UPI"/>
    <s v="Pending"/>
    <n v="175000"/>
    <n v="114970"/>
    <n v="60030"/>
    <n v="0.3430285714285714"/>
    <x v="1"/>
    <x v="0"/>
    <x v="9"/>
    <x v="12"/>
  </r>
  <r>
    <s v="ORD-11087"/>
    <x v="182"/>
    <x v="7"/>
    <x v="3"/>
    <s v="PRD-ACC-302"/>
    <s v="Noise Cancelling Headphones"/>
    <n v="7"/>
    <n v="12500"/>
    <n v="9276"/>
    <s v="Net Banking"/>
    <s v="Failed"/>
    <n v="87500"/>
    <n v="64932"/>
    <n v="22568"/>
    <n v="0.25791999999999998"/>
    <x v="0"/>
    <x v="1"/>
    <x v="6"/>
    <x v="6"/>
  </r>
  <r>
    <s v="ORD-11088"/>
    <x v="494"/>
    <x v="3"/>
    <x v="4"/>
    <s v="PRD-ACC-301"/>
    <s v="USB-C Docking Station"/>
    <n v="7"/>
    <n v="8500"/>
    <n v="6192"/>
    <s v="Cash on Delivery"/>
    <s v="Pending"/>
    <n v="59500"/>
    <n v="43344"/>
    <n v="16156"/>
    <n v="0.27152941176470591"/>
    <x v="0"/>
    <x v="0"/>
    <x v="6"/>
    <x v="15"/>
  </r>
  <r>
    <s v="ORD-11089"/>
    <x v="107"/>
    <x v="0"/>
    <x v="3"/>
    <s v="PRD-ELE-103"/>
    <s v="Wireless Mouse"/>
    <n v="4"/>
    <n v="2500"/>
    <n v="1799"/>
    <s v="Cash on Delivery"/>
    <s v="Pending"/>
    <n v="10000"/>
    <n v="7196"/>
    <n v="2804"/>
    <n v="0.28039999999999998"/>
    <x v="2"/>
    <x v="0"/>
    <x v="0"/>
    <x v="0"/>
  </r>
  <r>
    <s v="ORD-11090"/>
    <x v="106"/>
    <x v="7"/>
    <x v="3"/>
    <s v="PRD-ELE-103"/>
    <s v="Wireless Mouse"/>
    <n v="15"/>
    <n v="2500"/>
    <n v="1647"/>
    <s v="Credit Card"/>
    <s v="Pending"/>
    <n v="37500"/>
    <n v="24705"/>
    <n v="12795"/>
    <n v="0.3412"/>
    <x v="2"/>
    <x v="0"/>
    <x v="6"/>
    <x v="15"/>
  </r>
  <r>
    <s v="ORD-11091"/>
    <x v="39"/>
    <x v="2"/>
    <x v="1"/>
    <s v="PRD-ELE-105"/>
    <s v="Android Tablet 10inch"/>
    <n v="7"/>
    <n v="28000"/>
    <n v="20521"/>
    <s v="Cash on Delivery"/>
    <s v="Paid"/>
    <n v="196000"/>
    <n v="143647"/>
    <n v="52353"/>
    <n v="0.26710714285714288"/>
    <x v="2"/>
    <x v="1"/>
    <x v="6"/>
    <x v="6"/>
  </r>
  <r>
    <s v="ORD-11092"/>
    <x v="253"/>
    <x v="4"/>
    <x v="2"/>
    <s v="PRD-FUR-201"/>
    <s v="Ergonomic Desk Chair"/>
    <n v="7"/>
    <n v="14000"/>
    <n v="10741"/>
    <s v="Cash on Delivery"/>
    <s v="Paid"/>
    <n v="98000"/>
    <n v="75187"/>
    <n v="22813"/>
    <n v="0.23278571428571429"/>
    <x v="1"/>
    <x v="0"/>
    <x v="8"/>
    <x v="9"/>
  </r>
  <r>
    <s v="ORD-11093"/>
    <x v="157"/>
    <x v="5"/>
    <x v="1"/>
    <s v="PRD-ELE-103"/>
    <s v="Wireless Mouse"/>
    <n v="9"/>
    <n v="2500"/>
    <n v="1629"/>
    <s v="Credit Card"/>
    <s v="Pending"/>
    <n v="22500"/>
    <n v="14661"/>
    <n v="7839"/>
    <n v="0.34839999999999999"/>
    <x v="2"/>
    <x v="1"/>
    <x v="3"/>
    <x v="3"/>
  </r>
  <r>
    <s v="ORD-11094"/>
    <x v="328"/>
    <x v="2"/>
    <x v="2"/>
    <s v="PRD-ELE-101"/>
    <s v="Monitor 27inch"/>
    <n v="7"/>
    <n v="55000"/>
    <n v="43390"/>
    <s v="Net Banking"/>
    <s v="Pending"/>
    <n v="385000"/>
    <n v="303730"/>
    <n v="81270"/>
    <n v="0.21109090909090908"/>
    <x v="2"/>
    <x v="1"/>
    <x v="5"/>
    <x v="7"/>
  </r>
  <r>
    <s v="ORD-11095"/>
    <x v="317"/>
    <x v="8"/>
    <x v="3"/>
    <s v="PRD-ACC-302"/>
    <s v="Noise Cancelling Headphones"/>
    <n v="11"/>
    <n v="12500"/>
    <n v="8178"/>
    <s v="Cash on Delivery"/>
    <s v="Failed"/>
    <n v="137500"/>
    <n v="89958"/>
    <n v="47542"/>
    <n v="0.34576000000000001"/>
    <x v="0"/>
    <x v="0"/>
    <x v="2"/>
    <x v="2"/>
  </r>
  <r>
    <s v="ORD-11096"/>
    <x v="327"/>
    <x v="7"/>
    <x v="4"/>
    <s v="PRD-ELE-101"/>
    <s v="Monitor 27inch"/>
    <n v="18"/>
    <n v="55000"/>
    <n v="33124"/>
    <s v="Credit Card"/>
    <s v="Pending"/>
    <n v="990000"/>
    <n v="596232"/>
    <n v="393768"/>
    <n v="0.39774545454545457"/>
    <x v="2"/>
    <x v="1"/>
    <x v="3"/>
    <x v="3"/>
  </r>
  <r>
    <s v="ORD-11097"/>
    <x v="137"/>
    <x v="6"/>
    <x v="1"/>
    <s v="PRD-ELE-105"/>
    <s v="Android Tablet 10inch"/>
    <n v="11"/>
    <n v="28000"/>
    <n v="18746"/>
    <s v="Net Banking"/>
    <s v="Pending"/>
    <n v="308000"/>
    <n v="206206"/>
    <n v="101794"/>
    <n v="0.33050000000000002"/>
    <x v="2"/>
    <x v="1"/>
    <x v="11"/>
    <x v="19"/>
  </r>
  <r>
    <s v="ORD-11098"/>
    <x v="495"/>
    <x v="1"/>
    <x v="1"/>
    <s v="PRD-FUR-201"/>
    <s v="Ergonomic Desk Chair"/>
    <n v="15"/>
    <n v="14000"/>
    <n v="11143"/>
    <s v="UPI"/>
    <s v="Pending"/>
    <n v="210000"/>
    <n v="167145"/>
    <n v="42855"/>
    <n v="0.20407142857142857"/>
    <x v="1"/>
    <x v="1"/>
    <x v="2"/>
    <x v="10"/>
  </r>
  <r>
    <s v="ORD-11099"/>
    <x v="164"/>
    <x v="6"/>
    <x v="2"/>
    <s v="PRD-ELE-102"/>
    <s v="Mechanical Keyboard"/>
    <n v="2"/>
    <n v="4500"/>
    <n v="2838"/>
    <s v="Net Banking"/>
    <s v="Failed"/>
    <n v="9000"/>
    <n v="5676"/>
    <n v="3324"/>
    <n v="0.36933333333333335"/>
    <x v="2"/>
    <x v="1"/>
    <x v="3"/>
    <x v="3"/>
  </r>
  <r>
    <s v="ORD-11100"/>
    <x v="496"/>
    <x v="7"/>
    <x v="4"/>
    <s v="PRD-ELE-105"/>
    <s v="Android Tablet 10inch"/>
    <n v="1"/>
    <n v="28000"/>
    <n v="17980"/>
    <s v="Credit Card"/>
    <s v="Pending"/>
    <n v="28000"/>
    <n v="17980"/>
    <n v="10020"/>
    <n v="0.35785714285714287"/>
    <x v="2"/>
    <x v="0"/>
    <x v="8"/>
    <x v="9"/>
  </r>
  <r>
    <s v="ORD-11101"/>
    <x v="233"/>
    <x v="7"/>
    <x v="4"/>
    <s v="PRD-ELE-104"/>
    <s v="Core i7 Laptop"/>
    <n v="19"/>
    <n v="75000"/>
    <n v="46079"/>
    <s v="Cash on Delivery"/>
    <s v="Failed"/>
    <n v="1425000"/>
    <n v="875501"/>
    <n v="549499"/>
    <n v="0.38561333333333331"/>
    <x v="2"/>
    <x v="1"/>
    <x v="4"/>
    <x v="4"/>
  </r>
  <r>
    <s v="ORD-11102"/>
    <x v="497"/>
    <x v="6"/>
    <x v="1"/>
    <s v="PRD-ELE-104"/>
    <s v="Core i7 Laptop"/>
    <n v="19"/>
    <n v="75000"/>
    <n v="57875"/>
    <s v="Net Banking"/>
    <s v="Pending"/>
    <n v="1425000"/>
    <n v="1099625"/>
    <n v="325375"/>
    <n v="0.22833333333333333"/>
    <x v="2"/>
    <x v="1"/>
    <x v="5"/>
    <x v="7"/>
  </r>
  <r>
    <s v="ORD-11103"/>
    <x v="498"/>
    <x v="3"/>
    <x v="4"/>
    <s v="PRD-ELE-102"/>
    <s v="Mechanical Keyboard"/>
    <n v="4"/>
    <n v="4500"/>
    <n v="3191"/>
    <s v="Credit Card"/>
    <s v="Paid"/>
    <n v="18000"/>
    <n v="12764"/>
    <n v="5236"/>
    <n v="0.29088888888888886"/>
    <x v="2"/>
    <x v="0"/>
    <x v="6"/>
    <x v="15"/>
  </r>
  <r>
    <s v="ORD-11104"/>
    <x v="499"/>
    <x v="3"/>
    <x v="0"/>
    <s v="PRD-ELE-104"/>
    <s v="Core i7 Laptop"/>
    <n v="9"/>
    <n v="75000"/>
    <n v="56876"/>
    <s v="Cash on Delivery"/>
    <s v="Failed"/>
    <n v="675000"/>
    <n v="511884"/>
    <n v="163116"/>
    <n v="0.24165333333333333"/>
    <x v="2"/>
    <x v="1"/>
    <x v="1"/>
    <x v="1"/>
  </r>
  <r>
    <s v="ORD-11105"/>
    <x v="254"/>
    <x v="2"/>
    <x v="4"/>
    <s v="PRD-FUR-201"/>
    <s v="Ergonomic Desk Chair"/>
    <n v="1"/>
    <n v="14000"/>
    <n v="8575"/>
    <s v="Net Banking"/>
    <s v="Paid"/>
    <n v="14000"/>
    <n v="8575"/>
    <n v="5425"/>
    <n v="0.38750000000000001"/>
    <x v="1"/>
    <x v="1"/>
    <x v="10"/>
    <x v="13"/>
  </r>
  <r>
    <s v="ORD-11106"/>
    <x v="308"/>
    <x v="3"/>
    <x v="4"/>
    <s v="PRD-ELE-104"/>
    <s v="Core i7 Laptop"/>
    <n v="5"/>
    <n v="75000"/>
    <n v="49271"/>
    <s v="Cash on Delivery"/>
    <s v="Paid"/>
    <n v="375000"/>
    <n v="246355"/>
    <n v="128645"/>
    <n v="0.34305333333333332"/>
    <x v="2"/>
    <x v="0"/>
    <x v="3"/>
    <x v="16"/>
  </r>
  <r>
    <s v="ORD-11107"/>
    <x v="496"/>
    <x v="1"/>
    <x v="3"/>
    <s v="PRD-ELE-104"/>
    <s v="Core i7 Laptop"/>
    <n v="11"/>
    <n v="75000"/>
    <n v="52558"/>
    <s v="Credit Card"/>
    <s v="Failed"/>
    <n v="825000"/>
    <n v="578138"/>
    <n v="246862"/>
    <n v="0.29922666666666664"/>
    <x v="2"/>
    <x v="0"/>
    <x v="8"/>
    <x v="9"/>
  </r>
  <r>
    <s v="ORD-11108"/>
    <x v="376"/>
    <x v="7"/>
    <x v="4"/>
    <s v="PRD-FUR-201"/>
    <s v="Ergonomic Desk Chair"/>
    <n v="5"/>
    <n v="14000"/>
    <n v="8511"/>
    <s v="Cash on Delivery"/>
    <s v="Pending"/>
    <n v="70000"/>
    <n v="42555"/>
    <n v="27445"/>
    <n v="0.39207142857142857"/>
    <x v="1"/>
    <x v="1"/>
    <x v="5"/>
    <x v="7"/>
  </r>
  <r>
    <s v="ORD-11109"/>
    <x v="162"/>
    <x v="1"/>
    <x v="0"/>
    <s v="PRD-FUR-202"/>
    <s v="Standing Executive Desk"/>
    <n v="15"/>
    <n v="35000"/>
    <n v="22160"/>
    <s v="Cash on Delivery"/>
    <s v="Failed"/>
    <n v="525000"/>
    <n v="332400"/>
    <n v="192600"/>
    <n v="0.36685714285714288"/>
    <x v="1"/>
    <x v="1"/>
    <x v="7"/>
    <x v="8"/>
  </r>
  <r>
    <s v="ORD-11110"/>
    <x v="88"/>
    <x v="3"/>
    <x v="4"/>
    <s v="PRD-ELE-101"/>
    <s v="Monitor 27inch"/>
    <n v="7"/>
    <n v="55000"/>
    <n v="33885"/>
    <s v="Cash on Delivery"/>
    <s v="Paid"/>
    <n v="385000"/>
    <n v="237195"/>
    <n v="147805"/>
    <n v="0.38390909090909092"/>
    <x v="2"/>
    <x v="1"/>
    <x v="1"/>
    <x v="1"/>
  </r>
  <r>
    <s v="ORD-11111"/>
    <x v="311"/>
    <x v="3"/>
    <x v="4"/>
    <s v="PRD-ELE-105"/>
    <s v="Android Tablet 10inch"/>
    <n v="11"/>
    <n v="28000"/>
    <n v="19639"/>
    <s v="UPI"/>
    <s v="Pending"/>
    <n v="308000"/>
    <n v="216029"/>
    <n v="91971"/>
    <n v="0.29860714285714285"/>
    <x v="2"/>
    <x v="0"/>
    <x v="2"/>
    <x v="2"/>
  </r>
  <r>
    <s v="ORD-11112"/>
    <x v="246"/>
    <x v="8"/>
    <x v="4"/>
    <s v="PRD-ELE-102"/>
    <s v="Mechanical Keyboard"/>
    <n v="10"/>
    <n v="4500"/>
    <n v="3130"/>
    <s v="UPI"/>
    <s v="Pending"/>
    <n v="45000"/>
    <n v="31300"/>
    <n v="13700"/>
    <n v="0.30444444444444446"/>
    <x v="2"/>
    <x v="1"/>
    <x v="11"/>
    <x v="19"/>
  </r>
  <r>
    <s v="ORD-11113"/>
    <x v="425"/>
    <x v="3"/>
    <x v="0"/>
    <s v="PRD-FUR-202"/>
    <s v="Standing Executive Desk"/>
    <n v="17"/>
    <n v="35000"/>
    <n v="24812"/>
    <s v="Net Banking"/>
    <s v="Paid"/>
    <n v="595000"/>
    <n v="421804"/>
    <n v="173196"/>
    <n v="0.29108571428571428"/>
    <x v="1"/>
    <x v="0"/>
    <x v="0"/>
    <x v="0"/>
  </r>
  <r>
    <s v="ORD-11114"/>
    <x v="428"/>
    <x v="1"/>
    <x v="4"/>
    <s v="PRD-ELE-102"/>
    <s v="Mechanical Keyboard"/>
    <n v="7"/>
    <n v="4500"/>
    <n v="2768"/>
    <s v="Credit Card"/>
    <s v="Paid"/>
    <n v="31500"/>
    <n v="19376"/>
    <n v="12124"/>
    <n v="0.38488888888888889"/>
    <x v="2"/>
    <x v="1"/>
    <x v="3"/>
    <x v="3"/>
  </r>
  <r>
    <s v="ORD-11115"/>
    <x v="300"/>
    <x v="3"/>
    <x v="2"/>
    <s v="PRD-ELE-104"/>
    <s v="Core i7 Laptop"/>
    <n v="15"/>
    <n v="75000"/>
    <n v="57846"/>
    <s v="Cash on Delivery"/>
    <s v="Pending"/>
    <n v="1125000"/>
    <n v="867690"/>
    <n v="257310"/>
    <n v="0.22872000000000001"/>
    <x v="2"/>
    <x v="1"/>
    <x v="6"/>
    <x v="6"/>
  </r>
  <r>
    <s v="ORD-11116"/>
    <x v="192"/>
    <x v="0"/>
    <x v="1"/>
    <s v="PRD-ELE-105"/>
    <s v="Android Tablet 10inch"/>
    <n v="2"/>
    <n v="28000"/>
    <n v="21435"/>
    <s v="Credit Card"/>
    <s v="Failed"/>
    <n v="56000"/>
    <n v="42870"/>
    <n v="13130"/>
    <n v="0.23446428571428571"/>
    <x v="2"/>
    <x v="1"/>
    <x v="0"/>
    <x v="17"/>
  </r>
  <r>
    <s v="ORD-11117"/>
    <x v="500"/>
    <x v="4"/>
    <x v="0"/>
    <s v="PRD-ACC-301"/>
    <s v="USB-C Docking Station"/>
    <n v="2"/>
    <n v="8500"/>
    <n v="6791"/>
    <s v="Credit Card"/>
    <s v="Failed"/>
    <n v="17000"/>
    <n v="13582"/>
    <n v="3418"/>
    <n v="0.20105882352941176"/>
    <x v="0"/>
    <x v="1"/>
    <x v="9"/>
    <x v="11"/>
  </r>
  <r>
    <s v="ORD-11118"/>
    <x v="404"/>
    <x v="4"/>
    <x v="0"/>
    <s v="PRD-ACC-301"/>
    <s v="USB-C Docking Station"/>
    <n v="17"/>
    <n v="8500"/>
    <n v="6413"/>
    <s v="Cash on Delivery"/>
    <s v="Pending"/>
    <n v="144500"/>
    <n v="109021"/>
    <n v="35479"/>
    <n v="0.24552941176470588"/>
    <x v="0"/>
    <x v="1"/>
    <x v="2"/>
    <x v="10"/>
  </r>
  <r>
    <s v="ORD-11119"/>
    <x v="352"/>
    <x v="3"/>
    <x v="0"/>
    <s v="PRD-ACC-302"/>
    <s v="Noise Cancelling Headphones"/>
    <n v="14"/>
    <n v="12500"/>
    <n v="9140"/>
    <s v="Net Banking"/>
    <s v="Paid"/>
    <n v="175000"/>
    <n v="127960"/>
    <n v="47040"/>
    <n v="0.26879999999999998"/>
    <x v="0"/>
    <x v="1"/>
    <x v="9"/>
    <x v="11"/>
  </r>
  <r>
    <s v="ORD-11121"/>
    <x v="198"/>
    <x v="1"/>
    <x v="3"/>
    <s v="PRD-ACC-301"/>
    <s v="USB-C Docking Station"/>
    <n v="10"/>
    <n v="8500"/>
    <n v="5513"/>
    <s v="UPI"/>
    <s v="Pending"/>
    <n v="85000"/>
    <n v="55130"/>
    <n v="29870"/>
    <n v="0.35141176470588237"/>
    <x v="0"/>
    <x v="0"/>
    <x v="11"/>
    <x v="18"/>
  </r>
  <r>
    <s v="ORD-11122"/>
    <x v="282"/>
    <x v="4"/>
    <x v="4"/>
    <s v="PRD-ELE-103"/>
    <s v="Wireless Mouse"/>
    <n v="2"/>
    <n v="2500"/>
    <n v="1945"/>
    <s v="Cash on Delivery"/>
    <s v="Pending"/>
    <n v="5000"/>
    <n v="3890"/>
    <n v="1110"/>
    <n v="0.222"/>
    <x v="2"/>
    <x v="1"/>
    <x v="11"/>
    <x v="19"/>
  </r>
  <r>
    <s v="ORD-11123"/>
    <x v="260"/>
    <x v="1"/>
    <x v="0"/>
    <s v="PRD-ACC-301"/>
    <s v="USB-C Docking Station"/>
    <n v="11"/>
    <n v="8500"/>
    <n v="5811"/>
    <s v="UPI"/>
    <s v="Pending"/>
    <n v="93500"/>
    <n v="63921"/>
    <n v="29579"/>
    <n v="0.31635294117647061"/>
    <x v="0"/>
    <x v="0"/>
    <x v="5"/>
    <x v="5"/>
  </r>
  <r>
    <s v="ORD-11124"/>
    <x v="496"/>
    <x v="8"/>
    <x v="3"/>
    <s v="PRD-FUR-201"/>
    <s v="Ergonomic Desk Chair"/>
    <n v="19"/>
    <n v="14000"/>
    <n v="10469"/>
    <s v="Net Banking"/>
    <s v="Pending"/>
    <n v="266000"/>
    <n v="198911"/>
    <n v="67089"/>
    <n v="0.25221428571428572"/>
    <x v="1"/>
    <x v="0"/>
    <x v="8"/>
    <x v="9"/>
  </r>
  <r>
    <s v="ORD-11125"/>
    <x v="414"/>
    <x v="2"/>
    <x v="2"/>
    <s v="PRD-FUR-202"/>
    <s v="Standing Executive Desk"/>
    <n v="8"/>
    <n v="35000"/>
    <n v="24351"/>
    <s v="Credit Card"/>
    <s v="Unknown"/>
    <n v="280000"/>
    <n v="194808"/>
    <n v="85192"/>
    <n v="0.30425714285714284"/>
    <x v="1"/>
    <x v="1"/>
    <x v="11"/>
    <x v="19"/>
  </r>
  <r>
    <s v="ORD-11126"/>
    <x v="155"/>
    <x v="5"/>
    <x v="4"/>
    <s v="PRD-ACC-302"/>
    <s v="Noise Cancelling Headphones"/>
    <n v="5"/>
    <n v="12500"/>
    <n v="8644"/>
    <s v="Cash on Delivery"/>
    <s v="Pending"/>
    <n v="62500"/>
    <n v="43220"/>
    <n v="19280"/>
    <n v="0.30847999999999998"/>
    <x v="0"/>
    <x v="1"/>
    <x v="4"/>
    <x v="4"/>
  </r>
  <r>
    <s v="ORD-11127"/>
    <x v="501"/>
    <x v="6"/>
    <x v="2"/>
    <s v="PRD-ELE-101"/>
    <s v="Monitor 27inch"/>
    <n v="3"/>
    <n v="55000"/>
    <n v="34730"/>
    <s v="Cash on Delivery"/>
    <s v="Pending"/>
    <n v="165000"/>
    <n v="104190"/>
    <n v="60810"/>
    <n v="0.36854545454545456"/>
    <x v="2"/>
    <x v="0"/>
    <x v="9"/>
    <x v="12"/>
  </r>
  <r>
    <s v="ORD-11128"/>
    <x v="173"/>
    <x v="6"/>
    <x v="2"/>
    <s v="PRD-FUR-201"/>
    <s v="Ergonomic Desk Chair"/>
    <n v="11"/>
    <n v="14000"/>
    <n v="9995"/>
    <s v="Credit Card"/>
    <s v="Pending"/>
    <n v="154000"/>
    <n v="109945"/>
    <n v="44055"/>
    <n v="0.28607142857142859"/>
    <x v="1"/>
    <x v="1"/>
    <x v="6"/>
    <x v="6"/>
  </r>
  <r>
    <s v="ORD-11129"/>
    <x v="25"/>
    <x v="2"/>
    <x v="3"/>
    <s v="PRD-ELE-105"/>
    <s v="Android Tablet 10inch"/>
    <n v="15"/>
    <n v="28000"/>
    <n v="21272"/>
    <s v="Net Banking"/>
    <s v="Failed"/>
    <n v="420000"/>
    <n v="319080"/>
    <n v="100920"/>
    <n v="0.2402857142857143"/>
    <x v="2"/>
    <x v="1"/>
    <x v="10"/>
    <x v="13"/>
  </r>
  <r>
    <s v="ORD-11130"/>
    <x v="380"/>
    <x v="1"/>
    <x v="0"/>
    <s v="PRD-FUR-202"/>
    <s v="Standing Executive Desk"/>
    <n v="10"/>
    <n v="35000"/>
    <n v="27927"/>
    <s v="UPI"/>
    <s v="Pending"/>
    <n v="350000"/>
    <n v="279270"/>
    <n v="70730"/>
    <n v="0.20208571428571429"/>
    <x v="1"/>
    <x v="1"/>
    <x v="6"/>
    <x v="6"/>
  </r>
  <r>
    <s v="ORD-11131"/>
    <x v="89"/>
    <x v="7"/>
    <x v="3"/>
    <s v="PRD-ACC-301"/>
    <s v="USB-C Docking Station"/>
    <n v="15"/>
    <n v="8500"/>
    <n v="5596"/>
    <s v="Cash on Delivery"/>
    <s v="Pending"/>
    <n v="127500"/>
    <n v="83940"/>
    <n v="43560"/>
    <n v="0.34164705882352941"/>
    <x v="0"/>
    <x v="0"/>
    <x v="5"/>
    <x v="5"/>
  </r>
  <r>
    <s v="ORD-11132"/>
    <x v="229"/>
    <x v="8"/>
    <x v="4"/>
    <s v="PRD-ELE-104"/>
    <s v="Core i7 Laptop"/>
    <n v="8"/>
    <n v="75000"/>
    <n v="57202"/>
    <s v="Cash on Delivery"/>
    <s v="Failed"/>
    <n v="600000"/>
    <n v="457616"/>
    <n v="142384"/>
    <n v="0.23730666666666667"/>
    <x v="2"/>
    <x v="1"/>
    <x v="8"/>
    <x v="14"/>
  </r>
  <r>
    <s v="ORD-11133"/>
    <x v="148"/>
    <x v="6"/>
    <x v="0"/>
    <s v="PRD-ELE-104"/>
    <s v="Core i7 Laptop"/>
    <n v="4"/>
    <n v="75000"/>
    <n v="54409"/>
    <s v="Credit Card"/>
    <s v="Pending"/>
    <n v="300000"/>
    <n v="217636"/>
    <n v="82364"/>
    <n v="0.27454666666666666"/>
    <x v="2"/>
    <x v="1"/>
    <x v="2"/>
    <x v="10"/>
  </r>
  <r>
    <s v="ORD-11134"/>
    <x v="502"/>
    <x v="3"/>
    <x v="4"/>
    <s v="PRD-ELE-105"/>
    <s v="Android Tablet 10inch"/>
    <n v="11"/>
    <n v="28000"/>
    <n v="19238"/>
    <s v="Net Banking"/>
    <s v="Paid"/>
    <n v="308000"/>
    <n v="211618"/>
    <n v="96382"/>
    <n v="0.31292857142857144"/>
    <x v="2"/>
    <x v="1"/>
    <x v="5"/>
    <x v="7"/>
  </r>
  <r>
    <s v="ORD-11135"/>
    <x v="280"/>
    <x v="2"/>
    <x v="2"/>
    <s v="PRD-ELE-104"/>
    <s v="Core i7 Laptop"/>
    <n v="7"/>
    <n v="75000"/>
    <n v="50725"/>
    <s v="Net Banking"/>
    <s v="Pending"/>
    <n v="525000"/>
    <n v="355075"/>
    <n v="169925"/>
    <n v="0.32366666666666666"/>
    <x v="2"/>
    <x v="1"/>
    <x v="1"/>
    <x v="1"/>
  </r>
  <r>
    <s v="ORD-11136"/>
    <x v="385"/>
    <x v="1"/>
    <x v="4"/>
    <s v="PRD-ELE-105"/>
    <s v="Android Tablet 10inch"/>
    <n v="7"/>
    <n v="28000"/>
    <n v="20565"/>
    <s v="Net Banking"/>
    <s v="Pending"/>
    <n v="196000"/>
    <n v="143955"/>
    <n v="52045"/>
    <n v="0.26553571428571426"/>
    <x v="2"/>
    <x v="0"/>
    <x v="0"/>
    <x v="0"/>
  </r>
  <r>
    <s v="ORD-11137"/>
    <x v="503"/>
    <x v="7"/>
    <x v="2"/>
    <s v="PRD-ELE-101"/>
    <s v="Monitor 27inch"/>
    <n v="7"/>
    <n v="55000"/>
    <n v="35501"/>
    <s v="Net Banking"/>
    <s v="Paid"/>
    <n v="385000"/>
    <n v="248507"/>
    <n v="136493"/>
    <n v="0.35452727272727275"/>
    <x v="2"/>
    <x v="1"/>
    <x v="3"/>
    <x v="3"/>
  </r>
  <r>
    <s v="ORD-11138"/>
    <x v="243"/>
    <x v="1"/>
    <x v="0"/>
    <s v="PRD-ELE-105"/>
    <s v="Android Tablet 10inch"/>
    <n v="2"/>
    <n v="28000"/>
    <n v="20049"/>
    <s v="Net Banking"/>
    <s v="Pending"/>
    <n v="56000"/>
    <n v="40098"/>
    <n v="15902"/>
    <n v="0.28396428571428572"/>
    <x v="2"/>
    <x v="0"/>
    <x v="6"/>
    <x v="15"/>
  </r>
  <r>
    <s v="ORD-11139"/>
    <x v="503"/>
    <x v="0"/>
    <x v="2"/>
    <s v="PRD-ELE-101"/>
    <s v="Monitor 27inch"/>
    <n v="7"/>
    <n v="55000"/>
    <n v="37821"/>
    <s v="Cash on Delivery"/>
    <s v="Pending"/>
    <n v="385000"/>
    <n v="264747"/>
    <n v="120253"/>
    <n v="0.31234545454545454"/>
    <x v="2"/>
    <x v="1"/>
    <x v="3"/>
    <x v="3"/>
  </r>
  <r>
    <s v="ORD-11140"/>
    <x v="420"/>
    <x v="6"/>
    <x v="2"/>
    <s v="PRD-FUR-202"/>
    <s v="Standing Executive Desk"/>
    <n v="8"/>
    <n v="35000"/>
    <n v="24351"/>
    <s v="UPI"/>
    <s v="Pending"/>
    <n v="280000"/>
    <n v="194808"/>
    <n v="85192"/>
    <n v="0.30425714285714284"/>
    <x v="1"/>
    <x v="1"/>
    <x v="4"/>
    <x v="4"/>
  </r>
  <r>
    <s v="ORD-11141"/>
    <x v="313"/>
    <x v="3"/>
    <x v="0"/>
    <s v="PRD-ACC-302"/>
    <s v="Noise Cancelling Headphones"/>
    <n v="19"/>
    <n v="12500"/>
    <n v="8336"/>
    <s v="Net Banking"/>
    <s v="Failed"/>
    <n v="237500"/>
    <n v="158384"/>
    <n v="79116"/>
    <n v="0.33312000000000003"/>
    <x v="0"/>
    <x v="0"/>
    <x v="3"/>
    <x v="16"/>
  </r>
  <r>
    <s v="ORD-11142"/>
    <x v="11"/>
    <x v="5"/>
    <x v="2"/>
    <s v="PRD-ELE-101"/>
    <s v="Monitor 27inch"/>
    <n v="3"/>
    <n v="55000"/>
    <n v="35719"/>
    <s v="Net Banking"/>
    <s v="Failed"/>
    <n v="165000"/>
    <n v="107157"/>
    <n v="57843"/>
    <n v="0.35056363636363636"/>
    <x v="2"/>
    <x v="1"/>
    <x v="3"/>
    <x v="3"/>
  </r>
  <r>
    <s v="ORD-11143"/>
    <x v="222"/>
    <x v="1"/>
    <x v="4"/>
    <s v="PRD-FUR-201"/>
    <s v="Ergonomic Desk Chair"/>
    <n v="6"/>
    <n v="14000"/>
    <n v="10123"/>
    <s v="UPI"/>
    <s v="Pending"/>
    <n v="84000"/>
    <n v="60738"/>
    <n v="23262"/>
    <n v="0.27692857142857141"/>
    <x v="1"/>
    <x v="1"/>
    <x v="6"/>
    <x v="6"/>
  </r>
  <r>
    <s v="ORD-11144"/>
    <x v="504"/>
    <x v="1"/>
    <x v="2"/>
    <s v="PRD-ELE-104"/>
    <s v="Core i7 Laptop"/>
    <n v="4"/>
    <n v="75000"/>
    <n v="46478"/>
    <s v="Credit Card"/>
    <s v="Paid"/>
    <n v="300000"/>
    <n v="185912"/>
    <n v="114088"/>
    <n v="0.38029333333333332"/>
    <x v="2"/>
    <x v="0"/>
    <x v="3"/>
    <x v="16"/>
  </r>
  <r>
    <s v="ORD-11145"/>
    <x v="115"/>
    <x v="5"/>
    <x v="0"/>
    <s v="PRD-ELE-104"/>
    <s v="Core i7 Laptop"/>
    <n v="18"/>
    <n v="75000"/>
    <n v="45367"/>
    <s v="Cash on Delivery"/>
    <s v="Pending"/>
    <n v="1350000"/>
    <n v="816606"/>
    <n v="533394"/>
    <n v="0.39510666666666666"/>
    <x v="2"/>
    <x v="1"/>
    <x v="0"/>
    <x v="17"/>
  </r>
  <r>
    <s v="ORD-11146"/>
    <x v="367"/>
    <x v="8"/>
    <x v="2"/>
    <s v="PRD-FUR-201"/>
    <s v="Ergonomic Desk Chair"/>
    <n v="2"/>
    <n v="14000"/>
    <n v="8488"/>
    <s v="Cash on Delivery"/>
    <s v="Pending"/>
    <n v="28000"/>
    <n v="16976"/>
    <n v="11024"/>
    <n v="0.39371428571428574"/>
    <x v="1"/>
    <x v="0"/>
    <x v="0"/>
    <x v="0"/>
  </r>
  <r>
    <s v="ORD-11147"/>
    <x v="416"/>
    <x v="1"/>
    <x v="1"/>
    <s v="PRD-ELE-102"/>
    <s v="Mechanical Keyboard"/>
    <n v="4"/>
    <n v="4500"/>
    <n v="3045"/>
    <s v="Credit Card"/>
    <s v="Paid"/>
    <n v="18000"/>
    <n v="12180"/>
    <n v="5820"/>
    <n v="0.32333333333333331"/>
    <x v="2"/>
    <x v="1"/>
    <x v="6"/>
    <x v="6"/>
  </r>
  <r>
    <s v="ORD-11148"/>
    <x v="402"/>
    <x v="1"/>
    <x v="1"/>
    <s v="PRD-ACC-302"/>
    <s v="Noise Cancelling Headphones"/>
    <n v="5"/>
    <n v="12500"/>
    <n v="9976"/>
    <s v="Cash on Delivery"/>
    <s v="Paid"/>
    <n v="62500"/>
    <n v="49880"/>
    <n v="12620"/>
    <n v="0.20191999999999999"/>
    <x v="0"/>
    <x v="1"/>
    <x v="4"/>
    <x v="4"/>
  </r>
  <r>
    <s v="ORD-11149"/>
    <x v="382"/>
    <x v="1"/>
    <x v="0"/>
    <s v="PRD-FUR-201"/>
    <s v="Ergonomic Desk Chair"/>
    <n v="17"/>
    <n v="14000"/>
    <n v="10312"/>
    <s v="Cash on Delivery"/>
    <s v="Paid"/>
    <n v="238000"/>
    <n v="175304"/>
    <n v="62696"/>
    <n v="0.2634285714285714"/>
    <x v="1"/>
    <x v="1"/>
    <x v="10"/>
    <x v="13"/>
  </r>
  <r>
    <s v="ORD-11150"/>
    <x v="139"/>
    <x v="4"/>
    <x v="3"/>
    <s v="PRD-ACC-301"/>
    <s v="USB-C Docking Station"/>
    <n v="9"/>
    <n v="8500"/>
    <n v="6016"/>
    <s v="Net Banking"/>
    <s v="Pending"/>
    <n v="76500"/>
    <n v="54144"/>
    <n v="22356"/>
    <n v="0.29223529411764704"/>
    <x v="0"/>
    <x v="0"/>
    <x v="5"/>
    <x v="5"/>
  </r>
  <r>
    <s v="ORD-11151"/>
    <x v="195"/>
    <x v="8"/>
    <x v="0"/>
    <s v="PRD-ELE-105"/>
    <s v="Android Tablet 10inch"/>
    <n v="7"/>
    <n v="28000"/>
    <n v="21498"/>
    <s v="Cash on Delivery"/>
    <s v="Paid"/>
    <n v="196000"/>
    <n v="150486"/>
    <n v="45514"/>
    <n v="0.23221428571428571"/>
    <x v="2"/>
    <x v="0"/>
    <x v="8"/>
    <x v="9"/>
  </r>
  <r>
    <s v="ORD-11152"/>
    <x v="308"/>
    <x v="4"/>
    <x v="2"/>
    <s v="PRD-ACC-302"/>
    <s v="Noise Cancelling Headphones"/>
    <n v="15"/>
    <n v="12500"/>
    <n v="8356"/>
    <s v="UPI"/>
    <s v="Pending"/>
    <n v="187500"/>
    <n v="125340"/>
    <n v="62160"/>
    <n v="0.33151999999999998"/>
    <x v="0"/>
    <x v="0"/>
    <x v="3"/>
    <x v="16"/>
  </r>
  <r>
    <s v="ORD-11153"/>
    <x v="402"/>
    <x v="6"/>
    <x v="1"/>
    <s v="PRD-ELE-103"/>
    <s v="Wireless Mouse"/>
    <n v="9"/>
    <n v="2500"/>
    <n v="1646"/>
    <s v="UPI"/>
    <s v="Pending"/>
    <n v="22500"/>
    <n v="14814"/>
    <n v="7686"/>
    <n v="0.34160000000000001"/>
    <x v="2"/>
    <x v="1"/>
    <x v="4"/>
    <x v="4"/>
  </r>
  <r>
    <s v="ORD-11154"/>
    <x v="480"/>
    <x v="0"/>
    <x v="0"/>
    <s v="PRD-FUR-202"/>
    <s v="Standing Executive Desk"/>
    <n v="19"/>
    <n v="35000"/>
    <n v="25892"/>
    <s v="Net Banking"/>
    <s v="Paid"/>
    <n v="665000"/>
    <n v="491948"/>
    <n v="173052"/>
    <n v="0.26022857142857142"/>
    <x v="1"/>
    <x v="1"/>
    <x v="10"/>
    <x v="13"/>
  </r>
  <r>
    <s v="ORD-11156"/>
    <x v="121"/>
    <x v="8"/>
    <x v="1"/>
    <s v="PRD-ELE-105"/>
    <s v="Android Tablet 10inch"/>
    <n v="12"/>
    <n v="28000"/>
    <n v="19379"/>
    <s v="Cash on Delivery"/>
    <s v="Pending"/>
    <n v="336000"/>
    <n v="232548"/>
    <n v="103452"/>
    <n v="0.30789285714285713"/>
    <x v="2"/>
    <x v="0"/>
    <x v="6"/>
    <x v="15"/>
  </r>
  <r>
    <s v="ORD-11157"/>
    <x v="504"/>
    <x v="1"/>
    <x v="0"/>
    <s v="PRD-ELE-104"/>
    <s v="Core i7 Laptop"/>
    <n v="8"/>
    <n v="75000"/>
    <n v="45796"/>
    <s v="UPI"/>
    <s v="Failed"/>
    <n v="600000"/>
    <n v="366368"/>
    <n v="233632"/>
    <n v="0.38938666666666666"/>
    <x v="2"/>
    <x v="0"/>
    <x v="3"/>
    <x v="16"/>
  </r>
  <r>
    <s v="ORD-11158"/>
    <x v="79"/>
    <x v="7"/>
    <x v="4"/>
    <s v="PRD-ELE-105"/>
    <s v="Android Tablet 10inch"/>
    <n v="3"/>
    <n v="28000"/>
    <n v="19712"/>
    <s v="UPI"/>
    <s v="Pending"/>
    <n v="84000"/>
    <n v="59136"/>
    <n v="24864"/>
    <n v="0.29599999999999999"/>
    <x v="2"/>
    <x v="1"/>
    <x v="11"/>
    <x v="19"/>
  </r>
  <r>
    <s v="ORD-11159"/>
    <x v="88"/>
    <x v="4"/>
    <x v="3"/>
    <s v="PRD-ELE-104"/>
    <s v="Core i7 Laptop"/>
    <n v="11"/>
    <n v="75000"/>
    <n v="58556"/>
    <s v="Credit Card"/>
    <s v="Failed"/>
    <n v="825000"/>
    <n v="644116"/>
    <n v="180884"/>
    <n v="0.21925333333333333"/>
    <x v="2"/>
    <x v="1"/>
    <x v="1"/>
    <x v="1"/>
  </r>
  <r>
    <s v="ORD-11160"/>
    <x v="498"/>
    <x v="2"/>
    <x v="2"/>
    <s v="PRD-ELE-103"/>
    <s v="Wireless Mouse"/>
    <n v="1"/>
    <n v="2500"/>
    <n v="1563"/>
    <s v="Cash on Delivery"/>
    <s v="Pending"/>
    <n v="2500"/>
    <n v="1563"/>
    <n v="937"/>
    <n v="0.37480000000000002"/>
    <x v="2"/>
    <x v="0"/>
    <x v="6"/>
    <x v="15"/>
  </r>
  <r>
    <s v="ORD-11161"/>
    <x v="46"/>
    <x v="6"/>
    <x v="0"/>
    <s v="PRD-ELE-102"/>
    <s v="Mechanical Keyboard"/>
    <n v="1"/>
    <n v="4500"/>
    <n v="2865"/>
    <s v="Net Banking"/>
    <s v="Failed"/>
    <n v="4500"/>
    <n v="2865"/>
    <n v="1635"/>
    <n v="0.36333333333333334"/>
    <x v="2"/>
    <x v="1"/>
    <x v="7"/>
    <x v="8"/>
  </r>
  <r>
    <s v="ORD-11162"/>
    <x v="265"/>
    <x v="4"/>
    <x v="4"/>
    <s v="PRD-ELE-102"/>
    <s v="Mechanical Keyboard"/>
    <n v="15"/>
    <n v="4500"/>
    <n v="3094"/>
    <s v="Cash on Delivery"/>
    <s v="Pending"/>
    <n v="67500"/>
    <n v="46410"/>
    <n v="21090"/>
    <n v="0.31244444444444447"/>
    <x v="2"/>
    <x v="1"/>
    <x v="1"/>
    <x v="1"/>
  </r>
  <r>
    <s v="ORD-11163"/>
    <x v="436"/>
    <x v="0"/>
    <x v="3"/>
    <s v="PRD-ELE-104"/>
    <s v="Core i7 Laptop"/>
    <n v="10"/>
    <n v="75000"/>
    <n v="51573"/>
    <s v="Credit Card"/>
    <s v="Failed"/>
    <n v="750000"/>
    <n v="515730"/>
    <n v="234270"/>
    <n v="0.31236000000000003"/>
    <x v="2"/>
    <x v="1"/>
    <x v="4"/>
    <x v="4"/>
  </r>
  <r>
    <s v="ORD-11164"/>
    <x v="71"/>
    <x v="8"/>
    <x v="4"/>
    <s v="PRD-ELE-101"/>
    <s v="Monitor 27inch"/>
    <n v="3"/>
    <n v="55000"/>
    <n v="37482"/>
    <s v="Credit Card"/>
    <s v="Pending"/>
    <n v="165000"/>
    <n v="112446"/>
    <n v="52554"/>
    <n v="0.31850909090909091"/>
    <x v="2"/>
    <x v="0"/>
    <x v="8"/>
    <x v="9"/>
  </r>
  <r>
    <s v="ORD-11165"/>
    <x v="217"/>
    <x v="2"/>
    <x v="2"/>
    <s v="PRD-ACC-301"/>
    <s v="USB-C Docking Station"/>
    <n v="5"/>
    <n v="8500"/>
    <n v="5474"/>
    <s v="UPI"/>
    <s v="Paid"/>
    <n v="42500"/>
    <n v="27370"/>
    <n v="15130"/>
    <n v="0.35599999999999998"/>
    <x v="0"/>
    <x v="1"/>
    <x v="10"/>
    <x v="13"/>
  </r>
  <r>
    <s v="ORD-11166"/>
    <x v="93"/>
    <x v="5"/>
    <x v="2"/>
    <s v="PRD-ELE-105"/>
    <s v="Android Tablet 10inch"/>
    <n v="4"/>
    <n v="28000"/>
    <n v="21269"/>
    <s v="Cash on Delivery"/>
    <s v="Pending"/>
    <n v="112000"/>
    <n v="85076"/>
    <n v="26924"/>
    <n v="0.24039285714285713"/>
    <x v="2"/>
    <x v="0"/>
    <x v="3"/>
    <x v="16"/>
  </r>
  <r>
    <s v="ORD-11167"/>
    <x v="395"/>
    <x v="6"/>
    <x v="1"/>
    <s v="PRD-ACC-301"/>
    <s v="USB-C Docking Station"/>
    <n v="7"/>
    <n v="8500"/>
    <n v="5263"/>
    <s v="Credit Card"/>
    <s v="Paid"/>
    <n v="59500"/>
    <n v="36841"/>
    <n v="22659"/>
    <n v="0.38082352941176473"/>
    <x v="0"/>
    <x v="1"/>
    <x v="4"/>
    <x v="4"/>
  </r>
  <r>
    <s v="ORD-11168"/>
    <x v="505"/>
    <x v="6"/>
    <x v="0"/>
    <s v="PRD-ELE-104"/>
    <s v="Core i7 Laptop"/>
    <n v="13"/>
    <n v="75000"/>
    <n v="52365"/>
    <s v="Cash on Delivery"/>
    <s v="Pending"/>
    <n v="975000"/>
    <n v="680745"/>
    <n v="294255"/>
    <n v="0.30180000000000001"/>
    <x v="2"/>
    <x v="1"/>
    <x v="5"/>
    <x v="7"/>
  </r>
  <r>
    <s v="ORD-11169"/>
    <x v="452"/>
    <x v="0"/>
    <x v="4"/>
    <s v="PRD-ACC-302"/>
    <s v="Noise Cancelling Headphones"/>
    <n v="12"/>
    <n v="12500"/>
    <n v="7977"/>
    <s v="Cash on Delivery"/>
    <s v="Failed"/>
    <n v="150000"/>
    <n v="95724"/>
    <n v="54276"/>
    <n v="0.36183999999999999"/>
    <x v="0"/>
    <x v="1"/>
    <x v="9"/>
    <x v="11"/>
  </r>
  <r>
    <s v="ORD-11170"/>
    <x v="114"/>
    <x v="7"/>
    <x v="0"/>
    <s v="PRD-ELE-104"/>
    <s v="Core i7 Laptop"/>
    <n v="10"/>
    <n v="75000"/>
    <n v="48966"/>
    <s v="Credit Card"/>
    <s v="Unknown"/>
    <n v="750000"/>
    <n v="489660"/>
    <n v="260340"/>
    <n v="0.34711999999999998"/>
    <x v="2"/>
    <x v="0"/>
    <x v="11"/>
    <x v="18"/>
  </r>
  <r>
    <s v="ORD-11171"/>
    <x v="110"/>
    <x v="7"/>
    <x v="0"/>
    <s v="PRD-ELE-104"/>
    <s v="Core i7 Laptop"/>
    <n v="19"/>
    <n v="75000"/>
    <n v="50845"/>
    <s v="UPI"/>
    <s v="Failed"/>
    <n v="1425000"/>
    <n v="966055"/>
    <n v="458945"/>
    <n v="0.32206666666666667"/>
    <x v="2"/>
    <x v="1"/>
    <x v="6"/>
    <x v="6"/>
  </r>
  <r>
    <s v="ORD-11172"/>
    <x v="62"/>
    <x v="1"/>
    <x v="1"/>
    <s v="PRD-ELE-104"/>
    <s v="Core i7 Laptop"/>
    <n v="6"/>
    <n v="75000"/>
    <n v="57032"/>
    <s v="UPI"/>
    <s v="Pending"/>
    <n v="450000"/>
    <n v="342192"/>
    <n v="107808"/>
    <n v="0.23957333333333333"/>
    <x v="2"/>
    <x v="1"/>
    <x v="7"/>
    <x v="8"/>
  </r>
  <r>
    <s v="ORD-11173"/>
    <x v="191"/>
    <x v="4"/>
    <x v="2"/>
    <s v="PRD-ELE-105"/>
    <s v="Android Tablet 10inch"/>
    <n v="12"/>
    <n v="28000"/>
    <n v="22026"/>
    <s v="Cash on Delivery"/>
    <s v="Failed"/>
    <n v="336000"/>
    <n v="264312"/>
    <n v="71688"/>
    <n v="0.21335714285714286"/>
    <x v="2"/>
    <x v="0"/>
    <x v="2"/>
    <x v="2"/>
  </r>
  <r>
    <s v="ORD-11174"/>
    <x v="22"/>
    <x v="4"/>
    <x v="4"/>
    <s v="PRD-FUR-201"/>
    <s v="Ergonomic Desk Chair"/>
    <n v="19"/>
    <n v="14000"/>
    <n v="8985"/>
    <s v="UPI"/>
    <s v="Paid"/>
    <n v="266000"/>
    <n v="170715"/>
    <n v="95285"/>
    <n v="0.35821428571428571"/>
    <x v="1"/>
    <x v="1"/>
    <x v="3"/>
    <x v="3"/>
  </r>
  <r>
    <s v="ORD-11175"/>
    <x v="469"/>
    <x v="2"/>
    <x v="3"/>
    <s v="PRD-ACC-302"/>
    <s v="Noise Cancelling Headphones"/>
    <n v="16"/>
    <n v="12500"/>
    <n v="9512"/>
    <s v="Cash on Delivery"/>
    <s v="Failed"/>
    <n v="200000"/>
    <n v="152192"/>
    <n v="47808"/>
    <n v="0.23904"/>
    <x v="0"/>
    <x v="1"/>
    <x v="9"/>
    <x v="11"/>
  </r>
  <r>
    <s v="ORD-11176"/>
    <x v="491"/>
    <x v="4"/>
    <x v="0"/>
    <s v="PRD-ELE-104"/>
    <s v="Core i7 Laptop"/>
    <n v="13"/>
    <n v="75000"/>
    <n v="46609"/>
    <s v="Cash on Delivery"/>
    <s v="Failed"/>
    <n v="975000"/>
    <n v="605917"/>
    <n v="369083"/>
    <n v="0.37854666666666664"/>
    <x v="2"/>
    <x v="1"/>
    <x v="10"/>
    <x v="13"/>
  </r>
  <r>
    <s v="ORD-11177"/>
    <x v="506"/>
    <x v="8"/>
    <x v="3"/>
    <s v="PRD-ELE-102"/>
    <s v="Mechanical Keyboard"/>
    <n v="19"/>
    <n v="4500"/>
    <n v="3350"/>
    <s v="UPI"/>
    <s v="Pending"/>
    <n v="85500"/>
    <n v="63650"/>
    <n v="21850"/>
    <n v="0.25555555555555554"/>
    <x v="2"/>
    <x v="0"/>
    <x v="6"/>
    <x v="15"/>
  </r>
  <r>
    <s v="ORD-11178"/>
    <x v="463"/>
    <x v="1"/>
    <x v="0"/>
    <s v="PRD-ELE-105"/>
    <s v="Android Tablet 10inch"/>
    <n v="2"/>
    <n v="28000"/>
    <n v="18943"/>
    <s v="Credit Card"/>
    <s v="Paid"/>
    <n v="56000"/>
    <n v="37886"/>
    <n v="18114"/>
    <n v="0.3234642857142857"/>
    <x v="2"/>
    <x v="1"/>
    <x v="7"/>
    <x v="8"/>
  </r>
  <r>
    <s v="ORD-11179"/>
    <x v="489"/>
    <x v="0"/>
    <x v="3"/>
    <s v="PRD-ELE-101"/>
    <s v="Monitor 27inch"/>
    <n v="10"/>
    <n v="55000"/>
    <n v="39012"/>
    <s v="Cash on Delivery"/>
    <s v="Paid"/>
    <n v="550000"/>
    <n v="390120"/>
    <n v="159880"/>
    <n v="0.29069090909090911"/>
    <x v="2"/>
    <x v="1"/>
    <x v="1"/>
    <x v="1"/>
  </r>
  <r>
    <s v="ORD-11180"/>
    <x v="205"/>
    <x v="0"/>
    <x v="1"/>
    <s v="PRD-ELE-104"/>
    <s v="Core i7 Laptop"/>
    <n v="17"/>
    <n v="75000"/>
    <n v="57105"/>
    <s v="Cash on Delivery"/>
    <s v="Pending"/>
    <n v="1275000"/>
    <n v="970785"/>
    <n v="304215"/>
    <n v="0.23860000000000001"/>
    <x v="2"/>
    <x v="1"/>
    <x v="4"/>
    <x v="4"/>
  </r>
  <r>
    <s v="ORD-11181"/>
    <x v="97"/>
    <x v="1"/>
    <x v="4"/>
    <s v="PRD-ELE-104"/>
    <s v="Core i7 Laptop"/>
    <n v="4"/>
    <n v="75000"/>
    <n v="46636"/>
    <s v="Cash on Delivery"/>
    <s v="Pending"/>
    <n v="300000"/>
    <n v="186544"/>
    <n v="113456"/>
    <n v="0.37818666666666667"/>
    <x v="2"/>
    <x v="1"/>
    <x v="7"/>
    <x v="8"/>
  </r>
  <r>
    <s v="ORD-11182"/>
    <x v="315"/>
    <x v="5"/>
    <x v="0"/>
    <s v="PRD-ELE-102"/>
    <s v="Mechanical Keyboard"/>
    <n v="17"/>
    <n v="4500"/>
    <n v="3436"/>
    <s v="UPI"/>
    <s v="Failed"/>
    <n v="76500"/>
    <n v="58412"/>
    <n v="18088"/>
    <n v="0.23644444444444446"/>
    <x v="2"/>
    <x v="0"/>
    <x v="0"/>
    <x v="0"/>
  </r>
  <r>
    <s v="ORD-11183"/>
    <x v="182"/>
    <x v="4"/>
    <x v="4"/>
    <s v="PRD-FUR-201"/>
    <s v="Ergonomic Desk Chair"/>
    <n v="17"/>
    <n v="14000"/>
    <n v="8865"/>
    <s v="Cash on Delivery"/>
    <s v="Paid"/>
    <n v="238000"/>
    <n v="150705"/>
    <n v="87295"/>
    <n v="0.36678571428571427"/>
    <x v="1"/>
    <x v="1"/>
    <x v="6"/>
    <x v="6"/>
  </r>
  <r>
    <s v="ORD-11184"/>
    <x v="446"/>
    <x v="5"/>
    <x v="2"/>
    <s v="PRD-ELE-103"/>
    <s v="Wireless Mouse"/>
    <n v="13"/>
    <n v="2500"/>
    <n v="1644"/>
    <s v="Net Banking"/>
    <s v="Pending"/>
    <n v="32500"/>
    <n v="21372"/>
    <n v="11128"/>
    <n v="0.34239999999999998"/>
    <x v="2"/>
    <x v="0"/>
    <x v="9"/>
    <x v="12"/>
  </r>
  <r>
    <s v="ORD-11185"/>
    <x v="36"/>
    <x v="2"/>
    <x v="4"/>
    <s v="PRD-FUR-202"/>
    <s v="Standing Executive Desk"/>
    <n v="12"/>
    <n v="35000"/>
    <n v="24818"/>
    <s v="Cash on Delivery"/>
    <s v="Failed"/>
    <n v="420000"/>
    <n v="297816"/>
    <n v="122184"/>
    <n v="0.29091428571428574"/>
    <x v="1"/>
    <x v="0"/>
    <x v="2"/>
    <x v="2"/>
  </r>
  <r>
    <s v="ORD-11186"/>
    <x v="243"/>
    <x v="4"/>
    <x v="0"/>
    <s v="PRD-ELE-102"/>
    <s v="Mechanical Keyboard"/>
    <n v="13"/>
    <n v="4500"/>
    <n v="3259"/>
    <s v="Cash on Delivery"/>
    <s v="Pending"/>
    <n v="58500"/>
    <n v="42367"/>
    <n v="16133"/>
    <n v="0.27577777777777779"/>
    <x v="2"/>
    <x v="0"/>
    <x v="6"/>
    <x v="15"/>
  </r>
  <r>
    <s v="ORD-11187"/>
    <x v="305"/>
    <x v="7"/>
    <x v="0"/>
    <s v="PRD-ACC-302"/>
    <s v="Noise Cancelling Headphones"/>
    <n v="8"/>
    <n v="12500"/>
    <n v="8201"/>
    <s v="Credit Card"/>
    <s v="Paid"/>
    <n v="100000"/>
    <n v="65608"/>
    <n v="34392"/>
    <n v="0.34392"/>
    <x v="0"/>
    <x v="1"/>
    <x v="5"/>
    <x v="7"/>
  </r>
  <r>
    <s v="ORD-11188"/>
    <x v="365"/>
    <x v="7"/>
    <x v="0"/>
    <s v="PRD-ELE-101"/>
    <s v="Monitor 27inch"/>
    <n v="18"/>
    <n v="55000"/>
    <n v="43428"/>
    <s v="Cash on Delivery"/>
    <s v="Paid"/>
    <n v="990000"/>
    <n v="781704"/>
    <n v="208296"/>
    <n v="0.2104"/>
    <x v="2"/>
    <x v="0"/>
    <x v="9"/>
    <x v="12"/>
  </r>
  <r>
    <s v="ORD-11189"/>
    <x v="392"/>
    <x v="2"/>
    <x v="0"/>
    <s v="PRD-ELE-101"/>
    <s v="Monitor 27inch"/>
    <n v="7"/>
    <n v="55000"/>
    <n v="36289"/>
    <s v="Credit Card"/>
    <s v="Failed"/>
    <n v="385000"/>
    <n v="254023"/>
    <n v="130977"/>
    <n v="0.3402"/>
    <x v="2"/>
    <x v="1"/>
    <x v="10"/>
    <x v="13"/>
  </r>
  <r>
    <s v="ORD-11191"/>
    <x v="507"/>
    <x v="0"/>
    <x v="3"/>
    <s v="PRD-ELE-104"/>
    <s v="Core i7 Laptop"/>
    <n v="15"/>
    <n v="75000"/>
    <n v="51860"/>
    <s v="UPI"/>
    <s v="Paid"/>
    <n v="1125000"/>
    <n v="777900"/>
    <n v="347100"/>
    <n v="0.30853333333333333"/>
    <x v="2"/>
    <x v="1"/>
    <x v="11"/>
    <x v="19"/>
  </r>
  <r>
    <s v="ORD-11192"/>
    <x v="406"/>
    <x v="0"/>
    <x v="0"/>
    <s v="PRD-ACC-302"/>
    <s v="Noise Cancelling Headphones"/>
    <n v="19"/>
    <n v="12500"/>
    <n v="9992"/>
    <s v="UPI"/>
    <s v="Paid"/>
    <n v="237500"/>
    <n v="189848"/>
    <n v="47652"/>
    <n v="0.20064000000000001"/>
    <x v="0"/>
    <x v="1"/>
    <x v="7"/>
    <x v="8"/>
  </r>
  <r>
    <s v="ORD-11193"/>
    <x v="306"/>
    <x v="8"/>
    <x v="4"/>
    <s v="PRD-FUR-201"/>
    <s v="Ergonomic Desk Chair"/>
    <n v="10"/>
    <n v="14000"/>
    <n v="9983"/>
    <s v="Cash on Delivery"/>
    <s v="Pending"/>
    <n v="140000"/>
    <n v="99830"/>
    <n v="40170"/>
    <n v="0.28692857142857142"/>
    <x v="1"/>
    <x v="0"/>
    <x v="11"/>
    <x v="18"/>
  </r>
  <r>
    <s v="ORD-11194"/>
    <x v="93"/>
    <x v="8"/>
    <x v="3"/>
    <s v="PRD-ELE-104"/>
    <s v="Core i7 Laptop"/>
    <n v="14"/>
    <n v="75000"/>
    <n v="58668"/>
    <s v="Cash on Delivery"/>
    <s v="Paid"/>
    <n v="1050000"/>
    <n v="821352"/>
    <n v="228648"/>
    <n v="0.21776000000000001"/>
    <x v="2"/>
    <x v="0"/>
    <x v="3"/>
    <x v="16"/>
  </r>
  <r>
    <s v="ORD-11195"/>
    <x v="446"/>
    <x v="4"/>
    <x v="1"/>
    <s v="PRD-ACC-302"/>
    <s v="Noise Cancelling Headphones"/>
    <n v="1"/>
    <n v="12500"/>
    <n v="7849"/>
    <s v="Cash on Delivery"/>
    <s v="Pending"/>
    <n v="12500"/>
    <n v="7849"/>
    <n v="4651"/>
    <n v="0.37208000000000002"/>
    <x v="0"/>
    <x v="0"/>
    <x v="9"/>
    <x v="12"/>
  </r>
  <r>
    <s v="ORD-11196"/>
    <x v="254"/>
    <x v="5"/>
    <x v="4"/>
    <s v="PRD-ELE-103"/>
    <s v="Wireless Mouse"/>
    <n v="19"/>
    <n v="2500"/>
    <n v="1935"/>
    <s v="Net Banking"/>
    <s v="Pending"/>
    <n v="47500"/>
    <n v="36765"/>
    <n v="10735"/>
    <n v="0.22600000000000001"/>
    <x v="2"/>
    <x v="1"/>
    <x v="10"/>
    <x v="13"/>
  </r>
  <r>
    <s v="ORD-11197"/>
    <x v="423"/>
    <x v="4"/>
    <x v="4"/>
    <s v="PRD-ACC-301"/>
    <s v="USB-C Docking Station"/>
    <n v="11"/>
    <n v="8500"/>
    <n v="5600"/>
    <s v="Cash on Delivery"/>
    <s v="Paid"/>
    <n v="93500"/>
    <n v="61600"/>
    <n v="31900"/>
    <n v="0.3411764705882353"/>
    <x v="0"/>
    <x v="1"/>
    <x v="4"/>
    <x v="4"/>
  </r>
  <r>
    <s v="ORD-11198"/>
    <x v="368"/>
    <x v="3"/>
    <x v="4"/>
    <s v="PRD-ELE-102"/>
    <s v="Mechanical Keyboard"/>
    <n v="10"/>
    <n v="4500"/>
    <n v="3346"/>
    <s v="Net Banking"/>
    <s v="Pending"/>
    <n v="45000"/>
    <n v="33460"/>
    <n v="11540"/>
    <n v="0.25644444444444442"/>
    <x v="2"/>
    <x v="0"/>
    <x v="11"/>
    <x v="18"/>
  </r>
  <r>
    <s v="ORD-11199"/>
    <x v="508"/>
    <x v="5"/>
    <x v="0"/>
    <s v="PRD-FUR-201"/>
    <s v="Ergonomic Desk Chair"/>
    <n v="3"/>
    <n v="14000"/>
    <n v="9263"/>
    <s v="Credit Card"/>
    <s v="Failed"/>
    <n v="42000"/>
    <n v="27789"/>
    <n v="14211"/>
    <n v="0.33835714285714286"/>
    <x v="1"/>
    <x v="1"/>
    <x v="2"/>
    <x v="10"/>
  </r>
  <r>
    <s v="ORD-11200"/>
    <x v="81"/>
    <x v="1"/>
    <x v="0"/>
    <s v="PRD-ACC-301"/>
    <s v="USB-C Docking Station"/>
    <n v="18"/>
    <n v="8500"/>
    <n v="5184"/>
    <s v="Cash on Delivery"/>
    <s v="Pending"/>
    <n v="153000"/>
    <n v="93312"/>
    <n v="59688"/>
    <n v="0.39011764705882351"/>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A13C38-4D8E-4487-B2D1-FB328BF67767}"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7:L11" firstHeaderRow="1" firstDataRow="1" firstDataCol="1"/>
  <pivotFields count="19">
    <pivotField showAll="0"/>
    <pivotField numFmtId="14" showAll="0">
      <items count="510">
        <item x="283"/>
        <item x="23"/>
        <item x="451"/>
        <item x="307"/>
        <item x="438"/>
        <item x="286"/>
        <item x="229"/>
        <item x="445"/>
        <item x="122"/>
        <item x="35"/>
        <item x="415"/>
        <item x="59"/>
        <item x="145"/>
        <item x="34"/>
        <item x="259"/>
        <item x="28"/>
        <item x="68"/>
        <item x="435"/>
        <item x="293"/>
        <item x="196"/>
        <item x="29"/>
        <item x="274"/>
        <item x="100"/>
        <item x="228"/>
        <item x="399"/>
        <item x="110"/>
        <item x="304"/>
        <item x="321"/>
        <item x="332"/>
        <item x="291"/>
        <item x="248"/>
        <item x="104"/>
        <item x="182"/>
        <item x="159"/>
        <item x="194"/>
        <item x="39"/>
        <item x="37"/>
        <item x="464"/>
        <item x="173"/>
        <item x="8"/>
        <item x="381"/>
        <item x="300"/>
        <item x="222"/>
        <item x="471"/>
        <item x="416"/>
        <item x="55"/>
        <item x="263"/>
        <item x="285"/>
        <item x="322"/>
        <item x="380"/>
        <item x="338"/>
        <item x="27"/>
        <item x="450"/>
        <item x="152"/>
        <item x="482"/>
        <item x="157"/>
        <item x="481"/>
        <item x="133"/>
        <item x="45"/>
        <item x="11"/>
        <item x="503"/>
        <item x="377"/>
        <item x="340"/>
        <item x="22"/>
        <item x="3"/>
        <item x="297"/>
        <item x="24"/>
        <item x="428"/>
        <item x="389"/>
        <item x="42"/>
        <item x="266"/>
        <item x="465"/>
        <item x="394"/>
        <item x="327"/>
        <item x="342"/>
        <item x="164"/>
        <item x="197"/>
        <item x="326"/>
        <item x="40"/>
        <item x="9"/>
        <item x="238"/>
        <item x="345"/>
        <item x="47"/>
        <item x="18"/>
        <item x="49"/>
        <item x="272"/>
        <item x="497"/>
        <item x="284"/>
        <item x="447"/>
        <item x="456"/>
        <item x="417"/>
        <item x="305"/>
        <item x="502"/>
        <item x="92"/>
        <item x="339"/>
        <item x="147"/>
        <item x="221"/>
        <item x="443"/>
        <item x="166"/>
        <item x="328"/>
        <item x="376"/>
        <item x="505"/>
        <item x="361"/>
        <item x="312"/>
        <item x="258"/>
        <item x="123"/>
        <item x="16"/>
        <item x="508"/>
        <item x="424"/>
        <item x="341"/>
        <item x="214"/>
        <item x="190"/>
        <item x="52"/>
        <item x="148"/>
        <item x="442"/>
        <item x="129"/>
        <item x="484"/>
        <item x="346"/>
        <item x="224"/>
        <item x="495"/>
        <item x="213"/>
        <item x="384"/>
        <item x="220"/>
        <item x="427"/>
        <item x="492"/>
        <item x="404"/>
        <item x="141"/>
        <item x="336"/>
        <item x="441"/>
        <item x="115"/>
        <item x="262"/>
        <item x="44"/>
        <item x="357"/>
        <item x="232"/>
        <item x="460"/>
        <item x="351"/>
        <item x="353"/>
        <item x="244"/>
        <item x="256"/>
        <item x="276"/>
        <item x="426"/>
        <item x="303"/>
        <item x="344"/>
        <item x="444"/>
        <item x="478"/>
        <item x="178"/>
        <item x="192"/>
        <item x="277"/>
        <item x="168"/>
        <item x="170"/>
        <item x="490"/>
        <item x="278"/>
        <item x="102"/>
        <item x="144"/>
        <item x="246"/>
        <item x="422"/>
        <item x="329"/>
        <item x="333"/>
        <item x="167"/>
        <item x="202"/>
        <item x="487"/>
        <item x="151"/>
        <item x="359"/>
        <item x="319"/>
        <item x="137"/>
        <item x="65"/>
        <item x="98"/>
        <item x="507"/>
        <item x="230"/>
        <item x="414"/>
        <item x="160"/>
        <item x="119"/>
        <item x="79"/>
        <item x="458"/>
        <item x="116"/>
        <item x="86"/>
        <item x="150"/>
        <item x="282"/>
        <item x="209"/>
        <item x="255"/>
        <item x="301"/>
        <item x="469"/>
        <item x="218"/>
        <item x="169"/>
        <item x="296"/>
        <item x="245"/>
        <item x="500"/>
        <item x="452"/>
        <item x="124"/>
        <item x="472"/>
        <item x="188"/>
        <item x="261"/>
        <item x="235"/>
        <item x="397"/>
        <item x="314"/>
        <item x="146"/>
        <item x="84"/>
        <item x="19"/>
        <item x="433"/>
        <item x="485"/>
        <item x="352"/>
        <item x="429"/>
        <item x="163"/>
        <item x="211"/>
        <item x="347"/>
        <item x="360"/>
        <item x="287"/>
        <item x="337"/>
        <item x="461"/>
        <item x="57"/>
        <item x="162"/>
        <item x="10"/>
        <item x="288"/>
        <item x="219"/>
        <item x="203"/>
        <item x="463"/>
        <item x="46"/>
        <item x="302"/>
        <item x="396"/>
        <item x="323"/>
        <item x="134"/>
        <item x="125"/>
        <item x="290"/>
        <item x="437"/>
        <item x="51"/>
        <item x="135"/>
        <item x="406"/>
        <item x="62"/>
        <item x="103"/>
        <item x="97"/>
        <item x="101"/>
        <item x="17"/>
        <item x="109"/>
        <item x="108"/>
        <item x="436"/>
        <item x="233"/>
        <item x="177"/>
        <item x="105"/>
        <item x="362"/>
        <item x="90"/>
        <item x="320"/>
        <item x="423"/>
        <item x="279"/>
        <item x="118"/>
        <item x="4"/>
        <item x="15"/>
        <item x="407"/>
        <item x="270"/>
        <item x="205"/>
        <item x="269"/>
        <item x="201"/>
        <item x="117"/>
        <item x="395"/>
        <item x="420"/>
        <item x="96"/>
        <item x="383"/>
        <item x="373"/>
        <item x="142"/>
        <item x="186"/>
        <item x="402"/>
        <item x="155"/>
        <item x="309"/>
        <item x="479"/>
        <item x="234"/>
        <item x="386"/>
        <item x="499"/>
        <item x="489"/>
        <item x="181"/>
        <item x="132"/>
        <item x="280"/>
        <item x="131"/>
        <item x="153"/>
        <item x="74"/>
        <item x="1"/>
        <item x="88"/>
        <item x="358"/>
        <item x="378"/>
        <item x="388"/>
        <item x="363"/>
        <item x="128"/>
        <item x="454"/>
        <item x="5"/>
        <item x="247"/>
        <item x="237"/>
        <item x="265"/>
        <item x="200"/>
        <item x="491"/>
        <item x="413"/>
        <item x="179"/>
        <item x="480"/>
        <item x="348"/>
        <item x="468"/>
        <item x="87"/>
        <item x="254"/>
        <item x="387"/>
        <item x="294"/>
        <item x="161"/>
        <item x="227"/>
        <item x="206"/>
        <item x="431"/>
        <item x="25"/>
        <item x="217"/>
        <item x="466"/>
        <item x="292"/>
        <item x="356"/>
        <item x="392"/>
        <item x="83"/>
        <item x="21"/>
        <item x="138"/>
        <item x="382"/>
        <item x="364"/>
        <item x="371"/>
        <item x="289"/>
        <item x="432"/>
        <item x="391"/>
        <item x="195"/>
        <item x="403"/>
        <item x="187"/>
        <item x="251"/>
        <item x="473"/>
        <item x="69"/>
        <item x="225"/>
        <item x="281"/>
        <item x="76"/>
        <item x="208"/>
        <item x="455"/>
        <item x="30"/>
        <item x="252"/>
        <item x="71"/>
        <item x="14"/>
        <item x="430"/>
        <item x="325"/>
        <item x="41"/>
        <item x="496"/>
        <item x="310"/>
        <item x="398"/>
        <item x="63"/>
        <item x="419"/>
        <item x="199"/>
        <item x="253"/>
        <item x="216"/>
        <item x="48"/>
        <item x="243"/>
        <item x="240"/>
        <item x="498"/>
        <item x="210"/>
        <item x="127"/>
        <item x="121"/>
        <item x="143"/>
        <item x="185"/>
        <item x="184"/>
        <item x="250"/>
        <item x="31"/>
        <item x="372"/>
        <item x="149"/>
        <item x="355"/>
        <item x="379"/>
        <item x="154"/>
        <item x="85"/>
        <item x="506"/>
        <item x="94"/>
        <item x="494"/>
        <item x="275"/>
        <item x="106"/>
        <item x="75"/>
        <item x="53"/>
        <item x="99"/>
        <item x="43"/>
        <item x="409"/>
        <item x="477"/>
        <item x="504"/>
        <item x="316"/>
        <item x="440"/>
        <item x="93"/>
        <item x="313"/>
        <item x="308"/>
        <item x="239"/>
        <item x="330"/>
        <item x="38"/>
        <item x="400"/>
        <item x="56"/>
        <item x="33"/>
        <item x="73"/>
        <item x="457"/>
        <item x="204"/>
        <item x="176"/>
        <item x="82"/>
        <item x="412"/>
        <item x="120"/>
        <item x="207"/>
        <item x="113"/>
        <item x="172"/>
        <item x="475"/>
        <item x="80"/>
        <item x="260"/>
        <item x="12"/>
        <item x="54"/>
        <item x="6"/>
        <item x="140"/>
        <item x="393"/>
        <item x="370"/>
        <item x="226"/>
        <item x="231"/>
        <item x="89"/>
        <item x="257"/>
        <item x="139"/>
        <item x="50"/>
        <item x="64"/>
        <item x="67"/>
        <item x="390"/>
        <item x="298"/>
        <item x="483"/>
        <item x="350"/>
        <item x="448"/>
        <item x="335"/>
        <item x="299"/>
        <item x="156"/>
        <item x="78"/>
        <item x="470"/>
        <item x="193"/>
        <item x="191"/>
        <item x="311"/>
        <item x="459"/>
        <item x="374"/>
        <item x="317"/>
        <item x="174"/>
        <item x="36"/>
        <item x="61"/>
        <item x="2"/>
        <item x="223"/>
        <item x="271"/>
        <item x="418"/>
        <item x="32"/>
        <item x="165"/>
        <item x="410"/>
        <item x="462"/>
        <item x="411"/>
        <item x="318"/>
        <item x="171"/>
        <item x="136"/>
        <item x="367"/>
        <item x="81"/>
        <item x="0"/>
        <item x="324"/>
        <item x="425"/>
        <item x="385"/>
        <item x="112"/>
        <item x="91"/>
        <item x="401"/>
        <item x="343"/>
        <item x="315"/>
        <item x="107"/>
        <item x="295"/>
        <item x="476"/>
        <item x="66"/>
        <item x="267"/>
        <item x="13"/>
        <item x="434"/>
        <item x="268"/>
        <item x="7"/>
        <item x="130"/>
        <item x="242"/>
        <item x="421"/>
        <item x="306"/>
        <item x="249"/>
        <item x="369"/>
        <item x="198"/>
        <item x="236"/>
        <item x="241"/>
        <item x="114"/>
        <item x="449"/>
        <item x="158"/>
        <item x="467"/>
        <item x="111"/>
        <item x="368"/>
        <item x="375"/>
        <item x="334"/>
        <item x="331"/>
        <item x="183"/>
        <item x="126"/>
        <item x="215"/>
        <item x="175"/>
        <item x="488"/>
        <item x="474"/>
        <item x="60"/>
        <item x="486"/>
        <item x="366"/>
        <item x="354"/>
        <item x="180"/>
        <item x="273"/>
        <item x="212"/>
        <item x="446"/>
        <item x="77"/>
        <item x="72"/>
        <item x="453"/>
        <item x="58"/>
        <item x="493"/>
        <item x="408"/>
        <item x="405"/>
        <item x="189"/>
        <item x="20"/>
        <item x="264"/>
        <item x="70"/>
        <item x="26"/>
        <item x="439"/>
        <item x="95"/>
        <item x="501"/>
        <item x="349"/>
        <item x="365"/>
        <item t="default"/>
      </items>
    </pivotField>
    <pivotField showAll="0"/>
    <pivotField showAll="0">
      <items count="6">
        <item x="3"/>
        <item x="0"/>
        <item x="4"/>
        <item x="2"/>
        <item x="1"/>
        <item t="default"/>
      </items>
    </pivotField>
    <pivotField showAll="0"/>
    <pivotField showAll="0"/>
    <pivotField showAll="0"/>
    <pivotField showAll="0"/>
    <pivotField showAll="0"/>
    <pivotField showAll="0"/>
    <pivotField showAll="0"/>
    <pivotField dataField="1" showAll="0"/>
    <pivotField showAll="0"/>
    <pivotField showAll="0"/>
    <pivotField numFmtId="9"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3">
        <item h="1" x="8"/>
        <item h="1" x="6"/>
        <item h="1" x="3"/>
        <item h="1" x="5"/>
        <item h="1" x="2"/>
        <item h="1" x="0"/>
        <item h="1" x="11"/>
        <item h="1" x="9"/>
        <item h="1" x="7"/>
        <item h="1" x="4"/>
        <item h="1" x="1"/>
        <item x="10"/>
        <item t="default"/>
      </items>
    </pivotField>
    <pivotField showAll="0"/>
  </pivotFields>
  <rowFields count="1">
    <field x="15"/>
  </rowFields>
  <rowItems count="4">
    <i>
      <x/>
    </i>
    <i>
      <x v="2"/>
    </i>
    <i>
      <x v="1"/>
    </i>
    <i t="grand">
      <x/>
    </i>
  </rowItems>
  <colItems count="1">
    <i/>
  </colItems>
  <dataFields count="1">
    <dataField name="Sum of Total_Sales" fld="11" baseField="0" baseItem="0" numFmtId="166"/>
  </dataFields>
  <formats count="1">
    <format dxfId="112">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C12A5C-3FCA-4566-910C-68E7A5209182}"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7:I13" firstHeaderRow="1" firstDataRow="1" firstDataCol="1"/>
  <pivotFields count="19">
    <pivotField showAll="0"/>
    <pivotField numFmtId="14" showAll="0">
      <items count="510">
        <item x="283"/>
        <item x="23"/>
        <item x="451"/>
        <item x="307"/>
        <item x="438"/>
        <item x="286"/>
        <item x="229"/>
        <item x="445"/>
        <item x="122"/>
        <item x="35"/>
        <item x="415"/>
        <item x="59"/>
        <item x="145"/>
        <item x="34"/>
        <item x="259"/>
        <item x="28"/>
        <item x="68"/>
        <item x="435"/>
        <item x="293"/>
        <item x="196"/>
        <item x="29"/>
        <item x="274"/>
        <item x="100"/>
        <item x="228"/>
        <item x="399"/>
        <item x="110"/>
        <item x="304"/>
        <item x="321"/>
        <item x="332"/>
        <item x="291"/>
        <item x="248"/>
        <item x="104"/>
        <item x="182"/>
        <item x="159"/>
        <item x="194"/>
        <item x="39"/>
        <item x="37"/>
        <item x="464"/>
        <item x="173"/>
        <item x="8"/>
        <item x="381"/>
        <item x="300"/>
        <item x="222"/>
        <item x="471"/>
        <item x="416"/>
        <item x="55"/>
        <item x="263"/>
        <item x="285"/>
        <item x="322"/>
        <item x="380"/>
        <item x="338"/>
        <item x="27"/>
        <item x="450"/>
        <item x="152"/>
        <item x="482"/>
        <item x="157"/>
        <item x="481"/>
        <item x="133"/>
        <item x="45"/>
        <item x="11"/>
        <item x="503"/>
        <item x="377"/>
        <item x="340"/>
        <item x="22"/>
        <item x="3"/>
        <item x="297"/>
        <item x="24"/>
        <item x="428"/>
        <item x="389"/>
        <item x="42"/>
        <item x="266"/>
        <item x="465"/>
        <item x="394"/>
        <item x="327"/>
        <item x="342"/>
        <item x="164"/>
        <item x="197"/>
        <item x="326"/>
        <item x="40"/>
        <item x="9"/>
        <item x="238"/>
        <item x="345"/>
        <item x="47"/>
        <item x="18"/>
        <item x="49"/>
        <item x="272"/>
        <item x="497"/>
        <item x="284"/>
        <item x="447"/>
        <item x="456"/>
        <item x="417"/>
        <item x="305"/>
        <item x="502"/>
        <item x="92"/>
        <item x="339"/>
        <item x="147"/>
        <item x="221"/>
        <item x="443"/>
        <item x="166"/>
        <item x="328"/>
        <item x="376"/>
        <item x="505"/>
        <item x="361"/>
        <item x="312"/>
        <item x="258"/>
        <item x="123"/>
        <item x="16"/>
        <item x="508"/>
        <item x="424"/>
        <item x="341"/>
        <item x="214"/>
        <item x="190"/>
        <item x="52"/>
        <item x="148"/>
        <item x="442"/>
        <item x="129"/>
        <item x="484"/>
        <item x="346"/>
        <item x="224"/>
        <item x="495"/>
        <item x="213"/>
        <item x="384"/>
        <item x="220"/>
        <item x="427"/>
        <item x="492"/>
        <item x="404"/>
        <item x="141"/>
        <item x="336"/>
        <item x="441"/>
        <item x="115"/>
        <item x="262"/>
        <item x="44"/>
        <item x="357"/>
        <item x="232"/>
        <item x="460"/>
        <item x="351"/>
        <item x="353"/>
        <item x="244"/>
        <item x="256"/>
        <item x="276"/>
        <item x="426"/>
        <item x="303"/>
        <item x="344"/>
        <item x="444"/>
        <item x="478"/>
        <item x="178"/>
        <item x="192"/>
        <item x="277"/>
        <item x="168"/>
        <item x="170"/>
        <item x="490"/>
        <item x="278"/>
        <item x="102"/>
        <item x="144"/>
        <item x="246"/>
        <item x="422"/>
        <item x="329"/>
        <item x="333"/>
        <item x="167"/>
        <item x="202"/>
        <item x="487"/>
        <item x="151"/>
        <item x="359"/>
        <item x="319"/>
        <item x="137"/>
        <item x="65"/>
        <item x="98"/>
        <item x="507"/>
        <item x="230"/>
        <item x="414"/>
        <item x="160"/>
        <item x="119"/>
        <item x="79"/>
        <item x="458"/>
        <item x="116"/>
        <item x="86"/>
        <item x="150"/>
        <item x="282"/>
        <item x="209"/>
        <item x="255"/>
        <item x="301"/>
        <item x="469"/>
        <item x="218"/>
        <item x="169"/>
        <item x="296"/>
        <item x="245"/>
        <item x="500"/>
        <item x="452"/>
        <item x="124"/>
        <item x="472"/>
        <item x="188"/>
        <item x="261"/>
        <item x="235"/>
        <item x="397"/>
        <item x="314"/>
        <item x="146"/>
        <item x="84"/>
        <item x="19"/>
        <item x="433"/>
        <item x="485"/>
        <item x="352"/>
        <item x="429"/>
        <item x="163"/>
        <item x="211"/>
        <item x="347"/>
        <item x="360"/>
        <item x="287"/>
        <item x="337"/>
        <item x="461"/>
        <item x="57"/>
        <item x="162"/>
        <item x="10"/>
        <item x="288"/>
        <item x="219"/>
        <item x="203"/>
        <item x="463"/>
        <item x="46"/>
        <item x="302"/>
        <item x="396"/>
        <item x="323"/>
        <item x="134"/>
        <item x="125"/>
        <item x="290"/>
        <item x="437"/>
        <item x="51"/>
        <item x="135"/>
        <item x="406"/>
        <item x="62"/>
        <item x="103"/>
        <item x="97"/>
        <item x="101"/>
        <item x="17"/>
        <item x="109"/>
        <item x="108"/>
        <item x="436"/>
        <item x="233"/>
        <item x="177"/>
        <item x="105"/>
        <item x="362"/>
        <item x="90"/>
        <item x="320"/>
        <item x="423"/>
        <item x="279"/>
        <item x="118"/>
        <item x="4"/>
        <item x="15"/>
        <item x="407"/>
        <item x="270"/>
        <item x="205"/>
        <item x="269"/>
        <item x="201"/>
        <item x="117"/>
        <item x="395"/>
        <item x="420"/>
        <item x="96"/>
        <item x="383"/>
        <item x="373"/>
        <item x="142"/>
        <item x="186"/>
        <item x="402"/>
        <item x="155"/>
        <item x="309"/>
        <item x="479"/>
        <item x="234"/>
        <item x="386"/>
        <item x="499"/>
        <item x="489"/>
        <item x="181"/>
        <item x="132"/>
        <item x="280"/>
        <item x="131"/>
        <item x="153"/>
        <item x="74"/>
        <item x="1"/>
        <item x="88"/>
        <item x="358"/>
        <item x="378"/>
        <item x="388"/>
        <item x="363"/>
        <item x="128"/>
        <item x="454"/>
        <item x="5"/>
        <item x="247"/>
        <item x="237"/>
        <item x="265"/>
        <item x="200"/>
        <item x="491"/>
        <item x="413"/>
        <item x="179"/>
        <item x="480"/>
        <item x="348"/>
        <item x="468"/>
        <item x="87"/>
        <item x="254"/>
        <item x="387"/>
        <item x="294"/>
        <item x="161"/>
        <item x="227"/>
        <item x="206"/>
        <item x="431"/>
        <item x="25"/>
        <item x="217"/>
        <item x="466"/>
        <item x="292"/>
        <item x="356"/>
        <item x="392"/>
        <item x="83"/>
        <item x="21"/>
        <item x="138"/>
        <item x="382"/>
        <item x="364"/>
        <item x="371"/>
        <item x="289"/>
        <item x="432"/>
        <item x="391"/>
        <item x="195"/>
        <item x="403"/>
        <item x="187"/>
        <item x="251"/>
        <item x="473"/>
        <item x="69"/>
        <item x="225"/>
        <item x="281"/>
        <item x="76"/>
        <item x="208"/>
        <item x="455"/>
        <item x="30"/>
        <item x="252"/>
        <item x="71"/>
        <item x="14"/>
        <item x="430"/>
        <item x="325"/>
        <item x="41"/>
        <item x="496"/>
        <item x="310"/>
        <item x="398"/>
        <item x="63"/>
        <item x="419"/>
        <item x="199"/>
        <item x="253"/>
        <item x="216"/>
        <item x="48"/>
        <item x="243"/>
        <item x="240"/>
        <item x="498"/>
        <item x="210"/>
        <item x="127"/>
        <item x="121"/>
        <item x="143"/>
        <item x="185"/>
        <item x="184"/>
        <item x="250"/>
        <item x="31"/>
        <item x="372"/>
        <item x="149"/>
        <item x="355"/>
        <item x="379"/>
        <item x="154"/>
        <item x="85"/>
        <item x="506"/>
        <item x="94"/>
        <item x="494"/>
        <item x="275"/>
        <item x="106"/>
        <item x="75"/>
        <item x="53"/>
        <item x="99"/>
        <item x="43"/>
        <item x="409"/>
        <item x="477"/>
        <item x="504"/>
        <item x="316"/>
        <item x="440"/>
        <item x="93"/>
        <item x="313"/>
        <item x="308"/>
        <item x="239"/>
        <item x="330"/>
        <item x="38"/>
        <item x="400"/>
        <item x="56"/>
        <item x="33"/>
        <item x="73"/>
        <item x="457"/>
        <item x="204"/>
        <item x="176"/>
        <item x="82"/>
        <item x="412"/>
        <item x="120"/>
        <item x="207"/>
        <item x="113"/>
        <item x="172"/>
        <item x="475"/>
        <item x="80"/>
        <item x="260"/>
        <item x="12"/>
        <item x="54"/>
        <item x="6"/>
        <item x="140"/>
        <item x="393"/>
        <item x="370"/>
        <item x="226"/>
        <item x="231"/>
        <item x="89"/>
        <item x="257"/>
        <item x="139"/>
        <item x="50"/>
        <item x="64"/>
        <item x="67"/>
        <item x="390"/>
        <item x="298"/>
        <item x="483"/>
        <item x="350"/>
        <item x="448"/>
        <item x="335"/>
        <item x="299"/>
        <item x="156"/>
        <item x="78"/>
        <item x="470"/>
        <item x="193"/>
        <item x="191"/>
        <item x="311"/>
        <item x="459"/>
        <item x="374"/>
        <item x="317"/>
        <item x="174"/>
        <item x="36"/>
        <item x="61"/>
        <item x="2"/>
        <item x="223"/>
        <item x="271"/>
        <item x="418"/>
        <item x="32"/>
        <item x="165"/>
        <item x="410"/>
        <item x="462"/>
        <item x="411"/>
        <item x="318"/>
        <item x="171"/>
        <item x="136"/>
        <item x="367"/>
        <item x="81"/>
        <item x="0"/>
        <item x="324"/>
        <item x="425"/>
        <item x="385"/>
        <item x="112"/>
        <item x="91"/>
        <item x="401"/>
        <item x="343"/>
        <item x="315"/>
        <item x="107"/>
        <item x="295"/>
        <item x="476"/>
        <item x="66"/>
        <item x="267"/>
        <item x="13"/>
        <item x="434"/>
        <item x="268"/>
        <item x="7"/>
        <item x="130"/>
        <item x="242"/>
        <item x="421"/>
        <item x="306"/>
        <item x="249"/>
        <item x="369"/>
        <item x="198"/>
        <item x="236"/>
        <item x="241"/>
        <item x="114"/>
        <item x="449"/>
        <item x="158"/>
        <item x="467"/>
        <item x="111"/>
        <item x="368"/>
        <item x="375"/>
        <item x="334"/>
        <item x="331"/>
        <item x="183"/>
        <item x="126"/>
        <item x="215"/>
        <item x="175"/>
        <item x="488"/>
        <item x="474"/>
        <item x="60"/>
        <item x="486"/>
        <item x="366"/>
        <item x="354"/>
        <item x="180"/>
        <item x="273"/>
        <item x="212"/>
        <item x="446"/>
        <item x="77"/>
        <item x="72"/>
        <item x="453"/>
        <item x="58"/>
        <item x="493"/>
        <item x="408"/>
        <item x="405"/>
        <item x="189"/>
        <item x="20"/>
        <item x="264"/>
        <item x="70"/>
        <item x="26"/>
        <item x="439"/>
        <item x="95"/>
        <item x="501"/>
        <item x="349"/>
        <item x="365"/>
        <item t="default"/>
      </items>
    </pivotField>
    <pivotField axis="axisRow" showAll="0" measureFilter="1">
      <items count="10">
        <item x="8"/>
        <item x="5"/>
        <item x="1"/>
        <item x="2"/>
        <item x="0"/>
        <item x="4"/>
        <item x="7"/>
        <item x="6"/>
        <item x="3"/>
        <item t="default"/>
      </items>
    </pivotField>
    <pivotField showAll="0">
      <items count="6">
        <item x="3"/>
        <item x="0"/>
        <item x="4"/>
        <item x="2"/>
        <item x="1"/>
        <item t="default"/>
      </items>
    </pivotField>
    <pivotField showAll="0"/>
    <pivotField showAll="0"/>
    <pivotField showAll="0"/>
    <pivotField showAll="0"/>
    <pivotField showAll="0"/>
    <pivotField showAll="0"/>
    <pivotField showAll="0"/>
    <pivotField dataField="1" showAll="0"/>
    <pivotField showAll="0"/>
    <pivotField showAll="0"/>
    <pivotField numFmtId="9" showAll="0"/>
    <pivotField showAll="0">
      <items count="4">
        <item x="0"/>
        <item x="2"/>
        <item x="1"/>
        <item t="default"/>
      </items>
    </pivotField>
    <pivotField showAll="0">
      <items count="3">
        <item x="1"/>
        <item x="0"/>
        <item t="default"/>
      </items>
    </pivotField>
    <pivotField showAll="0">
      <items count="13">
        <item h="1" x="8"/>
        <item h="1" x="6"/>
        <item h="1" x="3"/>
        <item h="1" x="5"/>
        <item h="1" x="2"/>
        <item h="1" x="0"/>
        <item h="1" x="11"/>
        <item h="1" x="9"/>
        <item h="1" x="7"/>
        <item h="1" x="4"/>
        <item h="1" x="1"/>
        <item x="10"/>
        <item t="default"/>
      </items>
    </pivotField>
    <pivotField showAll="0"/>
  </pivotFields>
  <rowFields count="1">
    <field x="2"/>
  </rowFields>
  <rowItems count="6">
    <i>
      <x/>
    </i>
    <i>
      <x v="1"/>
    </i>
    <i>
      <x v="5"/>
    </i>
    <i>
      <x v="6"/>
    </i>
    <i>
      <x v="7"/>
    </i>
    <i t="grand">
      <x/>
    </i>
  </rowItems>
  <colItems count="1">
    <i/>
  </colItems>
  <dataFields count="1">
    <dataField name="Sum of Total_Sales" fld="11" baseField="0" baseItem="0" numFmtId="166"/>
  </dataFields>
  <formats count="1">
    <format dxfId="11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8D566A-92DD-48F8-BA47-F41930A2699E}" name="Total 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9">
    <pivotField showAll="0"/>
    <pivotField numFmtId="14" showAll="0">
      <items count="510">
        <item x="283"/>
        <item x="23"/>
        <item x="451"/>
        <item x="307"/>
        <item x="438"/>
        <item x="286"/>
        <item x="229"/>
        <item x="445"/>
        <item x="122"/>
        <item x="35"/>
        <item x="415"/>
        <item x="59"/>
        <item x="145"/>
        <item x="34"/>
        <item x="259"/>
        <item x="28"/>
        <item x="68"/>
        <item x="435"/>
        <item x="293"/>
        <item x="196"/>
        <item x="29"/>
        <item x="274"/>
        <item x="100"/>
        <item x="228"/>
        <item x="399"/>
        <item x="110"/>
        <item x="304"/>
        <item x="321"/>
        <item x="332"/>
        <item x="291"/>
        <item x="248"/>
        <item x="104"/>
        <item x="182"/>
        <item x="159"/>
        <item x="194"/>
        <item x="39"/>
        <item x="37"/>
        <item x="464"/>
        <item x="173"/>
        <item x="8"/>
        <item x="381"/>
        <item x="300"/>
        <item x="222"/>
        <item x="471"/>
        <item x="416"/>
        <item x="55"/>
        <item x="263"/>
        <item x="285"/>
        <item x="322"/>
        <item x="380"/>
        <item x="338"/>
        <item x="27"/>
        <item x="450"/>
        <item x="152"/>
        <item x="482"/>
        <item x="157"/>
        <item x="481"/>
        <item x="133"/>
        <item x="45"/>
        <item x="11"/>
        <item x="503"/>
        <item x="377"/>
        <item x="340"/>
        <item x="22"/>
        <item x="3"/>
        <item x="297"/>
        <item x="24"/>
        <item x="428"/>
        <item x="389"/>
        <item x="42"/>
        <item x="266"/>
        <item x="465"/>
        <item x="394"/>
        <item x="327"/>
        <item x="342"/>
        <item x="164"/>
        <item x="197"/>
        <item x="326"/>
        <item x="40"/>
        <item x="9"/>
        <item x="238"/>
        <item x="345"/>
        <item x="47"/>
        <item x="18"/>
        <item x="49"/>
        <item x="272"/>
        <item x="497"/>
        <item x="284"/>
        <item x="447"/>
        <item x="456"/>
        <item x="417"/>
        <item x="305"/>
        <item x="502"/>
        <item x="92"/>
        <item x="339"/>
        <item x="147"/>
        <item x="221"/>
        <item x="443"/>
        <item x="166"/>
        <item x="328"/>
        <item x="376"/>
        <item x="505"/>
        <item x="361"/>
        <item x="312"/>
        <item x="258"/>
        <item x="123"/>
        <item x="16"/>
        <item x="508"/>
        <item x="424"/>
        <item x="341"/>
        <item x="214"/>
        <item x="190"/>
        <item x="52"/>
        <item x="148"/>
        <item x="442"/>
        <item x="129"/>
        <item x="484"/>
        <item x="346"/>
        <item x="224"/>
        <item x="495"/>
        <item x="213"/>
        <item x="384"/>
        <item x="220"/>
        <item x="427"/>
        <item x="492"/>
        <item x="404"/>
        <item x="141"/>
        <item x="336"/>
        <item x="441"/>
        <item x="115"/>
        <item x="262"/>
        <item x="44"/>
        <item x="357"/>
        <item x="232"/>
        <item x="460"/>
        <item x="351"/>
        <item x="353"/>
        <item x="244"/>
        <item x="256"/>
        <item x="276"/>
        <item x="426"/>
        <item x="303"/>
        <item x="344"/>
        <item x="444"/>
        <item x="478"/>
        <item x="178"/>
        <item x="192"/>
        <item x="277"/>
        <item x="168"/>
        <item x="170"/>
        <item x="490"/>
        <item x="278"/>
        <item x="102"/>
        <item x="144"/>
        <item x="246"/>
        <item x="422"/>
        <item x="329"/>
        <item x="333"/>
        <item x="167"/>
        <item x="202"/>
        <item x="487"/>
        <item x="151"/>
        <item x="359"/>
        <item x="319"/>
        <item x="137"/>
        <item x="65"/>
        <item x="98"/>
        <item x="507"/>
        <item x="230"/>
        <item x="414"/>
        <item x="160"/>
        <item x="119"/>
        <item x="79"/>
        <item x="458"/>
        <item x="116"/>
        <item x="86"/>
        <item x="150"/>
        <item x="282"/>
        <item x="209"/>
        <item x="255"/>
        <item x="301"/>
        <item x="469"/>
        <item x="218"/>
        <item x="169"/>
        <item x="296"/>
        <item x="245"/>
        <item x="500"/>
        <item x="452"/>
        <item x="124"/>
        <item x="472"/>
        <item x="188"/>
        <item x="261"/>
        <item x="235"/>
        <item x="397"/>
        <item x="314"/>
        <item x="146"/>
        <item x="84"/>
        <item x="19"/>
        <item x="433"/>
        <item x="485"/>
        <item x="352"/>
        <item x="429"/>
        <item x="163"/>
        <item x="211"/>
        <item x="347"/>
        <item x="360"/>
        <item x="287"/>
        <item x="337"/>
        <item x="461"/>
        <item x="57"/>
        <item x="162"/>
        <item x="10"/>
        <item x="288"/>
        <item x="219"/>
        <item x="203"/>
        <item x="463"/>
        <item x="46"/>
        <item x="302"/>
        <item x="396"/>
        <item x="323"/>
        <item x="134"/>
        <item x="125"/>
        <item x="290"/>
        <item x="437"/>
        <item x="51"/>
        <item x="135"/>
        <item x="406"/>
        <item x="62"/>
        <item x="103"/>
        <item x="97"/>
        <item x="101"/>
        <item x="17"/>
        <item x="109"/>
        <item x="108"/>
        <item x="436"/>
        <item x="233"/>
        <item x="177"/>
        <item x="105"/>
        <item x="362"/>
        <item x="90"/>
        <item x="320"/>
        <item x="423"/>
        <item x="279"/>
        <item x="118"/>
        <item x="4"/>
        <item x="15"/>
        <item x="407"/>
        <item x="270"/>
        <item x="205"/>
        <item x="269"/>
        <item x="201"/>
        <item x="117"/>
        <item x="395"/>
        <item x="420"/>
        <item x="96"/>
        <item x="383"/>
        <item x="373"/>
        <item x="142"/>
        <item x="186"/>
        <item x="402"/>
        <item x="155"/>
        <item x="309"/>
        <item x="479"/>
        <item x="234"/>
        <item x="386"/>
        <item x="499"/>
        <item x="489"/>
        <item x="181"/>
        <item x="132"/>
        <item x="280"/>
        <item x="131"/>
        <item x="153"/>
        <item x="74"/>
        <item x="1"/>
        <item x="88"/>
        <item x="358"/>
        <item x="378"/>
        <item x="388"/>
        <item x="363"/>
        <item x="128"/>
        <item x="454"/>
        <item x="5"/>
        <item x="247"/>
        <item x="237"/>
        <item x="265"/>
        <item x="200"/>
        <item x="491"/>
        <item x="413"/>
        <item x="179"/>
        <item x="480"/>
        <item x="348"/>
        <item x="468"/>
        <item x="87"/>
        <item x="254"/>
        <item x="387"/>
        <item x="294"/>
        <item x="161"/>
        <item x="227"/>
        <item x="206"/>
        <item x="431"/>
        <item x="25"/>
        <item x="217"/>
        <item x="466"/>
        <item x="292"/>
        <item x="356"/>
        <item x="392"/>
        <item x="83"/>
        <item x="21"/>
        <item x="138"/>
        <item x="382"/>
        <item x="364"/>
        <item x="371"/>
        <item x="289"/>
        <item x="432"/>
        <item x="391"/>
        <item x="195"/>
        <item x="403"/>
        <item x="187"/>
        <item x="251"/>
        <item x="473"/>
        <item x="69"/>
        <item x="225"/>
        <item x="281"/>
        <item x="76"/>
        <item x="208"/>
        <item x="455"/>
        <item x="30"/>
        <item x="252"/>
        <item x="71"/>
        <item x="14"/>
        <item x="430"/>
        <item x="325"/>
        <item x="41"/>
        <item x="496"/>
        <item x="310"/>
        <item x="398"/>
        <item x="63"/>
        <item x="419"/>
        <item x="199"/>
        <item x="253"/>
        <item x="216"/>
        <item x="48"/>
        <item x="243"/>
        <item x="240"/>
        <item x="498"/>
        <item x="210"/>
        <item x="127"/>
        <item x="121"/>
        <item x="143"/>
        <item x="185"/>
        <item x="184"/>
        <item x="250"/>
        <item x="31"/>
        <item x="372"/>
        <item x="149"/>
        <item x="355"/>
        <item x="379"/>
        <item x="154"/>
        <item x="85"/>
        <item x="506"/>
        <item x="94"/>
        <item x="494"/>
        <item x="275"/>
        <item x="106"/>
        <item x="75"/>
        <item x="53"/>
        <item x="99"/>
        <item x="43"/>
        <item x="409"/>
        <item x="477"/>
        <item x="504"/>
        <item x="316"/>
        <item x="440"/>
        <item x="93"/>
        <item x="313"/>
        <item x="308"/>
        <item x="239"/>
        <item x="330"/>
        <item x="38"/>
        <item x="400"/>
        <item x="56"/>
        <item x="33"/>
        <item x="73"/>
        <item x="457"/>
        <item x="204"/>
        <item x="176"/>
        <item x="82"/>
        <item x="412"/>
        <item x="120"/>
        <item x="207"/>
        <item x="113"/>
        <item x="172"/>
        <item x="475"/>
        <item x="80"/>
        <item x="260"/>
        <item x="12"/>
        <item x="54"/>
        <item x="6"/>
        <item x="140"/>
        <item x="393"/>
        <item x="370"/>
        <item x="226"/>
        <item x="231"/>
        <item x="89"/>
        <item x="257"/>
        <item x="139"/>
        <item x="50"/>
        <item x="64"/>
        <item x="67"/>
        <item x="390"/>
        <item x="298"/>
        <item x="483"/>
        <item x="350"/>
        <item x="448"/>
        <item x="335"/>
        <item x="299"/>
        <item x="156"/>
        <item x="78"/>
        <item x="470"/>
        <item x="193"/>
        <item x="191"/>
        <item x="311"/>
        <item x="459"/>
        <item x="374"/>
        <item x="317"/>
        <item x="174"/>
        <item x="36"/>
        <item x="61"/>
        <item x="2"/>
        <item x="223"/>
        <item x="271"/>
        <item x="418"/>
        <item x="32"/>
        <item x="165"/>
        <item x="410"/>
        <item x="462"/>
        <item x="411"/>
        <item x="318"/>
        <item x="171"/>
        <item x="136"/>
        <item x="367"/>
        <item x="81"/>
        <item x="0"/>
        <item x="324"/>
        <item x="425"/>
        <item x="385"/>
        <item x="112"/>
        <item x="91"/>
        <item x="401"/>
        <item x="343"/>
        <item x="315"/>
        <item x="107"/>
        <item x="295"/>
        <item x="476"/>
        <item x="66"/>
        <item x="267"/>
        <item x="13"/>
        <item x="434"/>
        <item x="268"/>
        <item x="7"/>
        <item x="130"/>
        <item x="242"/>
        <item x="421"/>
        <item x="306"/>
        <item x="249"/>
        <item x="369"/>
        <item x="198"/>
        <item x="236"/>
        <item x="241"/>
        <item x="114"/>
        <item x="449"/>
        <item x="158"/>
        <item x="467"/>
        <item x="111"/>
        <item x="368"/>
        <item x="375"/>
        <item x="334"/>
        <item x="331"/>
        <item x="183"/>
        <item x="126"/>
        <item x="215"/>
        <item x="175"/>
        <item x="488"/>
        <item x="474"/>
        <item x="60"/>
        <item x="486"/>
        <item x="366"/>
        <item x="354"/>
        <item x="180"/>
        <item x="273"/>
        <item x="212"/>
        <item x="446"/>
        <item x="77"/>
        <item x="72"/>
        <item x="453"/>
        <item x="58"/>
        <item x="493"/>
        <item x="408"/>
        <item x="405"/>
        <item x="189"/>
        <item x="20"/>
        <item x="264"/>
        <item x="70"/>
        <item x="26"/>
        <item x="439"/>
        <item x="95"/>
        <item x="501"/>
        <item x="349"/>
        <item x="365"/>
        <item t="default"/>
      </items>
    </pivotField>
    <pivotField showAll="0"/>
    <pivotField showAll="0">
      <items count="6">
        <item x="3"/>
        <item x="0"/>
        <item x="4"/>
        <item x="2"/>
        <item x="1"/>
        <item t="default"/>
      </items>
    </pivotField>
    <pivotField showAll="0"/>
    <pivotField showAll="0"/>
    <pivotField showAll="0"/>
    <pivotField showAll="0"/>
    <pivotField showAll="0"/>
    <pivotField showAll="0"/>
    <pivotField showAll="0"/>
    <pivotField showAll="0"/>
    <pivotField showAll="0"/>
    <pivotField dataField="1" showAll="0"/>
    <pivotField numFmtId="9" showAll="0"/>
    <pivotField showAll="0">
      <items count="4">
        <item x="0"/>
        <item x="2"/>
        <item x="1"/>
        <item t="default"/>
      </items>
    </pivotField>
    <pivotField showAll="0">
      <items count="3">
        <item x="1"/>
        <item x="0"/>
        <item t="default"/>
      </items>
    </pivotField>
    <pivotField showAll="0">
      <items count="13">
        <item h="1" x="8"/>
        <item h="1" x="6"/>
        <item h="1" x="3"/>
        <item h="1" x="5"/>
        <item h="1" x="2"/>
        <item h="1" x="0"/>
        <item h="1" x="11"/>
        <item h="1" x="9"/>
        <item h="1" x="7"/>
        <item h="1" x="4"/>
        <item h="1" x="1"/>
        <item x="10"/>
        <item t="default"/>
      </items>
    </pivotField>
    <pivotField showAll="0"/>
  </pivotFields>
  <rowItems count="1">
    <i/>
  </rowItems>
  <colItems count="1">
    <i/>
  </colItems>
  <dataFields count="1">
    <dataField name="Sum of Profit" fld="13" baseField="0" baseItem="0" numFmtId="166"/>
  </dataFields>
  <formats count="3">
    <format dxfId="116">
      <pivotArea type="all" dataOnly="0" outline="0" fieldPosition="0"/>
    </format>
    <format dxfId="115">
      <pivotArea dataOnly="0" labelOnly="1" outline="0" axis="axisValues" fieldPosition="0"/>
    </format>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73B44D-9D43-4A1A-ADE5-1598B866BD76}"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E7:F13" firstHeaderRow="1" firstDataRow="1" firstDataCol="1"/>
  <pivotFields count="19">
    <pivotField showAll="0"/>
    <pivotField numFmtId="14" showAll="0">
      <items count="510">
        <item x="283"/>
        <item x="23"/>
        <item x="451"/>
        <item x="307"/>
        <item x="438"/>
        <item x="286"/>
        <item x="229"/>
        <item x="445"/>
        <item x="122"/>
        <item x="35"/>
        <item x="415"/>
        <item x="59"/>
        <item x="145"/>
        <item x="34"/>
        <item x="259"/>
        <item x="28"/>
        <item x="68"/>
        <item x="435"/>
        <item x="293"/>
        <item x="196"/>
        <item x="29"/>
        <item x="274"/>
        <item x="100"/>
        <item x="228"/>
        <item x="399"/>
        <item x="110"/>
        <item x="304"/>
        <item x="321"/>
        <item x="332"/>
        <item x="291"/>
        <item x="248"/>
        <item x="104"/>
        <item x="182"/>
        <item x="159"/>
        <item x="194"/>
        <item x="39"/>
        <item x="37"/>
        <item x="464"/>
        <item x="173"/>
        <item x="8"/>
        <item x="381"/>
        <item x="300"/>
        <item x="222"/>
        <item x="471"/>
        <item x="416"/>
        <item x="55"/>
        <item x="263"/>
        <item x="285"/>
        <item x="322"/>
        <item x="380"/>
        <item x="338"/>
        <item x="27"/>
        <item x="450"/>
        <item x="152"/>
        <item x="482"/>
        <item x="157"/>
        <item x="481"/>
        <item x="133"/>
        <item x="45"/>
        <item x="11"/>
        <item x="503"/>
        <item x="377"/>
        <item x="340"/>
        <item x="22"/>
        <item x="3"/>
        <item x="297"/>
        <item x="24"/>
        <item x="428"/>
        <item x="389"/>
        <item x="42"/>
        <item x="266"/>
        <item x="465"/>
        <item x="394"/>
        <item x="327"/>
        <item x="342"/>
        <item x="164"/>
        <item x="197"/>
        <item x="326"/>
        <item x="40"/>
        <item x="9"/>
        <item x="238"/>
        <item x="345"/>
        <item x="47"/>
        <item x="18"/>
        <item x="49"/>
        <item x="272"/>
        <item x="497"/>
        <item x="284"/>
        <item x="447"/>
        <item x="456"/>
        <item x="417"/>
        <item x="305"/>
        <item x="502"/>
        <item x="92"/>
        <item x="339"/>
        <item x="147"/>
        <item x="221"/>
        <item x="443"/>
        <item x="166"/>
        <item x="328"/>
        <item x="376"/>
        <item x="505"/>
        <item x="361"/>
        <item x="312"/>
        <item x="258"/>
        <item x="123"/>
        <item x="16"/>
        <item x="508"/>
        <item x="424"/>
        <item x="341"/>
        <item x="214"/>
        <item x="190"/>
        <item x="52"/>
        <item x="148"/>
        <item x="442"/>
        <item x="129"/>
        <item x="484"/>
        <item x="346"/>
        <item x="224"/>
        <item x="495"/>
        <item x="213"/>
        <item x="384"/>
        <item x="220"/>
        <item x="427"/>
        <item x="492"/>
        <item x="404"/>
        <item x="141"/>
        <item x="336"/>
        <item x="441"/>
        <item x="115"/>
        <item x="262"/>
        <item x="44"/>
        <item x="357"/>
        <item x="232"/>
        <item x="460"/>
        <item x="351"/>
        <item x="353"/>
        <item x="244"/>
        <item x="256"/>
        <item x="276"/>
        <item x="426"/>
        <item x="303"/>
        <item x="344"/>
        <item x="444"/>
        <item x="478"/>
        <item x="178"/>
        <item x="192"/>
        <item x="277"/>
        <item x="168"/>
        <item x="170"/>
        <item x="490"/>
        <item x="278"/>
        <item x="102"/>
        <item x="144"/>
        <item x="246"/>
        <item x="422"/>
        <item x="329"/>
        <item x="333"/>
        <item x="167"/>
        <item x="202"/>
        <item x="487"/>
        <item x="151"/>
        <item x="359"/>
        <item x="319"/>
        <item x="137"/>
        <item x="65"/>
        <item x="98"/>
        <item x="507"/>
        <item x="230"/>
        <item x="414"/>
        <item x="160"/>
        <item x="119"/>
        <item x="79"/>
        <item x="458"/>
        <item x="116"/>
        <item x="86"/>
        <item x="150"/>
        <item x="282"/>
        <item x="209"/>
        <item x="255"/>
        <item x="301"/>
        <item x="469"/>
        <item x="218"/>
        <item x="169"/>
        <item x="296"/>
        <item x="245"/>
        <item x="500"/>
        <item x="452"/>
        <item x="124"/>
        <item x="472"/>
        <item x="188"/>
        <item x="261"/>
        <item x="235"/>
        <item x="397"/>
        <item x="314"/>
        <item x="146"/>
        <item x="84"/>
        <item x="19"/>
        <item x="433"/>
        <item x="485"/>
        <item x="352"/>
        <item x="429"/>
        <item x="163"/>
        <item x="211"/>
        <item x="347"/>
        <item x="360"/>
        <item x="287"/>
        <item x="337"/>
        <item x="461"/>
        <item x="57"/>
        <item x="162"/>
        <item x="10"/>
        <item x="288"/>
        <item x="219"/>
        <item x="203"/>
        <item x="463"/>
        <item x="46"/>
        <item x="302"/>
        <item x="396"/>
        <item x="323"/>
        <item x="134"/>
        <item x="125"/>
        <item x="290"/>
        <item x="437"/>
        <item x="51"/>
        <item x="135"/>
        <item x="406"/>
        <item x="62"/>
        <item x="103"/>
        <item x="97"/>
        <item x="101"/>
        <item x="17"/>
        <item x="109"/>
        <item x="108"/>
        <item x="436"/>
        <item x="233"/>
        <item x="177"/>
        <item x="105"/>
        <item x="362"/>
        <item x="90"/>
        <item x="320"/>
        <item x="423"/>
        <item x="279"/>
        <item x="118"/>
        <item x="4"/>
        <item x="15"/>
        <item x="407"/>
        <item x="270"/>
        <item x="205"/>
        <item x="269"/>
        <item x="201"/>
        <item x="117"/>
        <item x="395"/>
        <item x="420"/>
        <item x="96"/>
        <item x="383"/>
        <item x="373"/>
        <item x="142"/>
        <item x="186"/>
        <item x="402"/>
        <item x="155"/>
        <item x="309"/>
        <item x="479"/>
        <item x="234"/>
        <item x="386"/>
        <item x="499"/>
        <item x="489"/>
        <item x="181"/>
        <item x="132"/>
        <item x="280"/>
        <item x="131"/>
        <item x="153"/>
        <item x="74"/>
        <item x="1"/>
        <item x="88"/>
        <item x="358"/>
        <item x="378"/>
        <item x="388"/>
        <item x="363"/>
        <item x="128"/>
        <item x="454"/>
        <item x="5"/>
        <item x="247"/>
        <item x="237"/>
        <item x="265"/>
        <item x="200"/>
        <item x="491"/>
        <item x="413"/>
        <item x="179"/>
        <item x="480"/>
        <item x="348"/>
        <item x="468"/>
        <item x="87"/>
        <item x="254"/>
        <item x="387"/>
        <item x="294"/>
        <item x="161"/>
        <item x="227"/>
        <item x="206"/>
        <item x="431"/>
        <item x="25"/>
        <item x="217"/>
        <item x="466"/>
        <item x="292"/>
        <item x="356"/>
        <item x="392"/>
        <item x="83"/>
        <item x="21"/>
        <item x="138"/>
        <item x="382"/>
        <item x="364"/>
        <item x="371"/>
        <item x="289"/>
        <item x="432"/>
        <item x="391"/>
        <item x="195"/>
        <item x="403"/>
        <item x="187"/>
        <item x="251"/>
        <item x="473"/>
        <item x="69"/>
        <item x="225"/>
        <item x="281"/>
        <item x="76"/>
        <item x="208"/>
        <item x="455"/>
        <item x="30"/>
        <item x="252"/>
        <item x="71"/>
        <item x="14"/>
        <item x="430"/>
        <item x="325"/>
        <item x="41"/>
        <item x="496"/>
        <item x="310"/>
        <item x="398"/>
        <item x="63"/>
        <item x="419"/>
        <item x="199"/>
        <item x="253"/>
        <item x="216"/>
        <item x="48"/>
        <item x="243"/>
        <item x="240"/>
        <item x="498"/>
        <item x="210"/>
        <item x="127"/>
        <item x="121"/>
        <item x="143"/>
        <item x="185"/>
        <item x="184"/>
        <item x="250"/>
        <item x="31"/>
        <item x="372"/>
        <item x="149"/>
        <item x="355"/>
        <item x="379"/>
        <item x="154"/>
        <item x="85"/>
        <item x="506"/>
        <item x="94"/>
        <item x="494"/>
        <item x="275"/>
        <item x="106"/>
        <item x="75"/>
        <item x="53"/>
        <item x="99"/>
        <item x="43"/>
        <item x="409"/>
        <item x="477"/>
        <item x="504"/>
        <item x="316"/>
        <item x="440"/>
        <item x="93"/>
        <item x="313"/>
        <item x="308"/>
        <item x="239"/>
        <item x="330"/>
        <item x="38"/>
        <item x="400"/>
        <item x="56"/>
        <item x="33"/>
        <item x="73"/>
        <item x="457"/>
        <item x="204"/>
        <item x="176"/>
        <item x="82"/>
        <item x="412"/>
        <item x="120"/>
        <item x="207"/>
        <item x="113"/>
        <item x="172"/>
        <item x="475"/>
        <item x="80"/>
        <item x="260"/>
        <item x="12"/>
        <item x="54"/>
        <item x="6"/>
        <item x="140"/>
        <item x="393"/>
        <item x="370"/>
        <item x="226"/>
        <item x="231"/>
        <item x="89"/>
        <item x="257"/>
        <item x="139"/>
        <item x="50"/>
        <item x="64"/>
        <item x="67"/>
        <item x="390"/>
        <item x="298"/>
        <item x="483"/>
        <item x="350"/>
        <item x="448"/>
        <item x="335"/>
        <item x="299"/>
        <item x="156"/>
        <item x="78"/>
        <item x="470"/>
        <item x="193"/>
        <item x="191"/>
        <item x="311"/>
        <item x="459"/>
        <item x="374"/>
        <item x="317"/>
        <item x="174"/>
        <item x="36"/>
        <item x="61"/>
        <item x="2"/>
        <item x="223"/>
        <item x="271"/>
        <item x="418"/>
        <item x="32"/>
        <item x="165"/>
        <item x="410"/>
        <item x="462"/>
        <item x="411"/>
        <item x="318"/>
        <item x="171"/>
        <item x="136"/>
        <item x="367"/>
        <item x="81"/>
        <item x="0"/>
        <item x="324"/>
        <item x="425"/>
        <item x="385"/>
        <item x="112"/>
        <item x="91"/>
        <item x="401"/>
        <item x="343"/>
        <item x="315"/>
        <item x="107"/>
        <item x="295"/>
        <item x="476"/>
        <item x="66"/>
        <item x="267"/>
        <item x="13"/>
        <item x="434"/>
        <item x="268"/>
        <item x="7"/>
        <item x="130"/>
        <item x="242"/>
        <item x="421"/>
        <item x="306"/>
        <item x="249"/>
        <item x="369"/>
        <item x="198"/>
        <item x="236"/>
        <item x="241"/>
        <item x="114"/>
        <item x="449"/>
        <item x="158"/>
        <item x="467"/>
        <item x="111"/>
        <item x="368"/>
        <item x="375"/>
        <item x="334"/>
        <item x="331"/>
        <item x="183"/>
        <item x="126"/>
        <item x="215"/>
        <item x="175"/>
        <item x="488"/>
        <item x="474"/>
        <item x="60"/>
        <item x="486"/>
        <item x="366"/>
        <item x="354"/>
        <item x="180"/>
        <item x="273"/>
        <item x="212"/>
        <item x="446"/>
        <item x="77"/>
        <item x="72"/>
        <item x="453"/>
        <item x="58"/>
        <item x="493"/>
        <item x="408"/>
        <item x="405"/>
        <item x="189"/>
        <item x="20"/>
        <item x="264"/>
        <item x="70"/>
        <item x="26"/>
        <item x="439"/>
        <item x="95"/>
        <item x="501"/>
        <item x="349"/>
        <item x="365"/>
        <item t="default"/>
      </items>
    </pivotField>
    <pivotField showAll="0"/>
    <pivotField axis="axisRow" showAll="0">
      <items count="6">
        <item x="3"/>
        <item x="0"/>
        <item x="4"/>
        <item x="2"/>
        <item x="1"/>
        <item t="default"/>
      </items>
    </pivotField>
    <pivotField showAll="0"/>
    <pivotField showAll="0"/>
    <pivotField showAll="0"/>
    <pivotField showAll="0"/>
    <pivotField showAll="0"/>
    <pivotField showAll="0"/>
    <pivotField showAll="0"/>
    <pivotField dataField="1" showAll="0"/>
    <pivotField showAll="0"/>
    <pivotField showAll="0"/>
    <pivotField numFmtId="9" showAll="0"/>
    <pivotField showAll="0">
      <items count="4">
        <item x="0"/>
        <item x="2"/>
        <item x="1"/>
        <item t="default"/>
      </items>
    </pivotField>
    <pivotField showAll="0">
      <items count="3">
        <item x="1"/>
        <item x="0"/>
        <item t="default"/>
      </items>
    </pivotField>
    <pivotField showAll="0">
      <items count="13">
        <item h="1" x="8"/>
        <item h="1" x="6"/>
        <item h="1" x="3"/>
        <item h="1" x="5"/>
        <item h="1" x="2"/>
        <item h="1" x="0"/>
        <item h="1" x="11"/>
        <item h="1" x="9"/>
        <item h="1" x="7"/>
        <item h="1" x="4"/>
        <item h="1" x="1"/>
        <item x="10"/>
        <item t="default"/>
      </items>
    </pivotField>
    <pivotField showAll="0"/>
  </pivotFields>
  <rowFields count="1">
    <field x="3"/>
  </rowFields>
  <rowItems count="6">
    <i>
      <x/>
    </i>
    <i>
      <x v="1"/>
    </i>
    <i>
      <x v="2"/>
    </i>
    <i>
      <x v="3"/>
    </i>
    <i>
      <x v="4"/>
    </i>
    <i t="grand">
      <x/>
    </i>
  </rowItems>
  <colItems count="1">
    <i/>
  </colItems>
  <dataFields count="1">
    <dataField name="Sum of Total_Sales" fld="11" baseField="0" baseItem="0" numFmtId="166"/>
  </dataFields>
  <formats count="1">
    <format dxfId="117">
      <pivotArea outline="0" collapsedLevelsAreSubtotals="1" fieldPosition="0"/>
    </format>
  </formats>
  <chartFormats count="12">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3" count="1" selected="0">
            <x v="0"/>
          </reference>
        </references>
      </pivotArea>
    </chartFormat>
    <chartFormat chart="13" format="3">
      <pivotArea type="data" outline="0" fieldPosition="0">
        <references count="2">
          <reference field="4294967294" count="1" selected="0">
            <x v="0"/>
          </reference>
          <reference field="3" count="1" selected="0">
            <x v="1"/>
          </reference>
        </references>
      </pivotArea>
    </chartFormat>
    <chartFormat chart="13" format="4">
      <pivotArea type="data" outline="0" fieldPosition="0">
        <references count="2">
          <reference field="4294967294" count="1" selected="0">
            <x v="0"/>
          </reference>
          <reference field="3" count="1" selected="0">
            <x v="2"/>
          </reference>
        </references>
      </pivotArea>
    </chartFormat>
    <chartFormat chart="13" format="5">
      <pivotArea type="data" outline="0" fieldPosition="0">
        <references count="2">
          <reference field="4294967294" count="1" selected="0">
            <x v="0"/>
          </reference>
          <reference field="3" count="1" selected="0">
            <x v="3"/>
          </reference>
        </references>
      </pivotArea>
    </chartFormat>
    <chartFormat chart="13" format="6">
      <pivotArea type="data" outline="0" fieldPosition="0">
        <references count="2">
          <reference field="4294967294" count="1" selected="0">
            <x v="0"/>
          </reference>
          <reference field="3" count="1" selected="0">
            <x v="4"/>
          </reference>
        </references>
      </pivotArea>
    </chartFormat>
    <chartFormat chart="27" format="7" series="1">
      <pivotArea type="data" outline="0" fieldPosition="0">
        <references count="1">
          <reference field="4294967294" count="1" selected="0">
            <x v="0"/>
          </reference>
        </references>
      </pivotArea>
    </chartFormat>
    <chartFormat chart="27" format="8">
      <pivotArea type="data" outline="0" fieldPosition="0">
        <references count="2">
          <reference field="4294967294" count="1" selected="0">
            <x v="0"/>
          </reference>
          <reference field="3" count="1" selected="0">
            <x v="0"/>
          </reference>
        </references>
      </pivotArea>
    </chartFormat>
    <chartFormat chart="27" format="9">
      <pivotArea type="data" outline="0" fieldPosition="0">
        <references count="2">
          <reference field="4294967294" count="1" selected="0">
            <x v="0"/>
          </reference>
          <reference field="3" count="1" selected="0">
            <x v="1"/>
          </reference>
        </references>
      </pivotArea>
    </chartFormat>
    <chartFormat chart="27" format="10">
      <pivotArea type="data" outline="0" fieldPosition="0">
        <references count="2">
          <reference field="4294967294" count="1" selected="0">
            <x v="0"/>
          </reference>
          <reference field="3" count="1" selected="0">
            <x v="2"/>
          </reference>
        </references>
      </pivotArea>
    </chartFormat>
    <chartFormat chart="27" format="11">
      <pivotArea type="data" outline="0" fieldPosition="0">
        <references count="2">
          <reference field="4294967294" count="1" selected="0">
            <x v="0"/>
          </reference>
          <reference field="3" count="1" selected="0">
            <x v="3"/>
          </reference>
        </references>
      </pivotArea>
    </chartFormat>
    <chartFormat chart="27"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98FE30-CE6B-4264-91CC-7565642D6D85}" name="Total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9">
    <pivotField showAll="0"/>
    <pivotField numFmtId="14" showAll="0">
      <items count="510">
        <item x="283"/>
        <item x="23"/>
        <item x="451"/>
        <item x="307"/>
        <item x="438"/>
        <item x="286"/>
        <item x="229"/>
        <item x="445"/>
        <item x="122"/>
        <item x="35"/>
        <item x="415"/>
        <item x="59"/>
        <item x="145"/>
        <item x="34"/>
        <item x="259"/>
        <item x="28"/>
        <item x="68"/>
        <item x="435"/>
        <item x="293"/>
        <item x="196"/>
        <item x="29"/>
        <item x="274"/>
        <item x="100"/>
        <item x="228"/>
        <item x="399"/>
        <item x="110"/>
        <item x="304"/>
        <item x="321"/>
        <item x="332"/>
        <item x="291"/>
        <item x="248"/>
        <item x="104"/>
        <item x="182"/>
        <item x="159"/>
        <item x="194"/>
        <item x="39"/>
        <item x="37"/>
        <item x="464"/>
        <item x="173"/>
        <item x="8"/>
        <item x="381"/>
        <item x="300"/>
        <item x="222"/>
        <item x="471"/>
        <item x="416"/>
        <item x="55"/>
        <item x="263"/>
        <item x="285"/>
        <item x="322"/>
        <item x="380"/>
        <item x="338"/>
        <item x="27"/>
        <item x="450"/>
        <item x="152"/>
        <item x="482"/>
        <item x="157"/>
        <item x="481"/>
        <item x="133"/>
        <item x="45"/>
        <item x="11"/>
        <item x="503"/>
        <item x="377"/>
        <item x="340"/>
        <item x="22"/>
        <item x="3"/>
        <item x="297"/>
        <item x="24"/>
        <item x="428"/>
        <item x="389"/>
        <item x="42"/>
        <item x="266"/>
        <item x="465"/>
        <item x="394"/>
        <item x="327"/>
        <item x="342"/>
        <item x="164"/>
        <item x="197"/>
        <item x="326"/>
        <item x="40"/>
        <item x="9"/>
        <item x="238"/>
        <item x="345"/>
        <item x="47"/>
        <item x="18"/>
        <item x="49"/>
        <item x="272"/>
        <item x="497"/>
        <item x="284"/>
        <item x="447"/>
        <item x="456"/>
        <item x="417"/>
        <item x="305"/>
        <item x="502"/>
        <item x="92"/>
        <item x="339"/>
        <item x="147"/>
        <item x="221"/>
        <item x="443"/>
        <item x="166"/>
        <item x="328"/>
        <item x="376"/>
        <item x="505"/>
        <item x="361"/>
        <item x="312"/>
        <item x="258"/>
        <item x="123"/>
        <item x="16"/>
        <item x="508"/>
        <item x="424"/>
        <item x="341"/>
        <item x="214"/>
        <item x="190"/>
        <item x="52"/>
        <item x="148"/>
        <item x="442"/>
        <item x="129"/>
        <item x="484"/>
        <item x="346"/>
        <item x="224"/>
        <item x="495"/>
        <item x="213"/>
        <item x="384"/>
        <item x="220"/>
        <item x="427"/>
        <item x="492"/>
        <item x="404"/>
        <item x="141"/>
        <item x="336"/>
        <item x="441"/>
        <item x="115"/>
        <item x="262"/>
        <item x="44"/>
        <item x="357"/>
        <item x="232"/>
        <item x="460"/>
        <item x="351"/>
        <item x="353"/>
        <item x="244"/>
        <item x="256"/>
        <item x="276"/>
        <item x="426"/>
        <item x="303"/>
        <item x="344"/>
        <item x="444"/>
        <item x="478"/>
        <item x="178"/>
        <item x="192"/>
        <item x="277"/>
        <item x="168"/>
        <item x="170"/>
        <item x="490"/>
        <item x="278"/>
        <item x="102"/>
        <item x="144"/>
        <item x="246"/>
        <item x="422"/>
        <item x="329"/>
        <item x="333"/>
        <item x="167"/>
        <item x="202"/>
        <item x="487"/>
        <item x="151"/>
        <item x="359"/>
        <item x="319"/>
        <item x="137"/>
        <item x="65"/>
        <item x="98"/>
        <item x="507"/>
        <item x="230"/>
        <item x="414"/>
        <item x="160"/>
        <item x="119"/>
        <item x="79"/>
        <item x="458"/>
        <item x="116"/>
        <item x="86"/>
        <item x="150"/>
        <item x="282"/>
        <item x="209"/>
        <item x="255"/>
        <item x="301"/>
        <item x="469"/>
        <item x="218"/>
        <item x="169"/>
        <item x="296"/>
        <item x="245"/>
        <item x="500"/>
        <item x="452"/>
        <item x="124"/>
        <item x="472"/>
        <item x="188"/>
        <item x="261"/>
        <item x="235"/>
        <item x="397"/>
        <item x="314"/>
        <item x="146"/>
        <item x="84"/>
        <item x="19"/>
        <item x="433"/>
        <item x="485"/>
        <item x="352"/>
        <item x="429"/>
        <item x="163"/>
        <item x="211"/>
        <item x="347"/>
        <item x="360"/>
        <item x="287"/>
        <item x="337"/>
        <item x="461"/>
        <item x="57"/>
        <item x="162"/>
        <item x="10"/>
        <item x="288"/>
        <item x="219"/>
        <item x="203"/>
        <item x="463"/>
        <item x="46"/>
        <item x="302"/>
        <item x="396"/>
        <item x="323"/>
        <item x="134"/>
        <item x="125"/>
        <item x="290"/>
        <item x="437"/>
        <item x="51"/>
        <item x="135"/>
        <item x="406"/>
        <item x="62"/>
        <item x="103"/>
        <item x="97"/>
        <item x="101"/>
        <item x="17"/>
        <item x="109"/>
        <item x="108"/>
        <item x="436"/>
        <item x="233"/>
        <item x="177"/>
        <item x="105"/>
        <item x="362"/>
        <item x="90"/>
        <item x="320"/>
        <item x="423"/>
        <item x="279"/>
        <item x="118"/>
        <item x="4"/>
        <item x="15"/>
        <item x="407"/>
        <item x="270"/>
        <item x="205"/>
        <item x="269"/>
        <item x="201"/>
        <item x="117"/>
        <item x="395"/>
        <item x="420"/>
        <item x="96"/>
        <item x="383"/>
        <item x="373"/>
        <item x="142"/>
        <item x="186"/>
        <item x="402"/>
        <item x="155"/>
        <item x="309"/>
        <item x="479"/>
        <item x="234"/>
        <item x="386"/>
        <item x="499"/>
        <item x="489"/>
        <item x="181"/>
        <item x="132"/>
        <item x="280"/>
        <item x="131"/>
        <item x="153"/>
        <item x="74"/>
        <item x="1"/>
        <item x="88"/>
        <item x="358"/>
        <item x="378"/>
        <item x="388"/>
        <item x="363"/>
        <item x="128"/>
        <item x="454"/>
        <item x="5"/>
        <item x="247"/>
        <item x="237"/>
        <item x="265"/>
        <item x="200"/>
        <item x="491"/>
        <item x="413"/>
        <item x="179"/>
        <item x="480"/>
        <item x="348"/>
        <item x="468"/>
        <item x="87"/>
        <item x="254"/>
        <item x="387"/>
        <item x="294"/>
        <item x="161"/>
        <item x="227"/>
        <item x="206"/>
        <item x="431"/>
        <item x="25"/>
        <item x="217"/>
        <item x="466"/>
        <item x="292"/>
        <item x="356"/>
        <item x="392"/>
        <item x="83"/>
        <item x="21"/>
        <item x="138"/>
        <item x="382"/>
        <item x="364"/>
        <item x="371"/>
        <item x="289"/>
        <item x="432"/>
        <item x="391"/>
        <item x="195"/>
        <item x="403"/>
        <item x="187"/>
        <item x="251"/>
        <item x="473"/>
        <item x="69"/>
        <item x="225"/>
        <item x="281"/>
        <item x="76"/>
        <item x="208"/>
        <item x="455"/>
        <item x="30"/>
        <item x="252"/>
        <item x="71"/>
        <item x="14"/>
        <item x="430"/>
        <item x="325"/>
        <item x="41"/>
        <item x="496"/>
        <item x="310"/>
        <item x="398"/>
        <item x="63"/>
        <item x="419"/>
        <item x="199"/>
        <item x="253"/>
        <item x="216"/>
        <item x="48"/>
        <item x="243"/>
        <item x="240"/>
        <item x="498"/>
        <item x="210"/>
        <item x="127"/>
        <item x="121"/>
        <item x="143"/>
        <item x="185"/>
        <item x="184"/>
        <item x="250"/>
        <item x="31"/>
        <item x="372"/>
        <item x="149"/>
        <item x="355"/>
        <item x="379"/>
        <item x="154"/>
        <item x="85"/>
        <item x="506"/>
        <item x="94"/>
        <item x="494"/>
        <item x="275"/>
        <item x="106"/>
        <item x="75"/>
        <item x="53"/>
        <item x="99"/>
        <item x="43"/>
        <item x="409"/>
        <item x="477"/>
        <item x="504"/>
        <item x="316"/>
        <item x="440"/>
        <item x="93"/>
        <item x="313"/>
        <item x="308"/>
        <item x="239"/>
        <item x="330"/>
        <item x="38"/>
        <item x="400"/>
        <item x="56"/>
        <item x="33"/>
        <item x="73"/>
        <item x="457"/>
        <item x="204"/>
        <item x="176"/>
        <item x="82"/>
        <item x="412"/>
        <item x="120"/>
        <item x="207"/>
        <item x="113"/>
        <item x="172"/>
        <item x="475"/>
        <item x="80"/>
        <item x="260"/>
        <item x="12"/>
        <item x="54"/>
        <item x="6"/>
        <item x="140"/>
        <item x="393"/>
        <item x="370"/>
        <item x="226"/>
        <item x="231"/>
        <item x="89"/>
        <item x="257"/>
        <item x="139"/>
        <item x="50"/>
        <item x="64"/>
        <item x="67"/>
        <item x="390"/>
        <item x="298"/>
        <item x="483"/>
        <item x="350"/>
        <item x="448"/>
        <item x="335"/>
        <item x="299"/>
        <item x="156"/>
        <item x="78"/>
        <item x="470"/>
        <item x="193"/>
        <item x="191"/>
        <item x="311"/>
        <item x="459"/>
        <item x="374"/>
        <item x="317"/>
        <item x="174"/>
        <item x="36"/>
        <item x="61"/>
        <item x="2"/>
        <item x="223"/>
        <item x="271"/>
        <item x="418"/>
        <item x="32"/>
        <item x="165"/>
        <item x="410"/>
        <item x="462"/>
        <item x="411"/>
        <item x="318"/>
        <item x="171"/>
        <item x="136"/>
        <item x="367"/>
        <item x="81"/>
        <item x="0"/>
        <item x="324"/>
        <item x="425"/>
        <item x="385"/>
        <item x="112"/>
        <item x="91"/>
        <item x="401"/>
        <item x="343"/>
        <item x="315"/>
        <item x="107"/>
        <item x="295"/>
        <item x="476"/>
        <item x="66"/>
        <item x="267"/>
        <item x="13"/>
        <item x="434"/>
        <item x="268"/>
        <item x="7"/>
        <item x="130"/>
        <item x="242"/>
        <item x="421"/>
        <item x="306"/>
        <item x="249"/>
        <item x="369"/>
        <item x="198"/>
        <item x="236"/>
        <item x="241"/>
        <item x="114"/>
        <item x="449"/>
        <item x="158"/>
        <item x="467"/>
        <item x="111"/>
        <item x="368"/>
        <item x="375"/>
        <item x="334"/>
        <item x="331"/>
        <item x="183"/>
        <item x="126"/>
        <item x="215"/>
        <item x="175"/>
        <item x="488"/>
        <item x="474"/>
        <item x="60"/>
        <item x="486"/>
        <item x="366"/>
        <item x="354"/>
        <item x="180"/>
        <item x="273"/>
        <item x="212"/>
        <item x="446"/>
        <item x="77"/>
        <item x="72"/>
        <item x="453"/>
        <item x="58"/>
        <item x="493"/>
        <item x="408"/>
        <item x="405"/>
        <item x="189"/>
        <item x="20"/>
        <item x="264"/>
        <item x="70"/>
        <item x="26"/>
        <item x="439"/>
        <item x="95"/>
        <item x="501"/>
        <item x="349"/>
        <item x="365"/>
        <item t="default"/>
      </items>
    </pivotField>
    <pivotField showAll="0"/>
    <pivotField showAll="0">
      <items count="6">
        <item x="3"/>
        <item x="0"/>
        <item x="4"/>
        <item x="2"/>
        <item x="1"/>
        <item t="default"/>
      </items>
    </pivotField>
    <pivotField showAll="0"/>
    <pivotField showAll="0"/>
    <pivotField showAll="0"/>
    <pivotField showAll="0"/>
    <pivotField showAll="0"/>
    <pivotField showAll="0"/>
    <pivotField showAll="0"/>
    <pivotField dataField="1" showAll="0"/>
    <pivotField showAll="0"/>
    <pivotField showAll="0"/>
    <pivotField numFmtId="9" showAll="0"/>
    <pivotField showAll="0">
      <items count="4">
        <item x="0"/>
        <item x="2"/>
        <item x="1"/>
        <item t="default"/>
      </items>
    </pivotField>
    <pivotField showAll="0">
      <items count="3">
        <item x="1"/>
        <item x="0"/>
        <item t="default"/>
      </items>
    </pivotField>
    <pivotField showAll="0">
      <items count="13">
        <item h="1" x="8"/>
        <item h="1" x="6"/>
        <item h="1" x="3"/>
        <item h="1" x="5"/>
        <item h="1" x="2"/>
        <item h="1" x="0"/>
        <item h="1" x="11"/>
        <item h="1" x="9"/>
        <item h="1" x="7"/>
        <item h="1" x="4"/>
        <item h="1" x="1"/>
        <item x="10"/>
        <item t="default"/>
      </items>
    </pivotField>
    <pivotField showAll="0"/>
  </pivotFields>
  <rowItems count="1">
    <i/>
  </rowItems>
  <colItems count="1">
    <i/>
  </colItems>
  <dataFields count="1">
    <dataField name="Sum of Total_Sales" fld="11" baseField="0" baseItem="0" numFmtId="166"/>
  </dataFields>
  <formats count="1">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8B9E09-8AA6-4F46-A2D7-C5D63AB51867}"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7:C20" firstHeaderRow="0" firstDataRow="1" firstDataCol="1"/>
  <pivotFields count="19">
    <pivotField showAll="0"/>
    <pivotField numFmtId="14" showAll="0">
      <items count="510">
        <item x="283"/>
        <item x="23"/>
        <item x="451"/>
        <item x="307"/>
        <item x="438"/>
        <item x="286"/>
        <item x="229"/>
        <item x="445"/>
        <item x="122"/>
        <item x="35"/>
        <item x="415"/>
        <item x="59"/>
        <item x="145"/>
        <item x="34"/>
        <item x="259"/>
        <item x="28"/>
        <item x="68"/>
        <item x="435"/>
        <item x="293"/>
        <item x="196"/>
        <item x="29"/>
        <item x="274"/>
        <item x="100"/>
        <item x="228"/>
        <item x="399"/>
        <item x="110"/>
        <item x="304"/>
        <item x="321"/>
        <item x="332"/>
        <item x="291"/>
        <item x="248"/>
        <item x="104"/>
        <item x="182"/>
        <item x="159"/>
        <item x="194"/>
        <item x="39"/>
        <item x="37"/>
        <item x="464"/>
        <item x="173"/>
        <item x="8"/>
        <item x="381"/>
        <item x="300"/>
        <item x="222"/>
        <item x="471"/>
        <item x="416"/>
        <item x="55"/>
        <item x="263"/>
        <item x="285"/>
        <item x="322"/>
        <item x="380"/>
        <item x="338"/>
        <item x="27"/>
        <item x="450"/>
        <item x="152"/>
        <item x="482"/>
        <item x="157"/>
        <item x="481"/>
        <item x="133"/>
        <item x="45"/>
        <item x="11"/>
        <item x="503"/>
        <item x="377"/>
        <item x="340"/>
        <item x="22"/>
        <item x="3"/>
        <item x="297"/>
        <item x="24"/>
        <item x="428"/>
        <item x="389"/>
        <item x="42"/>
        <item x="266"/>
        <item x="465"/>
        <item x="394"/>
        <item x="327"/>
        <item x="342"/>
        <item x="164"/>
        <item x="197"/>
        <item x="326"/>
        <item x="40"/>
        <item x="9"/>
        <item x="238"/>
        <item x="345"/>
        <item x="47"/>
        <item x="18"/>
        <item x="49"/>
        <item x="272"/>
        <item x="497"/>
        <item x="284"/>
        <item x="447"/>
        <item x="456"/>
        <item x="417"/>
        <item x="305"/>
        <item x="502"/>
        <item x="92"/>
        <item x="339"/>
        <item x="147"/>
        <item x="221"/>
        <item x="443"/>
        <item x="166"/>
        <item x="328"/>
        <item x="376"/>
        <item x="505"/>
        <item x="361"/>
        <item x="312"/>
        <item x="258"/>
        <item x="123"/>
        <item x="16"/>
        <item x="508"/>
        <item x="424"/>
        <item x="341"/>
        <item x="214"/>
        <item x="190"/>
        <item x="52"/>
        <item x="148"/>
        <item x="442"/>
        <item x="129"/>
        <item x="484"/>
        <item x="346"/>
        <item x="224"/>
        <item x="495"/>
        <item x="213"/>
        <item x="384"/>
        <item x="220"/>
        <item x="427"/>
        <item x="492"/>
        <item x="404"/>
        <item x="141"/>
        <item x="336"/>
        <item x="441"/>
        <item x="115"/>
        <item x="262"/>
        <item x="44"/>
        <item x="357"/>
        <item x="232"/>
        <item x="460"/>
        <item x="351"/>
        <item x="353"/>
        <item x="244"/>
        <item x="256"/>
        <item x="276"/>
        <item x="426"/>
        <item x="303"/>
        <item x="344"/>
        <item x="444"/>
        <item x="478"/>
        <item x="178"/>
        <item x="192"/>
        <item x="277"/>
        <item x="168"/>
        <item x="170"/>
        <item x="490"/>
        <item x="278"/>
        <item x="102"/>
        <item x="144"/>
        <item x="246"/>
        <item x="422"/>
        <item x="329"/>
        <item x="333"/>
        <item x="167"/>
        <item x="202"/>
        <item x="487"/>
        <item x="151"/>
        <item x="359"/>
        <item x="319"/>
        <item x="137"/>
        <item x="65"/>
        <item x="98"/>
        <item x="507"/>
        <item x="230"/>
        <item x="414"/>
        <item x="160"/>
        <item x="119"/>
        <item x="79"/>
        <item x="458"/>
        <item x="116"/>
        <item x="86"/>
        <item x="150"/>
        <item x="282"/>
        <item x="209"/>
        <item x="255"/>
        <item x="301"/>
        <item x="469"/>
        <item x="218"/>
        <item x="169"/>
        <item x="296"/>
        <item x="245"/>
        <item x="500"/>
        <item x="452"/>
        <item x="124"/>
        <item x="472"/>
        <item x="188"/>
        <item x="261"/>
        <item x="235"/>
        <item x="397"/>
        <item x="314"/>
        <item x="146"/>
        <item x="84"/>
        <item x="19"/>
        <item x="433"/>
        <item x="485"/>
        <item x="352"/>
        <item x="429"/>
        <item x="163"/>
        <item x="211"/>
        <item x="347"/>
        <item x="360"/>
        <item x="287"/>
        <item x="337"/>
        <item x="461"/>
        <item x="57"/>
        <item x="162"/>
        <item x="10"/>
        <item x="288"/>
        <item x="219"/>
        <item x="203"/>
        <item x="463"/>
        <item x="46"/>
        <item x="302"/>
        <item x="396"/>
        <item x="323"/>
        <item x="134"/>
        <item x="125"/>
        <item x="290"/>
        <item x="437"/>
        <item x="51"/>
        <item x="135"/>
        <item x="406"/>
        <item x="62"/>
        <item x="103"/>
        <item x="97"/>
        <item x="101"/>
        <item x="17"/>
        <item x="109"/>
        <item x="108"/>
        <item x="436"/>
        <item x="233"/>
        <item x="177"/>
        <item x="105"/>
        <item x="362"/>
        <item x="90"/>
        <item x="320"/>
        <item x="423"/>
        <item x="279"/>
        <item x="118"/>
        <item x="4"/>
        <item x="15"/>
        <item x="407"/>
        <item x="270"/>
        <item x="205"/>
        <item x="269"/>
        <item x="201"/>
        <item x="117"/>
        <item x="395"/>
        <item x="420"/>
        <item x="96"/>
        <item x="383"/>
        <item x="373"/>
        <item x="142"/>
        <item x="186"/>
        <item x="402"/>
        <item x="155"/>
        <item x="309"/>
        <item x="479"/>
        <item x="234"/>
        <item x="386"/>
        <item x="499"/>
        <item x="489"/>
        <item x="181"/>
        <item x="132"/>
        <item x="280"/>
        <item x="131"/>
        <item x="153"/>
        <item x="74"/>
        <item x="1"/>
        <item x="88"/>
        <item x="358"/>
        <item x="378"/>
        <item x="388"/>
        <item x="363"/>
        <item x="128"/>
        <item x="454"/>
        <item x="5"/>
        <item x="247"/>
        <item x="237"/>
        <item x="265"/>
        <item x="200"/>
        <item x="491"/>
        <item x="413"/>
        <item x="179"/>
        <item x="480"/>
        <item x="348"/>
        <item x="468"/>
        <item x="87"/>
        <item x="254"/>
        <item x="387"/>
        <item x="294"/>
        <item x="161"/>
        <item x="227"/>
        <item x="206"/>
        <item x="431"/>
        <item x="25"/>
        <item x="217"/>
        <item x="466"/>
        <item x="292"/>
        <item x="356"/>
        <item x="392"/>
        <item x="83"/>
        <item x="21"/>
        <item x="138"/>
        <item x="382"/>
        <item x="364"/>
        <item x="371"/>
        <item x="289"/>
        <item x="432"/>
        <item x="391"/>
        <item x="195"/>
        <item x="403"/>
        <item x="187"/>
        <item x="251"/>
        <item x="473"/>
        <item x="69"/>
        <item x="225"/>
        <item x="281"/>
        <item x="76"/>
        <item x="208"/>
        <item x="455"/>
        <item x="30"/>
        <item x="252"/>
        <item x="71"/>
        <item x="14"/>
        <item x="430"/>
        <item x="325"/>
        <item x="41"/>
        <item x="496"/>
        <item x="310"/>
        <item x="398"/>
        <item x="63"/>
        <item x="419"/>
        <item x="199"/>
        <item x="253"/>
        <item x="216"/>
        <item x="48"/>
        <item x="243"/>
        <item x="240"/>
        <item x="498"/>
        <item x="210"/>
        <item x="127"/>
        <item x="121"/>
        <item x="143"/>
        <item x="185"/>
        <item x="184"/>
        <item x="250"/>
        <item x="31"/>
        <item x="372"/>
        <item x="149"/>
        <item x="355"/>
        <item x="379"/>
        <item x="154"/>
        <item x="85"/>
        <item x="506"/>
        <item x="94"/>
        <item x="494"/>
        <item x="275"/>
        <item x="106"/>
        <item x="75"/>
        <item x="53"/>
        <item x="99"/>
        <item x="43"/>
        <item x="409"/>
        <item x="477"/>
        <item x="504"/>
        <item x="316"/>
        <item x="440"/>
        <item x="93"/>
        <item x="313"/>
        <item x="308"/>
        <item x="239"/>
        <item x="330"/>
        <item x="38"/>
        <item x="400"/>
        <item x="56"/>
        <item x="33"/>
        <item x="73"/>
        <item x="457"/>
        <item x="204"/>
        <item x="176"/>
        <item x="82"/>
        <item x="412"/>
        <item x="120"/>
        <item x="207"/>
        <item x="113"/>
        <item x="172"/>
        <item x="475"/>
        <item x="80"/>
        <item x="260"/>
        <item x="12"/>
        <item x="54"/>
        <item x="6"/>
        <item x="140"/>
        <item x="393"/>
        <item x="370"/>
        <item x="226"/>
        <item x="231"/>
        <item x="89"/>
        <item x="257"/>
        <item x="139"/>
        <item x="50"/>
        <item x="64"/>
        <item x="67"/>
        <item x="390"/>
        <item x="298"/>
        <item x="483"/>
        <item x="350"/>
        <item x="448"/>
        <item x="335"/>
        <item x="299"/>
        <item x="156"/>
        <item x="78"/>
        <item x="470"/>
        <item x="193"/>
        <item x="191"/>
        <item x="311"/>
        <item x="459"/>
        <item x="374"/>
        <item x="317"/>
        <item x="174"/>
        <item x="36"/>
        <item x="61"/>
        <item x="2"/>
        <item x="223"/>
        <item x="271"/>
        <item x="418"/>
        <item x="32"/>
        <item x="165"/>
        <item x="410"/>
        <item x="462"/>
        <item x="411"/>
        <item x="318"/>
        <item x="171"/>
        <item x="136"/>
        <item x="367"/>
        <item x="81"/>
        <item x="0"/>
        <item x="324"/>
        <item x="425"/>
        <item x="385"/>
        <item x="112"/>
        <item x="91"/>
        <item x="401"/>
        <item x="343"/>
        <item x="315"/>
        <item x="107"/>
        <item x="295"/>
        <item x="476"/>
        <item x="66"/>
        <item x="267"/>
        <item x="13"/>
        <item x="434"/>
        <item x="268"/>
        <item x="7"/>
        <item x="130"/>
        <item x="242"/>
        <item x="421"/>
        <item x="306"/>
        <item x="249"/>
        <item x="369"/>
        <item x="198"/>
        <item x="236"/>
        <item x="241"/>
        <item x="114"/>
        <item x="449"/>
        <item x="158"/>
        <item x="467"/>
        <item x="111"/>
        <item x="368"/>
        <item x="375"/>
        <item x="334"/>
        <item x="331"/>
        <item x="183"/>
        <item x="126"/>
        <item x="215"/>
        <item x="175"/>
        <item x="488"/>
        <item x="474"/>
        <item x="60"/>
        <item x="486"/>
        <item x="366"/>
        <item x="354"/>
        <item x="180"/>
        <item x="273"/>
        <item x="212"/>
        <item x="446"/>
        <item x="77"/>
        <item x="72"/>
        <item x="453"/>
        <item x="58"/>
        <item x="493"/>
        <item x="408"/>
        <item x="405"/>
        <item x="189"/>
        <item x="20"/>
        <item x="264"/>
        <item x="70"/>
        <item x="26"/>
        <item x="439"/>
        <item x="95"/>
        <item x="501"/>
        <item x="349"/>
        <item x="365"/>
        <item t="default"/>
      </items>
    </pivotField>
    <pivotField showAll="0"/>
    <pivotField showAll="0">
      <items count="6">
        <item x="3"/>
        <item x="0"/>
        <item x="4"/>
        <item x="2"/>
        <item x="1"/>
        <item t="default"/>
      </items>
    </pivotField>
    <pivotField showAll="0"/>
    <pivotField showAll="0"/>
    <pivotField showAll="0"/>
    <pivotField showAll="0"/>
    <pivotField showAll="0"/>
    <pivotField showAll="0"/>
    <pivotField showAll="0"/>
    <pivotField dataField="1" showAll="0"/>
    <pivotField showAll="0"/>
    <pivotField dataField="1" showAll="0"/>
    <pivotField numFmtId="9" showAll="0"/>
    <pivotField showAll="0">
      <items count="4">
        <item x="0"/>
        <item x="2"/>
        <item x="1"/>
        <item t="default"/>
      </items>
    </pivotField>
    <pivotField showAll="0">
      <items count="3">
        <item x="1"/>
        <item x="0"/>
        <item t="default"/>
      </items>
    </pivotField>
    <pivotField axis="axisRow" showAll="0">
      <items count="13">
        <item x="8"/>
        <item x="6"/>
        <item x="3"/>
        <item x="5"/>
        <item x="2"/>
        <item x="0"/>
        <item x="11"/>
        <item x="9"/>
        <item x="7"/>
        <item x="4"/>
        <item x="1"/>
        <item x="10"/>
        <item t="default"/>
      </items>
    </pivotField>
    <pivotField showAll="0">
      <items count="21">
        <item x="7"/>
        <item x="5"/>
        <item x="11"/>
        <item x="12"/>
        <item x="13"/>
        <item x="6"/>
        <item x="15"/>
        <item x="14"/>
        <item x="9"/>
        <item x="19"/>
        <item x="18"/>
        <item x="17"/>
        <item x="0"/>
        <item x="3"/>
        <item x="16"/>
        <item x="10"/>
        <item x="2"/>
        <item x="1"/>
        <item x="4"/>
        <item x="8"/>
        <item t="default"/>
      </items>
    </pivotField>
  </pivotFields>
  <rowFields count="1">
    <field x="17"/>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s" fld="11" baseField="0" baseItem="0" numFmtId="165"/>
    <dataField name="Sum of Profit" fld="13" baseField="0" baseItem="0"/>
  </dataFields>
  <formats count="1">
    <format dxfId="119">
      <pivotArea outline="0" collapsedLevelsAreSubtotals="1" fieldPosition="0"/>
    </format>
  </formats>
  <chartFormats count="3">
    <chartFormat chart="8"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 chart="8" format="9">
      <pivotArea type="data" outline="0" fieldPosition="0">
        <references count="2">
          <reference field="4294967294" count="1" selected="0">
            <x v="0"/>
          </reference>
          <reference field="1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E9B57F-1CD6-43F1-853C-FA8E8E12C3F7}" name="Total Unit 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J4" firstHeaderRow="1" firstDataRow="1" firstDataCol="0"/>
  <pivotFields count="19">
    <pivotField showAll="0"/>
    <pivotField numFmtId="14" showAll="0">
      <items count="510">
        <item x="283"/>
        <item x="23"/>
        <item x="451"/>
        <item x="307"/>
        <item x="438"/>
        <item x="286"/>
        <item x="229"/>
        <item x="445"/>
        <item x="122"/>
        <item x="35"/>
        <item x="415"/>
        <item x="59"/>
        <item x="145"/>
        <item x="34"/>
        <item x="259"/>
        <item x="28"/>
        <item x="68"/>
        <item x="435"/>
        <item x="293"/>
        <item x="196"/>
        <item x="29"/>
        <item x="274"/>
        <item x="100"/>
        <item x="228"/>
        <item x="399"/>
        <item x="110"/>
        <item x="304"/>
        <item x="321"/>
        <item x="332"/>
        <item x="291"/>
        <item x="248"/>
        <item x="104"/>
        <item x="182"/>
        <item x="159"/>
        <item x="194"/>
        <item x="39"/>
        <item x="37"/>
        <item x="464"/>
        <item x="173"/>
        <item x="8"/>
        <item x="381"/>
        <item x="300"/>
        <item x="222"/>
        <item x="471"/>
        <item x="416"/>
        <item x="55"/>
        <item x="263"/>
        <item x="285"/>
        <item x="322"/>
        <item x="380"/>
        <item x="338"/>
        <item x="27"/>
        <item x="450"/>
        <item x="152"/>
        <item x="482"/>
        <item x="157"/>
        <item x="481"/>
        <item x="133"/>
        <item x="45"/>
        <item x="11"/>
        <item x="503"/>
        <item x="377"/>
        <item x="340"/>
        <item x="22"/>
        <item x="3"/>
        <item x="297"/>
        <item x="24"/>
        <item x="428"/>
        <item x="389"/>
        <item x="42"/>
        <item x="266"/>
        <item x="465"/>
        <item x="394"/>
        <item x="327"/>
        <item x="342"/>
        <item x="164"/>
        <item x="197"/>
        <item x="326"/>
        <item x="40"/>
        <item x="9"/>
        <item x="238"/>
        <item x="345"/>
        <item x="47"/>
        <item x="18"/>
        <item x="49"/>
        <item x="272"/>
        <item x="497"/>
        <item x="284"/>
        <item x="447"/>
        <item x="456"/>
        <item x="417"/>
        <item x="305"/>
        <item x="502"/>
        <item x="92"/>
        <item x="339"/>
        <item x="147"/>
        <item x="221"/>
        <item x="443"/>
        <item x="166"/>
        <item x="328"/>
        <item x="376"/>
        <item x="505"/>
        <item x="361"/>
        <item x="312"/>
        <item x="258"/>
        <item x="123"/>
        <item x="16"/>
        <item x="508"/>
        <item x="424"/>
        <item x="341"/>
        <item x="214"/>
        <item x="190"/>
        <item x="52"/>
        <item x="148"/>
        <item x="442"/>
        <item x="129"/>
        <item x="484"/>
        <item x="346"/>
        <item x="224"/>
        <item x="495"/>
        <item x="213"/>
        <item x="384"/>
        <item x="220"/>
        <item x="427"/>
        <item x="492"/>
        <item x="404"/>
        <item x="141"/>
        <item x="336"/>
        <item x="441"/>
        <item x="115"/>
        <item x="262"/>
        <item x="44"/>
        <item x="357"/>
        <item x="232"/>
        <item x="460"/>
        <item x="351"/>
        <item x="353"/>
        <item x="244"/>
        <item x="256"/>
        <item x="276"/>
        <item x="426"/>
        <item x="303"/>
        <item x="344"/>
        <item x="444"/>
        <item x="478"/>
        <item x="178"/>
        <item x="192"/>
        <item x="277"/>
        <item x="168"/>
        <item x="170"/>
        <item x="490"/>
        <item x="278"/>
        <item x="102"/>
        <item x="144"/>
        <item x="246"/>
        <item x="422"/>
        <item x="329"/>
        <item x="333"/>
        <item x="167"/>
        <item x="202"/>
        <item x="487"/>
        <item x="151"/>
        <item x="359"/>
        <item x="319"/>
        <item x="137"/>
        <item x="65"/>
        <item x="98"/>
        <item x="507"/>
        <item x="230"/>
        <item x="414"/>
        <item x="160"/>
        <item x="119"/>
        <item x="79"/>
        <item x="458"/>
        <item x="116"/>
        <item x="86"/>
        <item x="150"/>
        <item x="282"/>
        <item x="209"/>
        <item x="255"/>
        <item x="301"/>
        <item x="469"/>
        <item x="218"/>
        <item x="169"/>
        <item x="296"/>
        <item x="245"/>
        <item x="500"/>
        <item x="452"/>
        <item x="124"/>
        <item x="472"/>
        <item x="188"/>
        <item x="261"/>
        <item x="235"/>
        <item x="397"/>
        <item x="314"/>
        <item x="146"/>
        <item x="84"/>
        <item x="19"/>
        <item x="433"/>
        <item x="485"/>
        <item x="352"/>
        <item x="429"/>
        <item x="163"/>
        <item x="211"/>
        <item x="347"/>
        <item x="360"/>
        <item x="287"/>
        <item x="337"/>
        <item x="461"/>
        <item x="57"/>
        <item x="162"/>
        <item x="10"/>
        <item x="288"/>
        <item x="219"/>
        <item x="203"/>
        <item x="463"/>
        <item x="46"/>
        <item x="302"/>
        <item x="396"/>
        <item x="323"/>
        <item x="134"/>
        <item x="125"/>
        <item x="290"/>
        <item x="437"/>
        <item x="51"/>
        <item x="135"/>
        <item x="406"/>
        <item x="62"/>
        <item x="103"/>
        <item x="97"/>
        <item x="101"/>
        <item x="17"/>
        <item x="109"/>
        <item x="108"/>
        <item x="436"/>
        <item x="233"/>
        <item x="177"/>
        <item x="105"/>
        <item x="362"/>
        <item x="90"/>
        <item x="320"/>
        <item x="423"/>
        <item x="279"/>
        <item x="118"/>
        <item x="4"/>
        <item x="15"/>
        <item x="407"/>
        <item x="270"/>
        <item x="205"/>
        <item x="269"/>
        <item x="201"/>
        <item x="117"/>
        <item x="395"/>
        <item x="420"/>
        <item x="96"/>
        <item x="383"/>
        <item x="373"/>
        <item x="142"/>
        <item x="186"/>
        <item x="402"/>
        <item x="155"/>
        <item x="309"/>
        <item x="479"/>
        <item x="234"/>
        <item x="386"/>
        <item x="499"/>
        <item x="489"/>
        <item x="181"/>
        <item x="132"/>
        <item x="280"/>
        <item x="131"/>
        <item x="153"/>
        <item x="74"/>
        <item x="1"/>
        <item x="88"/>
        <item x="358"/>
        <item x="378"/>
        <item x="388"/>
        <item x="363"/>
        <item x="128"/>
        <item x="454"/>
        <item x="5"/>
        <item x="247"/>
        <item x="237"/>
        <item x="265"/>
        <item x="200"/>
        <item x="491"/>
        <item x="413"/>
        <item x="179"/>
        <item x="480"/>
        <item x="348"/>
        <item x="468"/>
        <item x="87"/>
        <item x="254"/>
        <item x="387"/>
        <item x="294"/>
        <item x="161"/>
        <item x="227"/>
        <item x="206"/>
        <item x="431"/>
        <item x="25"/>
        <item x="217"/>
        <item x="466"/>
        <item x="292"/>
        <item x="356"/>
        <item x="392"/>
        <item x="83"/>
        <item x="21"/>
        <item x="138"/>
        <item x="382"/>
        <item x="364"/>
        <item x="371"/>
        <item x="289"/>
        <item x="432"/>
        <item x="391"/>
        <item x="195"/>
        <item x="403"/>
        <item x="187"/>
        <item x="251"/>
        <item x="473"/>
        <item x="69"/>
        <item x="225"/>
        <item x="281"/>
        <item x="76"/>
        <item x="208"/>
        <item x="455"/>
        <item x="30"/>
        <item x="252"/>
        <item x="71"/>
        <item x="14"/>
        <item x="430"/>
        <item x="325"/>
        <item x="41"/>
        <item x="496"/>
        <item x="310"/>
        <item x="398"/>
        <item x="63"/>
        <item x="419"/>
        <item x="199"/>
        <item x="253"/>
        <item x="216"/>
        <item x="48"/>
        <item x="243"/>
        <item x="240"/>
        <item x="498"/>
        <item x="210"/>
        <item x="127"/>
        <item x="121"/>
        <item x="143"/>
        <item x="185"/>
        <item x="184"/>
        <item x="250"/>
        <item x="31"/>
        <item x="372"/>
        <item x="149"/>
        <item x="355"/>
        <item x="379"/>
        <item x="154"/>
        <item x="85"/>
        <item x="506"/>
        <item x="94"/>
        <item x="494"/>
        <item x="275"/>
        <item x="106"/>
        <item x="75"/>
        <item x="53"/>
        <item x="99"/>
        <item x="43"/>
        <item x="409"/>
        <item x="477"/>
        <item x="504"/>
        <item x="316"/>
        <item x="440"/>
        <item x="93"/>
        <item x="313"/>
        <item x="308"/>
        <item x="239"/>
        <item x="330"/>
        <item x="38"/>
        <item x="400"/>
        <item x="56"/>
        <item x="33"/>
        <item x="73"/>
        <item x="457"/>
        <item x="204"/>
        <item x="176"/>
        <item x="82"/>
        <item x="412"/>
        <item x="120"/>
        <item x="207"/>
        <item x="113"/>
        <item x="172"/>
        <item x="475"/>
        <item x="80"/>
        <item x="260"/>
        <item x="12"/>
        <item x="54"/>
        <item x="6"/>
        <item x="140"/>
        <item x="393"/>
        <item x="370"/>
        <item x="226"/>
        <item x="231"/>
        <item x="89"/>
        <item x="257"/>
        <item x="139"/>
        <item x="50"/>
        <item x="64"/>
        <item x="67"/>
        <item x="390"/>
        <item x="298"/>
        <item x="483"/>
        <item x="350"/>
        <item x="448"/>
        <item x="335"/>
        <item x="299"/>
        <item x="156"/>
        <item x="78"/>
        <item x="470"/>
        <item x="193"/>
        <item x="191"/>
        <item x="311"/>
        <item x="459"/>
        <item x="374"/>
        <item x="317"/>
        <item x="174"/>
        <item x="36"/>
        <item x="61"/>
        <item x="2"/>
        <item x="223"/>
        <item x="271"/>
        <item x="418"/>
        <item x="32"/>
        <item x="165"/>
        <item x="410"/>
        <item x="462"/>
        <item x="411"/>
        <item x="318"/>
        <item x="171"/>
        <item x="136"/>
        <item x="367"/>
        <item x="81"/>
        <item x="0"/>
        <item x="324"/>
        <item x="425"/>
        <item x="385"/>
        <item x="112"/>
        <item x="91"/>
        <item x="401"/>
        <item x="343"/>
        <item x="315"/>
        <item x="107"/>
        <item x="295"/>
        <item x="476"/>
        <item x="66"/>
        <item x="267"/>
        <item x="13"/>
        <item x="434"/>
        <item x="268"/>
        <item x="7"/>
        <item x="130"/>
        <item x="242"/>
        <item x="421"/>
        <item x="306"/>
        <item x="249"/>
        <item x="369"/>
        <item x="198"/>
        <item x="236"/>
        <item x="241"/>
        <item x="114"/>
        <item x="449"/>
        <item x="158"/>
        <item x="467"/>
        <item x="111"/>
        <item x="368"/>
        <item x="375"/>
        <item x="334"/>
        <item x="331"/>
        <item x="183"/>
        <item x="126"/>
        <item x="215"/>
        <item x="175"/>
        <item x="488"/>
        <item x="474"/>
        <item x="60"/>
        <item x="486"/>
        <item x="366"/>
        <item x="354"/>
        <item x="180"/>
        <item x="273"/>
        <item x="212"/>
        <item x="446"/>
        <item x="77"/>
        <item x="72"/>
        <item x="453"/>
        <item x="58"/>
        <item x="493"/>
        <item x="408"/>
        <item x="405"/>
        <item x="189"/>
        <item x="20"/>
        <item x="264"/>
        <item x="70"/>
        <item x="26"/>
        <item x="439"/>
        <item x="95"/>
        <item x="501"/>
        <item x="349"/>
        <item x="365"/>
        <item t="default"/>
      </items>
    </pivotField>
    <pivotField showAll="0"/>
    <pivotField showAll="0">
      <items count="6">
        <item x="3"/>
        <item x="0"/>
        <item x="4"/>
        <item x="2"/>
        <item x="1"/>
        <item t="default"/>
      </items>
    </pivotField>
    <pivotField showAll="0"/>
    <pivotField showAll="0"/>
    <pivotField dataField="1" showAll="0"/>
    <pivotField showAll="0"/>
    <pivotField showAll="0"/>
    <pivotField showAll="0"/>
    <pivotField showAll="0"/>
    <pivotField showAll="0"/>
    <pivotField showAll="0"/>
    <pivotField showAll="0"/>
    <pivotField numFmtId="9" showAll="0"/>
    <pivotField showAll="0">
      <items count="4">
        <item x="0"/>
        <item x="2"/>
        <item x="1"/>
        <item t="default"/>
      </items>
    </pivotField>
    <pivotField showAll="0">
      <items count="3">
        <item x="1"/>
        <item x="0"/>
        <item t="default"/>
      </items>
    </pivotField>
    <pivotField showAll="0">
      <items count="13">
        <item h="1" x="8"/>
        <item h="1" x="6"/>
        <item h="1" x="3"/>
        <item h="1" x="5"/>
        <item h="1" x="2"/>
        <item h="1" x="0"/>
        <item h="1" x="11"/>
        <item h="1" x="9"/>
        <item h="1" x="7"/>
        <item h="1" x="4"/>
        <item h="1" x="1"/>
        <item x="10"/>
        <item t="default"/>
      </items>
    </pivotField>
    <pivotField showAll="0"/>
  </pivotFields>
  <rowItems count="1">
    <i/>
  </rowItems>
  <colItems count="1">
    <i/>
  </colItems>
  <dataFields count="1">
    <dataField name="Sum of Units_Sold" fld="6" baseField="0" baseItem="0"/>
  </dataFields>
  <formats count="3">
    <format dxfId="122">
      <pivotArea type="all" dataOnly="0" outline="0" fieldPosition="0"/>
    </format>
    <format dxfId="121">
      <pivotArea outline="0" collapsedLevelsAreSubtotals="1" fieldPosition="0"/>
    </format>
    <format dxfId="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FEC0CE-BBF3-41AD-8398-796AEDCEB334}" name="Total 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H4" firstHeaderRow="1" firstDataRow="1" firstDataCol="0"/>
  <pivotFields count="19">
    <pivotField dataField="1" showAll="0"/>
    <pivotField numFmtId="14" showAll="0">
      <items count="510">
        <item x="283"/>
        <item x="23"/>
        <item x="451"/>
        <item x="307"/>
        <item x="438"/>
        <item x="286"/>
        <item x="229"/>
        <item x="445"/>
        <item x="122"/>
        <item x="35"/>
        <item x="415"/>
        <item x="59"/>
        <item x="145"/>
        <item x="34"/>
        <item x="259"/>
        <item x="28"/>
        <item x="68"/>
        <item x="435"/>
        <item x="293"/>
        <item x="196"/>
        <item x="29"/>
        <item x="274"/>
        <item x="100"/>
        <item x="228"/>
        <item x="399"/>
        <item x="110"/>
        <item x="304"/>
        <item x="321"/>
        <item x="332"/>
        <item x="291"/>
        <item x="248"/>
        <item x="104"/>
        <item x="182"/>
        <item x="159"/>
        <item x="194"/>
        <item x="39"/>
        <item x="37"/>
        <item x="464"/>
        <item x="173"/>
        <item x="8"/>
        <item x="381"/>
        <item x="300"/>
        <item x="222"/>
        <item x="471"/>
        <item x="416"/>
        <item x="55"/>
        <item x="263"/>
        <item x="285"/>
        <item x="322"/>
        <item x="380"/>
        <item x="338"/>
        <item x="27"/>
        <item x="450"/>
        <item x="152"/>
        <item x="482"/>
        <item x="157"/>
        <item x="481"/>
        <item x="133"/>
        <item x="45"/>
        <item x="11"/>
        <item x="503"/>
        <item x="377"/>
        <item x="340"/>
        <item x="22"/>
        <item x="3"/>
        <item x="297"/>
        <item x="24"/>
        <item x="428"/>
        <item x="389"/>
        <item x="42"/>
        <item x="266"/>
        <item x="465"/>
        <item x="394"/>
        <item x="327"/>
        <item x="342"/>
        <item x="164"/>
        <item x="197"/>
        <item x="326"/>
        <item x="40"/>
        <item x="9"/>
        <item x="238"/>
        <item x="345"/>
        <item x="47"/>
        <item x="18"/>
        <item x="49"/>
        <item x="272"/>
        <item x="497"/>
        <item x="284"/>
        <item x="447"/>
        <item x="456"/>
        <item x="417"/>
        <item x="305"/>
        <item x="502"/>
        <item x="92"/>
        <item x="339"/>
        <item x="147"/>
        <item x="221"/>
        <item x="443"/>
        <item x="166"/>
        <item x="328"/>
        <item x="376"/>
        <item x="505"/>
        <item x="361"/>
        <item x="312"/>
        <item x="258"/>
        <item x="123"/>
        <item x="16"/>
        <item x="508"/>
        <item x="424"/>
        <item x="341"/>
        <item x="214"/>
        <item x="190"/>
        <item x="52"/>
        <item x="148"/>
        <item x="442"/>
        <item x="129"/>
        <item x="484"/>
        <item x="346"/>
        <item x="224"/>
        <item x="495"/>
        <item x="213"/>
        <item x="384"/>
        <item x="220"/>
        <item x="427"/>
        <item x="492"/>
        <item x="404"/>
        <item x="141"/>
        <item x="336"/>
        <item x="441"/>
        <item x="115"/>
        <item x="262"/>
        <item x="44"/>
        <item x="357"/>
        <item x="232"/>
        <item x="460"/>
        <item x="351"/>
        <item x="353"/>
        <item x="244"/>
        <item x="256"/>
        <item x="276"/>
        <item x="426"/>
        <item x="303"/>
        <item x="344"/>
        <item x="444"/>
        <item x="478"/>
        <item x="178"/>
        <item x="192"/>
        <item x="277"/>
        <item x="168"/>
        <item x="170"/>
        <item x="490"/>
        <item x="278"/>
        <item x="102"/>
        <item x="144"/>
        <item x="246"/>
        <item x="422"/>
        <item x="329"/>
        <item x="333"/>
        <item x="167"/>
        <item x="202"/>
        <item x="487"/>
        <item x="151"/>
        <item x="359"/>
        <item x="319"/>
        <item x="137"/>
        <item x="65"/>
        <item x="98"/>
        <item x="507"/>
        <item x="230"/>
        <item x="414"/>
        <item x="160"/>
        <item x="119"/>
        <item x="79"/>
        <item x="458"/>
        <item x="116"/>
        <item x="86"/>
        <item x="150"/>
        <item x="282"/>
        <item x="209"/>
        <item x="255"/>
        <item x="301"/>
        <item x="469"/>
        <item x="218"/>
        <item x="169"/>
        <item x="296"/>
        <item x="245"/>
        <item x="500"/>
        <item x="452"/>
        <item x="124"/>
        <item x="472"/>
        <item x="188"/>
        <item x="261"/>
        <item x="235"/>
        <item x="397"/>
        <item x="314"/>
        <item x="146"/>
        <item x="84"/>
        <item x="19"/>
        <item x="433"/>
        <item x="485"/>
        <item x="352"/>
        <item x="429"/>
        <item x="163"/>
        <item x="211"/>
        <item x="347"/>
        <item x="360"/>
        <item x="287"/>
        <item x="337"/>
        <item x="461"/>
        <item x="57"/>
        <item x="162"/>
        <item x="10"/>
        <item x="288"/>
        <item x="219"/>
        <item x="203"/>
        <item x="463"/>
        <item x="46"/>
        <item x="302"/>
        <item x="396"/>
        <item x="323"/>
        <item x="134"/>
        <item x="125"/>
        <item x="290"/>
        <item x="437"/>
        <item x="51"/>
        <item x="135"/>
        <item x="406"/>
        <item x="62"/>
        <item x="103"/>
        <item x="97"/>
        <item x="101"/>
        <item x="17"/>
        <item x="109"/>
        <item x="108"/>
        <item x="436"/>
        <item x="233"/>
        <item x="177"/>
        <item x="105"/>
        <item x="362"/>
        <item x="90"/>
        <item x="320"/>
        <item x="423"/>
        <item x="279"/>
        <item x="118"/>
        <item x="4"/>
        <item x="15"/>
        <item x="407"/>
        <item x="270"/>
        <item x="205"/>
        <item x="269"/>
        <item x="201"/>
        <item x="117"/>
        <item x="395"/>
        <item x="420"/>
        <item x="96"/>
        <item x="383"/>
        <item x="373"/>
        <item x="142"/>
        <item x="186"/>
        <item x="402"/>
        <item x="155"/>
        <item x="309"/>
        <item x="479"/>
        <item x="234"/>
        <item x="386"/>
        <item x="499"/>
        <item x="489"/>
        <item x="181"/>
        <item x="132"/>
        <item x="280"/>
        <item x="131"/>
        <item x="153"/>
        <item x="74"/>
        <item x="1"/>
        <item x="88"/>
        <item x="358"/>
        <item x="378"/>
        <item x="388"/>
        <item x="363"/>
        <item x="128"/>
        <item x="454"/>
        <item x="5"/>
        <item x="247"/>
        <item x="237"/>
        <item x="265"/>
        <item x="200"/>
        <item x="491"/>
        <item x="413"/>
        <item x="179"/>
        <item x="480"/>
        <item x="348"/>
        <item x="468"/>
        <item x="87"/>
        <item x="254"/>
        <item x="387"/>
        <item x="294"/>
        <item x="161"/>
        <item x="227"/>
        <item x="206"/>
        <item x="431"/>
        <item x="25"/>
        <item x="217"/>
        <item x="466"/>
        <item x="292"/>
        <item x="356"/>
        <item x="392"/>
        <item x="83"/>
        <item x="21"/>
        <item x="138"/>
        <item x="382"/>
        <item x="364"/>
        <item x="371"/>
        <item x="289"/>
        <item x="432"/>
        <item x="391"/>
        <item x="195"/>
        <item x="403"/>
        <item x="187"/>
        <item x="251"/>
        <item x="473"/>
        <item x="69"/>
        <item x="225"/>
        <item x="281"/>
        <item x="76"/>
        <item x="208"/>
        <item x="455"/>
        <item x="30"/>
        <item x="252"/>
        <item x="71"/>
        <item x="14"/>
        <item x="430"/>
        <item x="325"/>
        <item x="41"/>
        <item x="496"/>
        <item x="310"/>
        <item x="398"/>
        <item x="63"/>
        <item x="419"/>
        <item x="199"/>
        <item x="253"/>
        <item x="216"/>
        <item x="48"/>
        <item x="243"/>
        <item x="240"/>
        <item x="498"/>
        <item x="210"/>
        <item x="127"/>
        <item x="121"/>
        <item x="143"/>
        <item x="185"/>
        <item x="184"/>
        <item x="250"/>
        <item x="31"/>
        <item x="372"/>
        <item x="149"/>
        <item x="355"/>
        <item x="379"/>
        <item x="154"/>
        <item x="85"/>
        <item x="506"/>
        <item x="94"/>
        <item x="494"/>
        <item x="275"/>
        <item x="106"/>
        <item x="75"/>
        <item x="53"/>
        <item x="99"/>
        <item x="43"/>
        <item x="409"/>
        <item x="477"/>
        <item x="504"/>
        <item x="316"/>
        <item x="440"/>
        <item x="93"/>
        <item x="313"/>
        <item x="308"/>
        <item x="239"/>
        <item x="330"/>
        <item x="38"/>
        <item x="400"/>
        <item x="56"/>
        <item x="33"/>
        <item x="73"/>
        <item x="457"/>
        <item x="204"/>
        <item x="176"/>
        <item x="82"/>
        <item x="412"/>
        <item x="120"/>
        <item x="207"/>
        <item x="113"/>
        <item x="172"/>
        <item x="475"/>
        <item x="80"/>
        <item x="260"/>
        <item x="12"/>
        <item x="54"/>
        <item x="6"/>
        <item x="140"/>
        <item x="393"/>
        <item x="370"/>
        <item x="226"/>
        <item x="231"/>
        <item x="89"/>
        <item x="257"/>
        <item x="139"/>
        <item x="50"/>
        <item x="64"/>
        <item x="67"/>
        <item x="390"/>
        <item x="298"/>
        <item x="483"/>
        <item x="350"/>
        <item x="448"/>
        <item x="335"/>
        <item x="299"/>
        <item x="156"/>
        <item x="78"/>
        <item x="470"/>
        <item x="193"/>
        <item x="191"/>
        <item x="311"/>
        <item x="459"/>
        <item x="374"/>
        <item x="317"/>
        <item x="174"/>
        <item x="36"/>
        <item x="61"/>
        <item x="2"/>
        <item x="223"/>
        <item x="271"/>
        <item x="418"/>
        <item x="32"/>
        <item x="165"/>
        <item x="410"/>
        <item x="462"/>
        <item x="411"/>
        <item x="318"/>
        <item x="171"/>
        <item x="136"/>
        <item x="367"/>
        <item x="81"/>
        <item x="0"/>
        <item x="324"/>
        <item x="425"/>
        <item x="385"/>
        <item x="112"/>
        <item x="91"/>
        <item x="401"/>
        <item x="343"/>
        <item x="315"/>
        <item x="107"/>
        <item x="295"/>
        <item x="476"/>
        <item x="66"/>
        <item x="267"/>
        <item x="13"/>
        <item x="434"/>
        <item x="268"/>
        <item x="7"/>
        <item x="130"/>
        <item x="242"/>
        <item x="421"/>
        <item x="306"/>
        <item x="249"/>
        <item x="369"/>
        <item x="198"/>
        <item x="236"/>
        <item x="241"/>
        <item x="114"/>
        <item x="449"/>
        <item x="158"/>
        <item x="467"/>
        <item x="111"/>
        <item x="368"/>
        <item x="375"/>
        <item x="334"/>
        <item x="331"/>
        <item x="183"/>
        <item x="126"/>
        <item x="215"/>
        <item x="175"/>
        <item x="488"/>
        <item x="474"/>
        <item x="60"/>
        <item x="486"/>
        <item x="366"/>
        <item x="354"/>
        <item x="180"/>
        <item x="273"/>
        <item x="212"/>
        <item x="446"/>
        <item x="77"/>
        <item x="72"/>
        <item x="453"/>
        <item x="58"/>
        <item x="493"/>
        <item x="408"/>
        <item x="405"/>
        <item x="189"/>
        <item x="20"/>
        <item x="264"/>
        <item x="70"/>
        <item x="26"/>
        <item x="439"/>
        <item x="95"/>
        <item x="501"/>
        <item x="349"/>
        <item x="365"/>
        <item t="default"/>
      </items>
    </pivotField>
    <pivotField showAll="0"/>
    <pivotField showAll="0">
      <items count="6">
        <item x="3"/>
        <item x="0"/>
        <item x="4"/>
        <item x="2"/>
        <item x="1"/>
        <item t="default"/>
      </items>
    </pivotField>
    <pivotField showAll="0"/>
    <pivotField showAll="0"/>
    <pivotField showAll="0"/>
    <pivotField showAll="0"/>
    <pivotField showAll="0"/>
    <pivotField showAll="0"/>
    <pivotField showAll="0"/>
    <pivotField showAll="0"/>
    <pivotField showAll="0"/>
    <pivotField showAll="0"/>
    <pivotField numFmtId="9" showAll="0"/>
    <pivotField showAll="0">
      <items count="4">
        <item x="0"/>
        <item x="2"/>
        <item x="1"/>
        <item t="default"/>
      </items>
    </pivotField>
    <pivotField showAll="0">
      <items count="3">
        <item x="1"/>
        <item x="0"/>
        <item t="default"/>
      </items>
    </pivotField>
    <pivotField showAll="0">
      <items count="13">
        <item h="1" x="8"/>
        <item h="1" x="6"/>
        <item h="1" x="3"/>
        <item h="1" x="5"/>
        <item h="1" x="2"/>
        <item h="1" x="0"/>
        <item h="1" x="11"/>
        <item h="1" x="9"/>
        <item h="1" x="7"/>
        <item h="1" x="4"/>
        <item h="1" x="1"/>
        <item x="10"/>
        <item t="default"/>
      </items>
    </pivotField>
    <pivotField showAll="0"/>
  </pivotFields>
  <rowItems count="1">
    <i/>
  </rowItems>
  <colItems count="1">
    <i/>
  </colItems>
  <dataFields count="1">
    <dataField name="Count of Order_ID" fld="0" subtotal="count" baseField="0" baseItem="0"/>
  </dataFields>
  <formats count="3">
    <format dxfId="125">
      <pivotArea type="all" dataOnly="0" outline="0" fieldPosition="0"/>
    </format>
    <format dxfId="124">
      <pivotArea outline="0" collapsedLevelsAreSubtotals="1" fieldPosition="0"/>
    </format>
    <format dxfId="1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35F6783-3088-4139-B362-C01EB32F5A31}" autoFormatId="16" applyNumberFormats="0" applyBorderFormats="0" applyFontFormats="0" applyPatternFormats="0" applyAlignmentFormats="0" applyWidthHeightFormats="0">
  <queryTableRefresh nextId="33" unboundColumnsRight="8">
    <queryTableFields count="19">
      <queryTableField id="1" name="Order_ID" tableColumnId="1"/>
      <queryTableField id="20" name="Order_Date" tableColumnId="2"/>
      <queryTableField id="21" name="Salesperson" tableColumnId="3"/>
      <queryTableField id="22" name="Region" tableColumnId="4"/>
      <queryTableField id="23" name="Product_Code" tableColumnId="5"/>
      <queryTableField id="6" name="Product_Name" tableColumnId="6"/>
      <queryTableField id="24" name="Units_Sold" tableColumnId="7"/>
      <queryTableField id="25" name="Unit_Price" tableColumnId="8"/>
      <queryTableField id="9" name="Cost_Price" tableColumnId="9"/>
      <queryTableField id="10" name="Payment_Method" tableColumnId="10"/>
      <queryTableField id="26" name="Payment_Status" tableColumnId="11"/>
      <queryTableField id="12" dataBound="0" tableColumnId="12"/>
      <queryTableField id="15" dataBound="0" tableColumnId="15"/>
      <queryTableField id="13" dataBound="0" tableColumnId="13"/>
      <queryTableField id="14" dataBound="0" tableColumnId="14"/>
      <queryTableField id="16" dataBound="0" tableColumnId="16"/>
      <queryTableField id="17" dataBound="0" tableColumnId="17"/>
      <queryTableField id="18" dataBound="0" tableColumnId="18"/>
      <queryTableField id="19" dataBound="0"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DD0A66B4-0B80-4437-86E5-84407CF12359}" autoFormatId="16" applyNumberFormats="0" applyBorderFormats="0" applyFontFormats="0" applyPatternFormats="0" applyAlignmentFormats="0" applyWidthHeightFormats="0">
  <queryTableRefresh nextId="5">
    <queryTableFields count="4">
      <queryTableField id="1" name="Product_Code" tableColumnId="1"/>
      <queryTableField id="2" name="Product_Name" tableColumnId="2"/>
      <queryTableField id="3" name="Category" tableColumnId="3"/>
      <queryTableField id="4" name="Standard_Pric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676300-97BF-4425-9491-0F4EA113A831}" sourceName="Region">
  <pivotTables>
    <pivotTable tabId="10" name="PivotTable19"/>
    <pivotTable tabId="10" name="PivotTable18"/>
    <pivotTable tabId="10" name="PivotTable20"/>
    <pivotTable tabId="10" name="PivotTable21"/>
    <pivotTable tabId="10" name="Total Orders"/>
    <pivotTable tabId="10" name="Total Profit"/>
    <pivotTable tabId="10" name="Total Sales"/>
    <pivotTable tabId="10" name="Total Unit Sold"/>
  </pivotTables>
  <data>
    <tabular pivotCacheId="588290721">
      <items count="5">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A7818C-4E7B-432D-9035-F0AA558FB9AE}" sourceName="Category">
  <pivotTables>
    <pivotTable tabId="10" name="PivotTable21"/>
    <pivotTable tabId="10" name="PivotTable18"/>
    <pivotTable tabId="10" name="PivotTable19"/>
    <pivotTable tabId="10" name="PivotTable20"/>
    <pivotTable tabId="10" name="Total Orders"/>
    <pivotTable tabId="10" name="Total Profit"/>
    <pivotTable tabId="10" name="Total Sales"/>
    <pivotTable tabId="10" name="Total Unit Sold"/>
  </pivotTables>
  <data>
    <tabular pivotCacheId="58829072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E0CC9E-1C00-43AC-8AD9-59A57CBCC30E}" sourceName="Year">
  <pivotTables>
    <pivotTable tabId="10" name="PivotTable19"/>
    <pivotTable tabId="10" name="PivotTable18"/>
    <pivotTable tabId="10" name="PivotTable20"/>
    <pivotTable tabId="10" name="PivotTable21"/>
    <pivotTable tabId="10" name="Total Orders"/>
    <pivotTable tabId="10" name="Total Profit"/>
    <pivotTable tabId="10" name="Total Sales"/>
    <pivotTable tabId="10" name="Total Unit Sold"/>
  </pivotTables>
  <data>
    <tabular pivotCacheId="5882907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72A8D78-A787-4E4A-93AB-9B6E8E5EB3DE}" cache="Slicer_Region" caption="Region" style="SlicerStyleDark1" rowHeight="365760"/>
  <slicer name="Category" xr10:uid="{D72F998A-C50F-437F-9F26-4F8B9DA1ABDE}" cache="Slicer_Category" caption="Category" style="SlicerStyleDark1" rowHeight="365760"/>
  <slicer name="Year" xr10:uid="{8302649C-7312-422F-9661-BE7009863168}" cache="Slicer_Year" caption="Year" style="SlicerStyleDark1"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DF7450-6F08-492C-AC3A-957BC0112B18}" name="Table1" displayName="Table1" ref="A1:K1201" totalsRowShown="0" headerRowDxfId="164" tableBorderDxfId="163">
  <tableColumns count="11">
    <tableColumn id="1" xr3:uid="{39A84116-837A-4D60-A17A-34617C538A05}" name="Order_ID" dataDxfId="162"/>
    <tableColumn id="2" xr3:uid="{A70895F3-5202-41FE-9C91-CD36CFC77863}" name="Raw_Order_Date" dataDxfId="161"/>
    <tableColumn id="3" xr3:uid="{E456F752-DED8-4ED2-878A-0EFFF0D2B844}" name="Raw_Salesperson" dataDxfId="160"/>
    <tableColumn id="4" xr3:uid="{B89542E9-EE33-47C7-824A-23B345CB08FB}" name="Raw_Region" dataDxfId="159"/>
    <tableColumn id="5" xr3:uid="{96E973EB-EF49-4F63-ABEE-F6D659366040}" name="Raw_Product_Code" dataDxfId="158"/>
    <tableColumn id="6" xr3:uid="{A9FF7683-90C1-4E18-8C32-2A2471B679ED}" name="Product_Name" dataDxfId="157"/>
    <tableColumn id="7" xr3:uid="{BAE4DD8D-F6AF-43A6-9630-12B59ED71AD5}" name="Raw_Units_Sold" dataDxfId="156"/>
    <tableColumn id="8" xr3:uid="{E483DC50-468F-42D1-920E-FDCFE13BE4CA}" name="Raw_Unit_Price" dataDxfId="155"/>
    <tableColumn id="9" xr3:uid="{4B63A241-E8C1-4A03-B016-6848EA8EC5D7}" name="Cost_Price" dataDxfId="154"/>
    <tableColumn id="10" xr3:uid="{B337E665-7BEF-4235-BECE-D33424F5FFAF}" name="Payment_Method" dataDxfId="153"/>
    <tableColumn id="11" xr3:uid="{178D1B8F-2D50-4BAD-88EC-C981702FDA98}" name="Raw_Payment_Status" dataDxfId="1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FF46E-97ED-4340-8F6F-6401A06B3566}" name="Clean_Data" displayName="Clean_Data" ref="A1:S1157" tableType="queryTable" totalsRowShown="0">
  <autoFilter ref="A1:S1157" xr:uid="{2F0FF46E-97ED-4340-8F6F-6401A06B3566}"/>
  <tableColumns count="19">
    <tableColumn id="1" xr3:uid="{9EBFD5BE-5678-4B01-B4B8-9B84C7B6A3F9}" uniqueName="1" name="Order_ID" queryTableFieldId="1"/>
    <tableColumn id="2" xr3:uid="{765CE4FF-DB81-42FC-9FDB-B323ECCCE1D2}" uniqueName="2" name="Order_Date" queryTableFieldId="20" dataDxfId="151"/>
    <tableColumn id="3" xr3:uid="{A96885C9-2043-484D-BCCE-BD4EA5D0A7AE}" uniqueName="3" name="Salesperson" queryTableFieldId="21" dataDxfId="150"/>
    <tableColumn id="4" xr3:uid="{CBF6B6BF-DA5E-46FD-BF37-182E665AB39B}" uniqueName="4" name="Region" queryTableFieldId="22" dataDxfId="149"/>
    <tableColumn id="5" xr3:uid="{FD064EE3-62E4-42A4-8BCE-85CDDD2BF70B}" uniqueName="5" name="Product_Code" queryTableFieldId="23" dataDxfId="148"/>
    <tableColumn id="6" xr3:uid="{8BB24463-5B0A-40DF-94C6-652DED6001B3}" uniqueName="6" name="Product_Name" queryTableFieldId="6"/>
    <tableColumn id="7" xr3:uid="{537BCE45-C870-4C5A-BA8A-A17AA8BBE591}" uniqueName="7" name="Units_Sold" queryTableFieldId="24"/>
    <tableColumn id="8" xr3:uid="{1ACAC182-C6B4-48A9-BCCD-B38FA3FED217}" uniqueName="8" name="Unit_Price" queryTableFieldId="25"/>
    <tableColumn id="9" xr3:uid="{E6C6EA6B-B248-4F21-A71B-67E1DACE60FD}" uniqueName="9" name="Cost_Price" queryTableFieldId="9"/>
    <tableColumn id="10" xr3:uid="{3D80D71E-5B79-4E72-96FA-D8F03CFEFAD4}" uniqueName="10" name="Payment_Method" queryTableFieldId="10" dataDxfId="147" totalsRowDxfId="146"/>
    <tableColumn id="11" xr3:uid="{462A3AC9-DBB4-45D0-B09D-75885F4A5D2C}" uniqueName="11" name="Payment_Status" queryTableFieldId="26" dataDxfId="145"/>
    <tableColumn id="12" xr3:uid="{9B77A1F7-1E06-47AE-8BBB-4349E72BC7C4}" uniqueName="12" name="Total_Sales" queryTableFieldId="12" dataDxfId="144" totalsRowDxfId="143">
      <calculatedColumnFormula>SUM(Clean_Data[[#This Row],[Units_Sold]]*Clean_Data[[#This Row],[Unit_Price]])</calculatedColumnFormula>
    </tableColumn>
    <tableColumn id="15" xr3:uid="{68544A8F-B888-4935-9327-7ACEFA6A1FCE}" uniqueName="15" name="Total_Cost" queryTableFieldId="15" dataDxfId="142" totalsRowDxfId="141">
      <calculatedColumnFormula>Clean_Data[[#This Row],[Units_Sold]]*Clean_Data[[#This Row],[Cost_Price]]</calculatedColumnFormula>
    </tableColumn>
    <tableColumn id="13" xr3:uid="{50AF51A2-14E6-4447-B695-C8329C8D45B2}" uniqueName="13" name="Profit" queryTableFieldId="13" dataDxfId="140" totalsRowDxfId="139">
      <calculatedColumnFormula>Clean_Data[[#This Row],[Total_Sales]]-Clean_Data[[#This Row],[Total_Cost]]</calculatedColumnFormula>
    </tableColumn>
    <tableColumn id="14" xr3:uid="{00D66F38-B9B8-4302-8C19-5455A1643915}" uniqueName="14" name="Profit_Margin%" queryTableFieldId="14" dataDxfId="138" totalsRowDxfId="137" dataCellStyle="Percent" totalsRowCellStyle="Percent">
      <calculatedColumnFormula>Clean_Data[[#This Row],[Profit]]/Clean_Data[[#This Row],[Total_Sales]]</calculatedColumnFormula>
    </tableColumn>
    <tableColumn id="16" xr3:uid="{A24E1636-9B87-4390-A08E-AACE5612668F}" uniqueName="16" name="Category" queryTableFieldId="16" dataDxfId="136" totalsRowDxfId="135">
      <calculatedColumnFormula>_xlfn.XLOOKUP(Clean_Data[[#This Row],[Product_Code]],Product_Catalog!A:A,Product_Catalog!C:C)</calculatedColumnFormula>
    </tableColumn>
    <tableColumn id="17" xr3:uid="{A8EFD269-983C-4137-B7FC-AA103FE3A015}" uniqueName="17" name="Year" queryTableFieldId="17" dataDxfId="134" totalsRowDxfId="133">
      <calculatedColumnFormula>IF(Clean_Data[[#This Row],[Order_Date]]="","",YEAR(Clean_Data[[#This Row],[Order_Date]]))</calculatedColumnFormula>
    </tableColumn>
    <tableColumn id="18" xr3:uid="{300B9176-6408-469F-B38B-42D1A45274BE}" uniqueName="18" name="Month" queryTableFieldId="18" dataDxfId="132" totalsRowDxfId="131">
      <calculatedColumnFormula>TEXT(Clean_Data[[#This Row],[Order_Date]],"mmm")</calculatedColumnFormula>
    </tableColumn>
    <tableColumn id="19" xr3:uid="{7E9319AD-0F4E-45A8-8425-58DA6AF0FAE3}" uniqueName="19" name="Month_Year" queryTableFieldId="19" dataDxfId="130" totalsRowDxfId="129">
      <calculatedColumnFormula>TEXT(Clean_Data[[#This Row],[Order_Date]],"mmm-yy")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4E7740-5E35-4081-9C13-BEBF5A272108}" name="Product_Catalog" displayName="Product_Catalog" ref="A1:D10" tableType="queryTable" totalsRowShown="0">
  <autoFilter ref="A1:D10" xr:uid="{3A4E7740-5E35-4081-9C13-BEBF5A272108}"/>
  <tableColumns count="4">
    <tableColumn id="1" xr3:uid="{95A17561-8F71-4D5B-A2B5-104EFE35620D}" uniqueName="1" name="Product_Code" queryTableFieldId="1" dataDxfId="128"/>
    <tableColumn id="2" xr3:uid="{B4A3D426-67BA-4D9E-9FC6-870F5DD27794}" uniqueName="2" name="Product_Name" queryTableFieldId="2" dataDxfId="127"/>
    <tableColumn id="3" xr3:uid="{D6081CE8-67CA-43E4-BC92-927B83C93E3D}" uniqueName="3" name="Category" queryTableFieldId="3" dataDxfId="126"/>
    <tableColumn id="4" xr3:uid="{4F86182A-536A-43F3-999B-0DFBFCE0D006}" uniqueName="4" name="Standard_Pric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CF0951D-2382-41D3-B9A4-3B75168C22EA}" sourceName="Order_Date">
  <pivotTables>
    <pivotTable tabId="10" name="PivotTable19"/>
    <pivotTable tabId="10" name="PivotTable18"/>
    <pivotTable tabId="10" name="PivotTable20"/>
    <pivotTable tabId="10" name="PivotTable21"/>
    <pivotTable tabId="10" name="Total Orders"/>
    <pivotTable tabId="10" name="Total Profit"/>
    <pivotTable tabId="10" name="Total Sales"/>
    <pivotTable tabId="10" name="Total Unit Sold"/>
  </pivotTables>
  <state minimalRefreshVersion="6" lastRefreshVersion="6" pivotCacheId="58829072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5DB3F78-B66F-4FB2-B456-D16EF7584D7D}" cache="NativeTimeline_Order_Date" caption="Order_Date" level="2" selectionLevel="2" scrollPosition="2025-05-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39C2-39AF-43CC-85B9-6FA0C9356BBE}">
  <sheetPr codeName="Sheet1"/>
  <dimension ref="A1:K1201"/>
  <sheetViews>
    <sheetView workbookViewId="0">
      <selection activeCell="O20" sqref="O20"/>
    </sheetView>
  </sheetViews>
  <sheetFormatPr defaultRowHeight="15" x14ac:dyDescent="0.25"/>
  <cols>
    <col min="1" max="1" width="11.140625" customWidth="1"/>
    <col min="2" max="2" width="18.140625" customWidth="1"/>
    <col min="3" max="3" width="18.5703125" customWidth="1"/>
    <col min="4" max="4" width="14" customWidth="1"/>
    <col min="5" max="5" width="20.28515625" customWidth="1"/>
    <col min="6" max="6" width="28" bestFit="1" customWidth="1"/>
    <col min="7" max="7" width="17.42578125" customWidth="1"/>
    <col min="8" max="8" width="17.140625" customWidth="1"/>
    <col min="9" max="9" width="12.42578125" customWidth="1"/>
    <col min="10" max="10" width="19.140625" customWidth="1"/>
    <col min="11" max="11" width="22.140625" customWidth="1"/>
  </cols>
  <sheetData>
    <row r="1" spans="1:11" x14ac:dyDescent="0.25">
      <c r="A1" s="4" t="s">
        <v>0</v>
      </c>
      <c r="B1" s="4" t="s">
        <v>1</v>
      </c>
      <c r="C1" s="4" t="s">
        <v>2</v>
      </c>
      <c r="D1" s="4" t="s">
        <v>3</v>
      </c>
      <c r="E1" s="4" t="s">
        <v>4</v>
      </c>
      <c r="F1" s="4" t="s">
        <v>5</v>
      </c>
      <c r="G1" s="4" t="s">
        <v>6</v>
      </c>
      <c r="H1" s="4" t="s">
        <v>7</v>
      </c>
      <c r="I1" s="4" t="s">
        <v>8</v>
      </c>
      <c r="J1" s="4" t="s">
        <v>9</v>
      </c>
      <c r="K1" s="4" t="s">
        <v>10</v>
      </c>
    </row>
    <row r="2" spans="1:11" x14ac:dyDescent="0.25">
      <c r="A2" s="5" t="s">
        <v>11</v>
      </c>
      <c r="B2" s="5" t="s">
        <v>1253</v>
      </c>
      <c r="C2" s="5" t="s">
        <v>1254</v>
      </c>
      <c r="D2" s="5" t="s">
        <v>1255</v>
      </c>
      <c r="E2" s="5" t="s">
        <v>14</v>
      </c>
      <c r="F2" s="5" t="s">
        <v>15</v>
      </c>
      <c r="G2" s="5" t="s">
        <v>1256</v>
      </c>
      <c r="H2" s="5" t="s">
        <v>1257</v>
      </c>
      <c r="I2" s="5">
        <v>8267</v>
      </c>
      <c r="J2" s="5" t="s">
        <v>16</v>
      </c>
      <c r="K2" s="5" t="s">
        <v>17</v>
      </c>
    </row>
    <row r="3" spans="1:11" x14ac:dyDescent="0.25">
      <c r="A3" s="6" t="s">
        <v>18</v>
      </c>
      <c r="B3" s="6" t="s">
        <v>1258</v>
      </c>
      <c r="C3" s="6" t="s">
        <v>1259</v>
      </c>
      <c r="D3" s="6" t="s">
        <v>1255</v>
      </c>
      <c r="E3" s="6" t="s">
        <v>20</v>
      </c>
      <c r="F3" s="6" t="s">
        <v>21</v>
      </c>
      <c r="G3" s="6" t="s">
        <v>1260</v>
      </c>
      <c r="H3" s="6" t="s">
        <v>1261</v>
      </c>
      <c r="I3" s="6">
        <v>5143</v>
      </c>
      <c r="J3" s="6" t="s">
        <v>22</v>
      </c>
      <c r="K3" s="6" t="s">
        <v>1262</v>
      </c>
    </row>
    <row r="4" spans="1:11" x14ac:dyDescent="0.25">
      <c r="A4" s="5" t="s">
        <v>24</v>
      </c>
      <c r="B4" s="5" t="s">
        <v>1263</v>
      </c>
      <c r="C4" s="5" t="s">
        <v>1264</v>
      </c>
      <c r="D4" s="5" t="s">
        <v>26</v>
      </c>
      <c r="E4" s="5" t="s">
        <v>27</v>
      </c>
      <c r="F4" s="5" t="s">
        <v>28</v>
      </c>
      <c r="G4" s="5" t="s">
        <v>1265</v>
      </c>
      <c r="H4" s="5" t="s">
        <v>1266</v>
      </c>
      <c r="I4" s="5">
        <v>10441</v>
      </c>
      <c r="J4" s="5" t="s">
        <v>1267</v>
      </c>
      <c r="K4" s="5" t="s">
        <v>17</v>
      </c>
    </row>
    <row r="5" spans="1:11" x14ac:dyDescent="0.25">
      <c r="A5" s="6" t="s">
        <v>30</v>
      </c>
      <c r="B5" s="6" t="s">
        <v>1268</v>
      </c>
      <c r="C5" s="6" t="s">
        <v>1269</v>
      </c>
      <c r="D5" s="6" t="s">
        <v>1270</v>
      </c>
      <c r="E5" s="6" t="s">
        <v>14</v>
      </c>
      <c r="F5" s="6" t="s">
        <v>15</v>
      </c>
      <c r="G5" s="6" t="s">
        <v>1271</v>
      </c>
      <c r="H5" s="6" t="s">
        <v>1272</v>
      </c>
      <c r="I5" s="6">
        <v>8801</v>
      </c>
      <c r="J5" s="6" t="s">
        <v>22</v>
      </c>
      <c r="K5" s="6" t="s">
        <v>1273</v>
      </c>
    </row>
    <row r="6" spans="1:11" x14ac:dyDescent="0.25">
      <c r="A6" s="5" t="s">
        <v>32</v>
      </c>
      <c r="B6" s="5" t="s">
        <v>1274</v>
      </c>
      <c r="C6" s="5" t="s">
        <v>1269</v>
      </c>
      <c r="D6" s="5" t="s">
        <v>1275</v>
      </c>
      <c r="E6" s="5" t="s">
        <v>1276</v>
      </c>
      <c r="F6" s="5" t="s">
        <v>34</v>
      </c>
      <c r="G6" s="5" t="s">
        <v>1277</v>
      </c>
      <c r="H6" s="5" t="s">
        <v>1278</v>
      </c>
      <c r="I6" s="5">
        <v>22572</v>
      </c>
      <c r="J6" s="5" t="s">
        <v>16</v>
      </c>
      <c r="K6" s="5" t="s">
        <v>1273</v>
      </c>
    </row>
    <row r="7" spans="1:11" x14ac:dyDescent="0.25">
      <c r="A7" s="6" t="s">
        <v>35</v>
      </c>
      <c r="B7" s="6" t="s">
        <v>1279</v>
      </c>
      <c r="C7" s="6" t="s">
        <v>1269</v>
      </c>
      <c r="D7" s="6" t="s">
        <v>36</v>
      </c>
      <c r="E7" s="6" t="s">
        <v>37</v>
      </c>
      <c r="F7" s="6" t="s">
        <v>38</v>
      </c>
      <c r="G7" s="6" t="s">
        <v>1280</v>
      </c>
      <c r="H7" s="6" t="s">
        <v>1281</v>
      </c>
      <c r="I7" s="6">
        <v>38919</v>
      </c>
      <c r="J7" s="6" t="s">
        <v>1267</v>
      </c>
      <c r="K7" s="6" t="s">
        <v>1262</v>
      </c>
    </row>
    <row r="8" spans="1:11" x14ac:dyDescent="0.25">
      <c r="A8" s="5" t="s">
        <v>39</v>
      </c>
      <c r="B8" s="5" t="s">
        <v>1282</v>
      </c>
      <c r="C8" s="5" t="s">
        <v>1254</v>
      </c>
      <c r="D8" s="5" t="s">
        <v>1283</v>
      </c>
      <c r="E8" s="5" t="s">
        <v>41</v>
      </c>
      <c r="F8" s="5" t="s">
        <v>42</v>
      </c>
      <c r="G8" s="5" t="s">
        <v>1284</v>
      </c>
      <c r="H8" s="5" t="s">
        <v>1285</v>
      </c>
      <c r="I8" s="5">
        <v>21639</v>
      </c>
      <c r="J8" s="5" t="s">
        <v>1267</v>
      </c>
      <c r="K8" s="5" t="s">
        <v>1286</v>
      </c>
    </row>
    <row r="9" spans="1:11" x14ac:dyDescent="0.25">
      <c r="A9" s="6" t="s">
        <v>43</v>
      </c>
      <c r="B9" s="6" t="s">
        <v>1287</v>
      </c>
      <c r="C9" s="6" t="s">
        <v>1288</v>
      </c>
      <c r="D9" s="6" t="s">
        <v>36</v>
      </c>
      <c r="E9" s="6" t="s">
        <v>14</v>
      </c>
      <c r="F9" s="6" t="s">
        <v>15</v>
      </c>
      <c r="G9" s="6" t="s">
        <v>1289</v>
      </c>
      <c r="H9" s="6" t="s">
        <v>1272</v>
      </c>
      <c r="I9" s="6">
        <v>9201</v>
      </c>
      <c r="J9" s="6" t="s">
        <v>45</v>
      </c>
      <c r="K9" s="6" t="s">
        <v>46</v>
      </c>
    </row>
    <row r="10" spans="1:11" x14ac:dyDescent="0.25">
      <c r="A10" s="5" t="s">
        <v>47</v>
      </c>
      <c r="B10" s="5" t="s">
        <v>1290</v>
      </c>
      <c r="C10" s="5" t="s">
        <v>48</v>
      </c>
      <c r="D10" s="5" t="s">
        <v>1283</v>
      </c>
      <c r="E10" s="5" t="s">
        <v>49</v>
      </c>
      <c r="F10" s="5" t="s">
        <v>50</v>
      </c>
      <c r="G10" s="5" t="s">
        <v>1271</v>
      </c>
      <c r="H10" s="5" t="s">
        <v>1291</v>
      </c>
      <c r="I10" s="5">
        <v>52501</v>
      </c>
      <c r="J10" s="5" t="s">
        <v>45</v>
      </c>
      <c r="K10" s="5" t="s">
        <v>46</v>
      </c>
    </row>
    <row r="11" spans="1:11" x14ac:dyDescent="0.25">
      <c r="A11" s="6" t="s">
        <v>51</v>
      </c>
      <c r="B11" s="6" t="s">
        <v>1292</v>
      </c>
      <c r="C11" s="6" t="s">
        <v>1254</v>
      </c>
      <c r="D11" s="6" t="s">
        <v>1255</v>
      </c>
      <c r="E11" s="6" t="s">
        <v>1293</v>
      </c>
      <c r="F11" s="6" t="s">
        <v>28</v>
      </c>
      <c r="G11" s="6" t="s">
        <v>1294</v>
      </c>
      <c r="H11" s="6" t="s">
        <v>1266</v>
      </c>
      <c r="I11" s="6">
        <v>10260</v>
      </c>
      <c r="J11" s="6" t="s">
        <v>29</v>
      </c>
      <c r="K11" s="6" t="s">
        <v>1273</v>
      </c>
    </row>
    <row r="12" spans="1:11" x14ac:dyDescent="0.25">
      <c r="A12" s="5" t="s">
        <v>52</v>
      </c>
      <c r="B12" s="5" t="s">
        <v>1295</v>
      </c>
      <c r="C12" s="5" t="s">
        <v>53</v>
      </c>
      <c r="D12" s="5" t="s">
        <v>1296</v>
      </c>
      <c r="E12" s="5" t="s">
        <v>20</v>
      </c>
      <c r="F12" s="5" t="s">
        <v>21</v>
      </c>
      <c r="G12" s="5" t="s">
        <v>1297</v>
      </c>
      <c r="H12" s="5" t="s">
        <v>1261</v>
      </c>
      <c r="I12" s="5">
        <v>6184</v>
      </c>
      <c r="J12" s="5" t="s">
        <v>22</v>
      </c>
      <c r="K12" s="5" t="s">
        <v>1286</v>
      </c>
    </row>
    <row r="13" spans="1:11" x14ac:dyDescent="0.25">
      <c r="A13" s="6" t="s">
        <v>54</v>
      </c>
      <c r="B13" s="6" t="s">
        <v>1298</v>
      </c>
      <c r="C13" s="6" t="s">
        <v>53</v>
      </c>
      <c r="D13" s="6" t="s">
        <v>36</v>
      </c>
      <c r="E13" s="6" t="s">
        <v>55</v>
      </c>
      <c r="F13" s="6" t="s">
        <v>34</v>
      </c>
      <c r="G13" s="6" t="s">
        <v>1294</v>
      </c>
      <c r="H13" s="6" t="s">
        <v>1299</v>
      </c>
      <c r="I13" s="6">
        <v>22680</v>
      </c>
      <c r="J13" s="6" t="s">
        <v>45</v>
      </c>
      <c r="K13" s="6" t="s">
        <v>1286</v>
      </c>
    </row>
    <row r="14" spans="1:11" x14ac:dyDescent="0.25">
      <c r="A14" s="5" t="s">
        <v>56</v>
      </c>
      <c r="B14" s="5" t="s">
        <v>1300</v>
      </c>
      <c r="C14" s="5" t="s">
        <v>1288</v>
      </c>
      <c r="D14" s="5" t="s">
        <v>1255</v>
      </c>
      <c r="E14" s="5" t="s">
        <v>20</v>
      </c>
      <c r="F14" s="5" t="s">
        <v>21</v>
      </c>
      <c r="G14" s="5" t="s">
        <v>1301</v>
      </c>
      <c r="H14" s="5" t="s">
        <v>1261</v>
      </c>
      <c r="I14" s="5">
        <v>5445</v>
      </c>
      <c r="J14" s="5" t="s">
        <v>29</v>
      </c>
      <c r="K14" s="5" t="s">
        <v>1273</v>
      </c>
    </row>
    <row r="15" spans="1:11" x14ac:dyDescent="0.25">
      <c r="A15" s="6" t="s">
        <v>57</v>
      </c>
      <c r="B15" s="6" t="s">
        <v>1302</v>
      </c>
      <c r="C15" s="6" t="s">
        <v>53</v>
      </c>
      <c r="D15" s="6" t="s">
        <v>1296</v>
      </c>
      <c r="E15" s="6" t="s">
        <v>49</v>
      </c>
      <c r="F15" s="6" t="s">
        <v>50</v>
      </c>
      <c r="G15" s="6" t="s">
        <v>1303</v>
      </c>
      <c r="H15" s="6" t="s">
        <v>1304</v>
      </c>
      <c r="I15" s="6">
        <v>54462</v>
      </c>
      <c r="J15" s="6" t="s">
        <v>29</v>
      </c>
      <c r="K15" s="6" t="s">
        <v>17</v>
      </c>
    </row>
    <row r="16" spans="1:11" x14ac:dyDescent="0.25">
      <c r="A16" s="5" t="s">
        <v>58</v>
      </c>
      <c r="B16" s="5" t="s">
        <v>1305</v>
      </c>
      <c r="C16" s="5" t="s">
        <v>1254</v>
      </c>
      <c r="D16" s="5" t="s">
        <v>36</v>
      </c>
      <c r="E16" s="5" t="s">
        <v>1306</v>
      </c>
      <c r="F16" s="5" t="s">
        <v>59</v>
      </c>
      <c r="G16" s="5" t="s">
        <v>1307</v>
      </c>
      <c r="H16" s="5" t="s">
        <v>1308</v>
      </c>
      <c r="I16" s="5">
        <v>2798</v>
      </c>
      <c r="J16" s="5" t="s">
        <v>1267</v>
      </c>
      <c r="K16" s="5" t="s">
        <v>1273</v>
      </c>
    </row>
    <row r="17" spans="1:11" x14ac:dyDescent="0.25">
      <c r="A17" s="6" t="s">
        <v>60</v>
      </c>
      <c r="B17" s="6" t="s">
        <v>1309</v>
      </c>
      <c r="C17" s="6" t="s">
        <v>53</v>
      </c>
      <c r="D17" s="6" t="s">
        <v>26</v>
      </c>
      <c r="E17" s="6" t="s">
        <v>41</v>
      </c>
      <c r="F17" s="6" t="s">
        <v>42</v>
      </c>
      <c r="G17" s="6" t="s">
        <v>1310</v>
      </c>
      <c r="H17" s="6" t="s">
        <v>1311</v>
      </c>
      <c r="I17" s="6">
        <v>18415</v>
      </c>
      <c r="J17" s="6" t="s">
        <v>16</v>
      </c>
      <c r="K17" s="6" t="s">
        <v>17</v>
      </c>
    </row>
    <row r="18" spans="1:11" x14ac:dyDescent="0.25">
      <c r="A18" s="5" t="s">
        <v>61</v>
      </c>
      <c r="B18" s="5" t="s">
        <v>1312</v>
      </c>
      <c r="C18" s="5" t="s">
        <v>62</v>
      </c>
      <c r="D18" s="5" t="s">
        <v>26</v>
      </c>
      <c r="E18" s="5" t="s">
        <v>63</v>
      </c>
      <c r="F18" s="5" t="s">
        <v>59</v>
      </c>
      <c r="G18" s="5" t="s">
        <v>1313</v>
      </c>
      <c r="H18" s="5" t="s">
        <v>1308</v>
      </c>
      <c r="I18" s="5">
        <v>3522</v>
      </c>
      <c r="J18" s="5" t="s">
        <v>1267</v>
      </c>
      <c r="K18" s="5" t="s">
        <v>1273</v>
      </c>
    </row>
    <row r="19" spans="1:11" x14ac:dyDescent="0.25">
      <c r="A19" s="6" t="s">
        <v>64</v>
      </c>
      <c r="B19" s="6" t="s">
        <v>1314</v>
      </c>
      <c r="C19" s="6" t="s">
        <v>1254</v>
      </c>
      <c r="D19" s="6" t="s">
        <v>1255</v>
      </c>
      <c r="E19" s="6" t="s">
        <v>55</v>
      </c>
      <c r="F19" s="6" t="s">
        <v>34</v>
      </c>
      <c r="G19" s="6" t="s">
        <v>1315</v>
      </c>
      <c r="H19" s="6" t="s">
        <v>1278</v>
      </c>
      <c r="I19" s="6">
        <v>24490</v>
      </c>
      <c r="J19" s="6" t="s">
        <v>1267</v>
      </c>
      <c r="K19" s="6" t="s">
        <v>46</v>
      </c>
    </row>
    <row r="20" spans="1:11" x14ac:dyDescent="0.25">
      <c r="A20" s="5" t="s">
        <v>65</v>
      </c>
      <c r="B20" s="5" t="s">
        <v>1316</v>
      </c>
      <c r="C20" s="5" t="s">
        <v>1269</v>
      </c>
      <c r="D20" s="5" t="s">
        <v>1275</v>
      </c>
      <c r="E20" s="5" t="s">
        <v>66</v>
      </c>
      <c r="F20" s="5" t="s">
        <v>67</v>
      </c>
      <c r="G20" s="5" t="s">
        <v>1277</v>
      </c>
      <c r="H20" s="5" t="s">
        <v>1317</v>
      </c>
      <c r="I20" s="5">
        <v>1654</v>
      </c>
      <c r="J20" s="5" t="s">
        <v>16</v>
      </c>
      <c r="K20" s="5" t="s">
        <v>46</v>
      </c>
    </row>
    <row r="21" spans="1:11" x14ac:dyDescent="0.25">
      <c r="A21" s="6" t="s">
        <v>68</v>
      </c>
      <c r="B21" s="6" t="s">
        <v>1318</v>
      </c>
      <c r="C21" s="6" t="s">
        <v>48</v>
      </c>
      <c r="D21" s="6" t="s">
        <v>1296</v>
      </c>
      <c r="E21" s="6" t="s">
        <v>1319</v>
      </c>
      <c r="F21" s="6" t="s">
        <v>59</v>
      </c>
      <c r="G21" s="6" t="s">
        <v>1265</v>
      </c>
      <c r="H21" s="6" t="s">
        <v>1320</v>
      </c>
      <c r="I21" s="6">
        <v>3020</v>
      </c>
      <c r="J21" s="6" t="s">
        <v>22</v>
      </c>
      <c r="K21" s="6" t="s">
        <v>46</v>
      </c>
    </row>
    <row r="22" spans="1:11" x14ac:dyDescent="0.25">
      <c r="A22" s="5" t="s">
        <v>69</v>
      </c>
      <c r="B22" s="5" t="s">
        <v>1321</v>
      </c>
      <c r="C22" s="5" t="s">
        <v>48</v>
      </c>
      <c r="D22" s="5" t="s">
        <v>36</v>
      </c>
      <c r="E22" s="5" t="s">
        <v>49</v>
      </c>
      <c r="F22" s="5" t="s">
        <v>50</v>
      </c>
      <c r="G22" s="5" t="s">
        <v>1315</v>
      </c>
      <c r="H22" s="5" t="s">
        <v>1304</v>
      </c>
      <c r="I22" s="5">
        <v>58384</v>
      </c>
      <c r="J22" s="5" t="s">
        <v>1267</v>
      </c>
      <c r="K22" s="5" t="s">
        <v>1262</v>
      </c>
    </row>
    <row r="23" spans="1:11" x14ac:dyDescent="0.25">
      <c r="A23" s="6" t="s">
        <v>1322</v>
      </c>
      <c r="B23" s="6" t="s">
        <v>1323</v>
      </c>
      <c r="C23" s="6" t="s">
        <v>48</v>
      </c>
      <c r="D23" s="6" t="s">
        <v>26</v>
      </c>
      <c r="E23" s="6" t="s">
        <v>41</v>
      </c>
      <c r="F23" s="6" t="s">
        <v>42</v>
      </c>
      <c r="G23" s="6" t="s">
        <v>1324</v>
      </c>
      <c r="H23" s="6" t="s">
        <v>1325</v>
      </c>
      <c r="I23" s="6">
        <v>21265</v>
      </c>
      <c r="J23" s="6" t="s">
        <v>22</v>
      </c>
      <c r="K23" s="6" t="s">
        <v>1273</v>
      </c>
    </row>
    <row r="24" spans="1:11" x14ac:dyDescent="0.25">
      <c r="A24" s="5" t="s">
        <v>70</v>
      </c>
      <c r="B24" s="5" t="s">
        <v>1326</v>
      </c>
      <c r="C24" s="5" t="s">
        <v>1259</v>
      </c>
      <c r="D24" s="5" t="s">
        <v>1255</v>
      </c>
      <c r="E24" s="5" t="s">
        <v>14</v>
      </c>
      <c r="F24" s="5" t="s">
        <v>15</v>
      </c>
      <c r="G24" s="5" t="s">
        <v>1277</v>
      </c>
      <c r="H24" s="5" t="s">
        <v>1257</v>
      </c>
      <c r="I24" s="5">
        <v>9578</v>
      </c>
      <c r="J24" s="5" t="s">
        <v>1267</v>
      </c>
      <c r="K24" s="5" t="s">
        <v>1286</v>
      </c>
    </row>
    <row r="25" spans="1:11" x14ac:dyDescent="0.25">
      <c r="A25" s="6" t="s">
        <v>71</v>
      </c>
      <c r="B25" s="6" t="s">
        <v>1327</v>
      </c>
      <c r="C25" s="6" t="s">
        <v>1264</v>
      </c>
      <c r="D25" s="6" t="s">
        <v>26</v>
      </c>
      <c r="E25" s="6" t="s">
        <v>63</v>
      </c>
      <c r="F25" s="6" t="s">
        <v>59</v>
      </c>
      <c r="G25" s="6" t="s">
        <v>1328</v>
      </c>
      <c r="H25" s="6" t="s">
        <v>1320</v>
      </c>
      <c r="I25" s="6">
        <v>3519</v>
      </c>
      <c r="J25" s="6" t="s">
        <v>29</v>
      </c>
      <c r="K25" s="6" t="s">
        <v>46</v>
      </c>
    </row>
    <row r="26" spans="1:11" x14ac:dyDescent="0.25">
      <c r="A26" s="5" t="s">
        <v>72</v>
      </c>
      <c r="B26" s="5" t="s">
        <v>1329</v>
      </c>
      <c r="C26" s="5" t="s">
        <v>73</v>
      </c>
      <c r="D26" s="5" t="s">
        <v>1283</v>
      </c>
      <c r="E26" s="5" t="s">
        <v>1330</v>
      </c>
      <c r="F26" s="5" t="s">
        <v>28</v>
      </c>
      <c r="G26" s="5" t="s">
        <v>1331</v>
      </c>
      <c r="H26" s="5" t="s">
        <v>1266</v>
      </c>
      <c r="I26" s="5">
        <v>9825</v>
      </c>
      <c r="J26" s="5" t="s">
        <v>1267</v>
      </c>
      <c r="K26" s="5" t="s">
        <v>46</v>
      </c>
    </row>
    <row r="27" spans="1:11" x14ac:dyDescent="0.25">
      <c r="A27" s="6" t="s">
        <v>74</v>
      </c>
      <c r="B27" s="6" t="s">
        <v>1332</v>
      </c>
      <c r="C27" s="6" t="s">
        <v>53</v>
      </c>
      <c r="D27" s="6" t="s">
        <v>26</v>
      </c>
      <c r="E27" s="6" t="s">
        <v>14</v>
      </c>
      <c r="F27" s="6" t="s">
        <v>15</v>
      </c>
      <c r="G27" s="6" t="s">
        <v>1271</v>
      </c>
      <c r="H27" s="6" t="s">
        <v>1257</v>
      </c>
      <c r="I27" s="6">
        <v>8116</v>
      </c>
      <c r="J27" s="6" t="s">
        <v>29</v>
      </c>
      <c r="K27" s="6" t="s">
        <v>17</v>
      </c>
    </row>
    <row r="28" spans="1:11" x14ac:dyDescent="0.25">
      <c r="A28" s="5" t="s">
        <v>75</v>
      </c>
      <c r="B28" s="5" t="s">
        <v>1333</v>
      </c>
      <c r="C28" s="5" t="s">
        <v>1269</v>
      </c>
      <c r="D28" s="5" t="s">
        <v>1255</v>
      </c>
      <c r="E28" s="5" t="s">
        <v>20</v>
      </c>
      <c r="F28" s="5" t="s">
        <v>21</v>
      </c>
      <c r="G28" s="5" t="s">
        <v>1301</v>
      </c>
      <c r="H28" s="5" t="s">
        <v>1261</v>
      </c>
      <c r="I28" s="5">
        <v>5244</v>
      </c>
      <c r="J28" s="5" t="s">
        <v>1267</v>
      </c>
      <c r="K28" s="5" t="s">
        <v>1262</v>
      </c>
    </row>
    <row r="29" spans="1:11" x14ac:dyDescent="0.25">
      <c r="A29" s="6" t="s">
        <v>76</v>
      </c>
      <c r="B29" s="6" t="s">
        <v>1334</v>
      </c>
      <c r="C29" s="6" t="s">
        <v>1269</v>
      </c>
      <c r="D29" s="6" t="s">
        <v>26</v>
      </c>
      <c r="E29" s="6" t="s">
        <v>66</v>
      </c>
      <c r="F29" s="6" t="s">
        <v>67</v>
      </c>
      <c r="G29" s="6" t="s">
        <v>1260</v>
      </c>
      <c r="H29" s="6" t="s">
        <v>1335</v>
      </c>
      <c r="I29" s="6">
        <v>1661</v>
      </c>
      <c r="J29" s="6" t="s">
        <v>16</v>
      </c>
      <c r="K29" s="6" t="s">
        <v>1273</v>
      </c>
    </row>
    <row r="30" spans="1:11" x14ac:dyDescent="0.25">
      <c r="A30" s="5" t="s">
        <v>77</v>
      </c>
      <c r="B30" s="5" t="s">
        <v>1336</v>
      </c>
      <c r="C30" s="5" t="s">
        <v>73</v>
      </c>
      <c r="D30" s="5" t="s">
        <v>1255</v>
      </c>
      <c r="E30" s="5" t="s">
        <v>20</v>
      </c>
      <c r="F30" s="5" t="s">
        <v>21</v>
      </c>
      <c r="G30" s="5" t="s">
        <v>1337</v>
      </c>
      <c r="H30" s="5" t="s">
        <v>1261</v>
      </c>
      <c r="I30" s="5">
        <v>5490</v>
      </c>
      <c r="J30" s="5" t="s">
        <v>1267</v>
      </c>
      <c r="K30" s="5" t="s">
        <v>46</v>
      </c>
    </row>
    <row r="31" spans="1:11" x14ac:dyDescent="0.25">
      <c r="A31" s="6" t="s">
        <v>78</v>
      </c>
      <c r="B31" s="6" t="s">
        <v>1338</v>
      </c>
      <c r="C31" s="6" t="s">
        <v>73</v>
      </c>
      <c r="D31" s="6" t="s">
        <v>1255</v>
      </c>
      <c r="E31" s="6" t="s">
        <v>1330</v>
      </c>
      <c r="F31" s="6" t="s">
        <v>28</v>
      </c>
      <c r="G31" s="6" t="s">
        <v>1313</v>
      </c>
      <c r="H31" s="6" t="s">
        <v>1266</v>
      </c>
      <c r="I31" s="6">
        <v>11055</v>
      </c>
      <c r="J31" s="6" t="s">
        <v>22</v>
      </c>
      <c r="K31" s="6" t="s">
        <v>1286</v>
      </c>
    </row>
    <row r="32" spans="1:11" x14ac:dyDescent="0.25">
      <c r="A32" s="5" t="s">
        <v>79</v>
      </c>
      <c r="B32" s="5" t="s">
        <v>1339</v>
      </c>
      <c r="C32" s="5" t="s">
        <v>48</v>
      </c>
      <c r="D32" s="5" t="s">
        <v>1296</v>
      </c>
      <c r="E32" s="5" t="s">
        <v>20</v>
      </c>
      <c r="F32" s="5" t="s">
        <v>21</v>
      </c>
      <c r="G32" s="5" t="s">
        <v>1297</v>
      </c>
      <c r="H32" s="5" t="s">
        <v>1261</v>
      </c>
      <c r="I32" s="5">
        <v>5597</v>
      </c>
      <c r="J32" s="5" t="s">
        <v>1267</v>
      </c>
      <c r="K32" s="5" t="s">
        <v>1286</v>
      </c>
    </row>
    <row r="33" spans="1:11" x14ac:dyDescent="0.25">
      <c r="A33" s="6" t="s">
        <v>80</v>
      </c>
      <c r="B33" s="6" t="s">
        <v>1340</v>
      </c>
      <c r="C33" s="6" t="s">
        <v>1259</v>
      </c>
      <c r="D33" s="6" t="s">
        <v>1255</v>
      </c>
      <c r="E33" s="6" t="s">
        <v>37</v>
      </c>
      <c r="F33" s="6" t="s">
        <v>38</v>
      </c>
      <c r="G33" s="6" t="s">
        <v>1341</v>
      </c>
      <c r="H33" s="6" t="s">
        <v>1342</v>
      </c>
      <c r="I33" s="6">
        <v>40999</v>
      </c>
      <c r="J33" s="6" t="s">
        <v>22</v>
      </c>
      <c r="K33" s="6" t="s">
        <v>1273</v>
      </c>
    </row>
    <row r="34" spans="1:11" x14ac:dyDescent="0.25">
      <c r="A34" s="5" t="s">
        <v>81</v>
      </c>
      <c r="B34" s="5" t="s">
        <v>1343</v>
      </c>
      <c r="C34" s="5" t="s">
        <v>1259</v>
      </c>
      <c r="D34" s="5" t="s">
        <v>1270</v>
      </c>
      <c r="E34" s="5" t="s">
        <v>14</v>
      </c>
      <c r="F34" s="5" t="s">
        <v>15</v>
      </c>
      <c r="G34" s="5" t="s">
        <v>1337</v>
      </c>
      <c r="H34" s="5" t="s">
        <v>1257</v>
      </c>
      <c r="I34" s="5">
        <v>9244</v>
      </c>
      <c r="J34" s="5" t="s">
        <v>22</v>
      </c>
      <c r="K34" s="5" t="s">
        <v>1262</v>
      </c>
    </row>
    <row r="35" spans="1:11" x14ac:dyDescent="0.25">
      <c r="A35" s="6" t="s">
        <v>82</v>
      </c>
      <c r="B35" s="6" t="s">
        <v>1344</v>
      </c>
      <c r="C35" s="6" t="s">
        <v>1269</v>
      </c>
      <c r="D35" s="6" t="s">
        <v>1255</v>
      </c>
      <c r="E35" s="6" t="s">
        <v>37</v>
      </c>
      <c r="F35" s="6" t="s">
        <v>38</v>
      </c>
      <c r="G35" s="6" t="s">
        <v>1294</v>
      </c>
      <c r="H35" s="6" t="s">
        <v>1281</v>
      </c>
      <c r="I35" s="6">
        <v>34871</v>
      </c>
      <c r="J35" s="6" t="s">
        <v>1267</v>
      </c>
      <c r="K35" s="6" t="s">
        <v>1262</v>
      </c>
    </row>
    <row r="36" spans="1:11" x14ac:dyDescent="0.25">
      <c r="A36" s="5" t="s">
        <v>83</v>
      </c>
      <c r="B36" s="5" t="s">
        <v>1345</v>
      </c>
      <c r="C36" s="5" t="s">
        <v>1269</v>
      </c>
      <c r="D36" s="5"/>
      <c r="E36" s="5" t="s">
        <v>1346</v>
      </c>
      <c r="F36" s="5" t="s">
        <v>15</v>
      </c>
      <c r="G36" s="5" t="s">
        <v>1260</v>
      </c>
      <c r="H36" s="5" t="s">
        <v>1347</v>
      </c>
      <c r="I36" s="5">
        <v>7503</v>
      </c>
      <c r="J36" s="5" t="s">
        <v>29</v>
      </c>
      <c r="K36" s="5" t="s">
        <v>1273</v>
      </c>
    </row>
    <row r="37" spans="1:11" x14ac:dyDescent="0.25">
      <c r="A37" s="6" t="s">
        <v>85</v>
      </c>
      <c r="B37" s="6" t="s">
        <v>1348</v>
      </c>
      <c r="C37" s="6" t="s">
        <v>62</v>
      </c>
      <c r="D37" s="6" t="s">
        <v>1270</v>
      </c>
      <c r="E37" s="6" t="s">
        <v>63</v>
      </c>
      <c r="F37" s="6" t="s">
        <v>59</v>
      </c>
      <c r="G37" s="6" t="s">
        <v>1271</v>
      </c>
      <c r="H37" s="6" t="s">
        <v>1320</v>
      </c>
      <c r="I37" s="6">
        <v>3413</v>
      </c>
      <c r="J37" s="6" t="s">
        <v>16</v>
      </c>
      <c r="K37" s="6" t="s">
        <v>1262</v>
      </c>
    </row>
    <row r="38" spans="1:11" x14ac:dyDescent="0.25">
      <c r="A38" s="5" t="s">
        <v>86</v>
      </c>
      <c r="B38" s="5" t="s">
        <v>1349</v>
      </c>
      <c r="C38" s="5" t="s">
        <v>1259</v>
      </c>
      <c r="D38" s="5" t="s">
        <v>26</v>
      </c>
      <c r="E38" s="5" t="s">
        <v>63</v>
      </c>
      <c r="F38" s="5" t="s">
        <v>59</v>
      </c>
      <c r="G38" s="5" t="s">
        <v>1277</v>
      </c>
      <c r="H38" s="5" t="s">
        <v>1308</v>
      </c>
      <c r="I38" s="5">
        <v>2705</v>
      </c>
      <c r="J38" s="5" t="s">
        <v>45</v>
      </c>
      <c r="K38" s="5" t="s">
        <v>17</v>
      </c>
    </row>
    <row r="39" spans="1:11" x14ac:dyDescent="0.25">
      <c r="A39" s="6" t="s">
        <v>87</v>
      </c>
      <c r="B39" s="6" t="s">
        <v>1350</v>
      </c>
      <c r="C39" s="6" t="s">
        <v>48</v>
      </c>
      <c r="D39" s="6" t="s">
        <v>36</v>
      </c>
      <c r="E39" s="6" t="s">
        <v>66</v>
      </c>
      <c r="F39" s="6" t="s">
        <v>67</v>
      </c>
      <c r="G39" s="6" t="s">
        <v>1315</v>
      </c>
      <c r="H39" s="6" t="s">
        <v>1317</v>
      </c>
      <c r="I39" s="6">
        <v>1511</v>
      </c>
      <c r="J39" s="6" t="s">
        <v>16</v>
      </c>
      <c r="K39" s="6" t="s">
        <v>17</v>
      </c>
    </row>
    <row r="40" spans="1:11" x14ac:dyDescent="0.25">
      <c r="A40" s="5" t="s">
        <v>88</v>
      </c>
      <c r="B40" s="5" t="s">
        <v>1351</v>
      </c>
      <c r="C40" s="5" t="s">
        <v>53</v>
      </c>
      <c r="D40" s="5" t="s">
        <v>1255</v>
      </c>
      <c r="E40" s="5" t="s">
        <v>27</v>
      </c>
      <c r="F40" s="5" t="s">
        <v>28</v>
      </c>
      <c r="G40" s="5" t="s">
        <v>1301</v>
      </c>
      <c r="H40" s="5" t="s">
        <v>1266</v>
      </c>
      <c r="I40" s="5">
        <v>9343</v>
      </c>
      <c r="J40" s="5" t="s">
        <v>29</v>
      </c>
      <c r="K40" s="5" t="s">
        <v>17</v>
      </c>
    </row>
    <row r="41" spans="1:11" x14ac:dyDescent="0.25">
      <c r="A41" s="6" t="s">
        <v>89</v>
      </c>
      <c r="B41" s="6" t="s">
        <v>1352</v>
      </c>
      <c r="C41" s="6" t="s">
        <v>62</v>
      </c>
      <c r="D41" s="6" t="s">
        <v>26</v>
      </c>
      <c r="E41" s="6" t="s">
        <v>1353</v>
      </c>
      <c r="F41" s="6" t="s">
        <v>59</v>
      </c>
      <c r="G41" s="6" t="s">
        <v>1328</v>
      </c>
      <c r="H41" s="6" t="s">
        <v>1320</v>
      </c>
      <c r="I41" s="6">
        <v>2999</v>
      </c>
      <c r="J41" s="6" t="s">
        <v>22</v>
      </c>
      <c r="K41" s="6" t="s">
        <v>1262</v>
      </c>
    </row>
    <row r="42" spans="1:11" x14ac:dyDescent="0.25">
      <c r="A42" s="5" t="s">
        <v>90</v>
      </c>
      <c r="B42" s="5" t="s">
        <v>1354</v>
      </c>
      <c r="C42" s="5" t="s">
        <v>1288</v>
      </c>
      <c r="D42" s="5" t="s">
        <v>1270</v>
      </c>
      <c r="E42" s="5" t="s">
        <v>14</v>
      </c>
      <c r="F42" s="5" t="s">
        <v>15</v>
      </c>
      <c r="G42" s="5" t="s">
        <v>1331</v>
      </c>
      <c r="H42" s="5" t="s">
        <v>1257</v>
      </c>
      <c r="I42" s="5">
        <v>7656</v>
      </c>
      <c r="J42" s="5" t="s">
        <v>29</v>
      </c>
      <c r="K42" s="5" t="s">
        <v>1262</v>
      </c>
    </row>
    <row r="43" spans="1:11" x14ac:dyDescent="0.25">
      <c r="A43" s="6" t="s">
        <v>91</v>
      </c>
      <c r="B43" s="6" t="s">
        <v>1355</v>
      </c>
      <c r="C43" s="6" t="s">
        <v>73</v>
      </c>
      <c r="D43" s="6" t="s">
        <v>1296</v>
      </c>
      <c r="E43" s="6" t="s">
        <v>27</v>
      </c>
      <c r="F43" s="6" t="s">
        <v>28</v>
      </c>
      <c r="G43" s="6" t="s">
        <v>1297</v>
      </c>
      <c r="H43" s="6" t="s">
        <v>1356</v>
      </c>
      <c r="I43" s="6">
        <v>9033</v>
      </c>
      <c r="J43" s="6" t="s">
        <v>16</v>
      </c>
      <c r="K43" s="6" t="s">
        <v>1286</v>
      </c>
    </row>
    <row r="44" spans="1:11" x14ac:dyDescent="0.25">
      <c r="A44" s="5" t="s">
        <v>92</v>
      </c>
      <c r="B44" s="5" t="s">
        <v>1357</v>
      </c>
      <c r="C44" s="5" t="s">
        <v>53</v>
      </c>
      <c r="D44" s="5" t="s">
        <v>36</v>
      </c>
      <c r="E44" s="5" t="s">
        <v>20</v>
      </c>
      <c r="F44" s="5" t="s">
        <v>21</v>
      </c>
      <c r="G44" s="5" t="s">
        <v>1271</v>
      </c>
      <c r="H44" s="5" t="s">
        <v>1261</v>
      </c>
      <c r="I44" s="5">
        <v>5453</v>
      </c>
      <c r="J44" s="5" t="s">
        <v>16</v>
      </c>
      <c r="K44" s="5" t="s">
        <v>1262</v>
      </c>
    </row>
    <row r="45" spans="1:11" x14ac:dyDescent="0.25">
      <c r="A45" s="6" t="s">
        <v>93</v>
      </c>
      <c r="B45" s="6" t="s">
        <v>1358</v>
      </c>
      <c r="C45" s="6" t="s">
        <v>1288</v>
      </c>
      <c r="D45" s="6" t="s">
        <v>1255</v>
      </c>
      <c r="E45" s="6" t="s">
        <v>49</v>
      </c>
      <c r="F45" s="6" t="s">
        <v>50</v>
      </c>
      <c r="G45" s="6" t="s">
        <v>1313</v>
      </c>
      <c r="H45" s="6" t="s">
        <v>1359</v>
      </c>
      <c r="I45" s="6">
        <v>56812</v>
      </c>
      <c r="J45" s="6" t="s">
        <v>45</v>
      </c>
      <c r="K45" s="6" t="s">
        <v>1273</v>
      </c>
    </row>
    <row r="46" spans="1:11" x14ac:dyDescent="0.25">
      <c r="A46" s="5" t="s">
        <v>94</v>
      </c>
      <c r="B46" s="5" t="s">
        <v>1360</v>
      </c>
      <c r="C46" s="5" t="s">
        <v>1264</v>
      </c>
      <c r="D46" s="5" t="s">
        <v>1270</v>
      </c>
      <c r="E46" s="5" t="s">
        <v>1361</v>
      </c>
      <c r="F46" s="5" t="s">
        <v>42</v>
      </c>
      <c r="G46" s="5" t="s">
        <v>1256</v>
      </c>
      <c r="H46" s="5" t="s">
        <v>1325</v>
      </c>
      <c r="I46" s="5">
        <v>16935</v>
      </c>
      <c r="J46" s="5" t="s">
        <v>22</v>
      </c>
      <c r="K46" s="5"/>
    </row>
    <row r="47" spans="1:11" x14ac:dyDescent="0.25">
      <c r="A47" s="6" t="s">
        <v>95</v>
      </c>
      <c r="B47" s="6" t="s">
        <v>1362</v>
      </c>
      <c r="C47" s="6" t="s">
        <v>73</v>
      </c>
      <c r="D47" s="6" t="s">
        <v>1270</v>
      </c>
      <c r="E47" s="6" t="s">
        <v>20</v>
      </c>
      <c r="F47" s="6" t="s">
        <v>21</v>
      </c>
      <c r="G47" s="6" t="s">
        <v>1337</v>
      </c>
      <c r="H47" s="6" t="s">
        <v>1261</v>
      </c>
      <c r="I47" s="6">
        <v>5585</v>
      </c>
      <c r="J47" s="6" t="s">
        <v>29</v>
      </c>
      <c r="K47" s="6" t="s">
        <v>1273</v>
      </c>
    </row>
    <row r="48" spans="1:11" x14ac:dyDescent="0.25">
      <c r="A48" s="5" t="s">
        <v>96</v>
      </c>
      <c r="B48" s="5" t="s">
        <v>1363</v>
      </c>
      <c r="C48" s="5" t="s">
        <v>62</v>
      </c>
      <c r="D48" s="5" t="s">
        <v>1270</v>
      </c>
      <c r="E48" s="5" t="s">
        <v>41</v>
      </c>
      <c r="F48" s="5" t="s">
        <v>42</v>
      </c>
      <c r="G48" s="5" t="s">
        <v>1364</v>
      </c>
      <c r="H48" s="5" t="s">
        <v>1325</v>
      </c>
      <c r="I48" s="5">
        <v>19913</v>
      </c>
      <c r="J48" s="5" t="s">
        <v>45</v>
      </c>
      <c r="K48" s="5" t="s">
        <v>17</v>
      </c>
    </row>
    <row r="49" spans="1:11" x14ac:dyDescent="0.25">
      <c r="A49" s="6" t="s">
        <v>97</v>
      </c>
      <c r="B49" s="6" t="s">
        <v>1365</v>
      </c>
      <c r="C49" s="6" t="s">
        <v>1288</v>
      </c>
      <c r="D49" s="6" t="s">
        <v>1296</v>
      </c>
      <c r="E49" s="6" t="s">
        <v>41</v>
      </c>
      <c r="F49" s="6" t="s">
        <v>42</v>
      </c>
      <c r="G49" s="6" t="s">
        <v>1310</v>
      </c>
      <c r="H49" s="6" t="s">
        <v>1311</v>
      </c>
      <c r="I49" s="6">
        <v>20306</v>
      </c>
      <c r="J49" s="6" t="s">
        <v>45</v>
      </c>
      <c r="K49" s="6" t="s">
        <v>1262</v>
      </c>
    </row>
    <row r="50" spans="1:11" x14ac:dyDescent="0.25">
      <c r="A50" s="5" t="s">
        <v>98</v>
      </c>
      <c r="B50" s="5" t="s">
        <v>1366</v>
      </c>
      <c r="C50" s="5" t="s">
        <v>1254</v>
      </c>
      <c r="D50" s="5" t="s">
        <v>26</v>
      </c>
      <c r="E50" s="5" t="s">
        <v>37</v>
      </c>
      <c r="F50" s="5" t="s">
        <v>38</v>
      </c>
      <c r="G50" s="5" t="s">
        <v>1301</v>
      </c>
      <c r="H50" s="5" t="s">
        <v>1367</v>
      </c>
      <c r="I50" s="5">
        <v>43704</v>
      </c>
      <c r="J50" s="5" t="s">
        <v>16</v>
      </c>
      <c r="K50" s="5" t="s">
        <v>46</v>
      </c>
    </row>
    <row r="51" spans="1:11" x14ac:dyDescent="0.25">
      <c r="A51" s="6" t="s">
        <v>89</v>
      </c>
      <c r="B51" s="6" t="s">
        <v>1368</v>
      </c>
      <c r="C51" s="6" t="s">
        <v>1288</v>
      </c>
      <c r="D51" s="6" t="s">
        <v>1283</v>
      </c>
      <c r="E51" s="6" t="s">
        <v>1319</v>
      </c>
      <c r="F51" s="6" t="s">
        <v>59</v>
      </c>
      <c r="G51" s="6" t="s">
        <v>1315</v>
      </c>
      <c r="H51" s="6" t="s">
        <v>1308</v>
      </c>
      <c r="I51" s="6">
        <v>3145</v>
      </c>
      <c r="J51" s="6" t="s">
        <v>1267</v>
      </c>
      <c r="K51" s="6" t="s">
        <v>1286</v>
      </c>
    </row>
    <row r="52" spans="1:11" x14ac:dyDescent="0.25">
      <c r="A52" s="5" t="s">
        <v>99</v>
      </c>
      <c r="B52" s="5" t="s">
        <v>1369</v>
      </c>
      <c r="C52" s="5" t="s">
        <v>1259</v>
      </c>
      <c r="D52" s="5" t="s">
        <v>1283</v>
      </c>
      <c r="E52" s="5" t="s">
        <v>14</v>
      </c>
      <c r="F52" s="5" t="s">
        <v>15</v>
      </c>
      <c r="G52" s="5" t="s">
        <v>1280</v>
      </c>
      <c r="H52" s="5" t="s">
        <v>1257</v>
      </c>
      <c r="I52" s="5">
        <v>8576</v>
      </c>
      <c r="J52" s="5" t="s">
        <v>29</v>
      </c>
      <c r="K52" s="5" t="s">
        <v>17</v>
      </c>
    </row>
    <row r="53" spans="1:11" x14ac:dyDescent="0.25">
      <c r="A53" s="6" t="s">
        <v>100</v>
      </c>
      <c r="B53" s="6" t="s">
        <v>1370</v>
      </c>
      <c r="C53" s="6" t="s">
        <v>1288</v>
      </c>
      <c r="D53" s="6" t="s">
        <v>1270</v>
      </c>
      <c r="E53" s="6" t="s">
        <v>49</v>
      </c>
      <c r="F53" s="6" t="s">
        <v>50</v>
      </c>
      <c r="G53" s="6" t="s">
        <v>1297</v>
      </c>
      <c r="H53" s="6" t="s">
        <v>1359</v>
      </c>
      <c r="I53" s="6">
        <v>45542</v>
      </c>
      <c r="J53" s="6" t="s">
        <v>22</v>
      </c>
      <c r="K53" s="6" t="s">
        <v>1262</v>
      </c>
    </row>
    <row r="54" spans="1:11" x14ac:dyDescent="0.25">
      <c r="A54" s="5" t="s">
        <v>101</v>
      </c>
      <c r="B54" s="5" t="s">
        <v>1371</v>
      </c>
      <c r="C54" s="5" t="s">
        <v>1288</v>
      </c>
      <c r="D54" s="5" t="s">
        <v>1296</v>
      </c>
      <c r="E54" s="5" t="s">
        <v>14</v>
      </c>
      <c r="F54" s="5" t="s">
        <v>15</v>
      </c>
      <c r="G54" s="5" t="s">
        <v>1265</v>
      </c>
      <c r="H54" s="5" t="s">
        <v>1257</v>
      </c>
      <c r="I54" s="5">
        <v>7524</v>
      </c>
      <c r="J54" s="5" t="s">
        <v>16</v>
      </c>
      <c r="K54" s="5" t="s">
        <v>46</v>
      </c>
    </row>
    <row r="55" spans="1:11" x14ac:dyDescent="0.25">
      <c r="A55" s="6" t="s">
        <v>102</v>
      </c>
      <c r="B55" s="6" t="s">
        <v>1372</v>
      </c>
      <c r="C55" s="6" t="s">
        <v>1288</v>
      </c>
      <c r="D55" s="6" t="s">
        <v>1270</v>
      </c>
      <c r="E55" s="6" t="s">
        <v>49</v>
      </c>
      <c r="F55" s="6" t="s">
        <v>50</v>
      </c>
      <c r="G55" s="6" t="s">
        <v>1284</v>
      </c>
      <c r="H55" s="6" t="s">
        <v>1291</v>
      </c>
      <c r="I55" s="6">
        <v>56214</v>
      </c>
      <c r="J55" s="6" t="s">
        <v>1267</v>
      </c>
      <c r="K55" s="6" t="s">
        <v>17</v>
      </c>
    </row>
    <row r="56" spans="1:11" x14ac:dyDescent="0.25">
      <c r="A56" s="5" t="s">
        <v>103</v>
      </c>
      <c r="B56" s="5" t="s">
        <v>1373</v>
      </c>
      <c r="C56" s="5" t="s">
        <v>73</v>
      </c>
      <c r="D56" s="5" t="s">
        <v>1283</v>
      </c>
      <c r="E56" s="5" t="s">
        <v>1374</v>
      </c>
      <c r="F56" s="5" t="s">
        <v>50</v>
      </c>
      <c r="G56" s="5" t="s">
        <v>1260</v>
      </c>
      <c r="H56" s="5" t="s">
        <v>1291</v>
      </c>
      <c r="I56" s="5">
        <v>50799</v>
      </c>
      <c r="J56" s="5" t="s">
        <v>45</v>
      </c>
      <c r="K56" s="5" t="s">
        <v>1286</v>
      </c>
    </row>
    <row r="57" spans="1:11" x14ac:dyDescent="0.25">
      <c r="A57" s="6" t="s">
        <v>104</v>
      </c>
      <c r="B57" s="6" t="s">
        <v>1375</v>
      </c>
      <c r="C57" s="6" t="s">
        <v>73</v>
      </c>
      <c r="D57" s="6" t="s">
        <v>1296</v>
      </c>
      <c r="E57" s="6" t="s">
        <v>20</v>
      </c>
      <c r="F57" s="6" t="s">
        <v>21</v>
      </c>
      <c r="G57" s="6" t="s">
        <v>1376</v>
      </c>
      <c r="H57" s="6" t="s">
        <v>1377</v>
      </c>
      <c r="I57" s="6">
        <v>5667</v>
      </c>
      <c r="J57" s="6" t="s">
        <v>29</v>
      </c>
      <c r="K57" s="6" t="s">
        <v>1273</v>
      </c>
    </row>
    <row r="58" spans="1:11" x14ac:dyDescent="0.25">
      <c r="A58" s="5" t="s">
        <v>105</v>
      </c>
      <c r="B58" s="5" t="s">
        <v>1378</v>
      </c>
      <c r="C58" s="5" t="s">
        <v>48</v>
      </c>
      <c r="D58" s="5" t="s">
        <v>36</v>
      </c>
      <c r="E58" s="5" t="s">
        <v>66</v>
      </c>
      <c r="F58" s="5" t="s">
        <v>67</v>
      </c>
      <c r="G58" s="5" t="s">
        <v>1331</v>
      </c>
      <c r="H58" s="5" t="s">
        <v>1317</v>
      </c>
      <c r="I58" s="5">
        <v>1948</v>
      </c>
      <c r="J58" s="5" t="s">
        <v>45</v>
      </c>
      <c r="K58" s="5" t="s">
        <v>17</v>
      </c>
    </row>
    <row r="59" spans="1:11" x14ac:dyDescent="0.25">
      <c r="A59" s="6" t="s">
        <v>106</v>
      </c>
      <c r="B59" s="6" t="s">
        <v>1379</v>
      </c>
      <c r="C59" s="6" t="s">
        <v>48</v>
      </c>
      <c r="D59" s="6" t="s">
        <v>1270</v>
      </c>
      <c r="E59" s="6" t="s">
        <v>49</v>
      </c>
      <c r="F59" s="6" t="s">
        <v>50</v>
      </c>
      <c r="G59" s="6" t="s">
        <v>1380</v>
      </c>
      <c r="H59" s="6" t="s">
        <v>1291</v>
      </c>
      <c r="I59" s="6">
        <v>48377</v>
      </c>
      <c r="J59" s="6" t="s">
        <v>1267</v>
      </c>
      <c r="K59" s="6" t="s">
        <v>17</v>
      </c>
    </row>
    <row r="60" spans="1:11" x14ac:dyDescent="0.25">
      <c r="A60" s="5" t="s">
        <v>107</v>
      </c>
      <c r="B60" s="5" t="s">
        <v>1381</v>
      </c>
      <c r="C60" s="5" t="s">
        <v>1269</v>
      </c>
      <c r="D60" s="5" t="s">
        <v>1275</v>
      </c>
      <c r="E60" s="5" t="s">
        <v>49</v>
      </c>
      <c r="F60" s="5" t="s">
        <v>50</v>
      </c>
      <c r="G60" s="5" t="s">
        <v>1280</v>
      </c>
      <c r="H60" s="5" t="s">
        <v>1291</v>
      </c>
      <c r="I60" s="5">
        <v>46534</v>
      </c>
      <c r="J60" s="5" t="s">
        <v>29</v>
      </c>
      <c r="K60" s="5" t="s">
        <v>17</v>
      </c>
    </row>
    <row r="61" spans="1:11" x14ac:dyDescent="0.25">
      <c r="A61" s="6" t="s">
        <v>108</v>
      </c>
      <c r="B61" s="6" t="s">
        <v>1382</v>
      </c>
      <c r="C61" s="6" t="s">
        <v>53</v>
      </c>
      <c r="D61" s="6" t="s">
        <v>1270</v>
      </c>
      <c r="E61" s="6" t="s">
        <v>1383</v>
      </c>
      <c r="F61" s="6" t="s">
        <v>42</v>
      </c>
      <c r="G61" s="6" t="s">
        <v>1260</v>
      </c>
      <c r="H61" s="6" t="s">
        <v>1311</v>
      </c>
      <c r="I61" s="6">
        <v>17023</v>
      </c>
      <c r="J61" s="6" t="s">
        <v>45</v>
      </c>
      <c r="K61" s="6" t="s">
        <v>17</v>
      </c>
    </row>
    <row r="62" spans="1:11" x14ac:dyDescent="0.25">
      <c r="A62" s="5" t="s">
        <v>109</v>
      </c>
      <c r="B62" s="5" t="s">
        <v>1384</v>
      </c>
      <c r="C62" s="5" t="s">
        <v>53</v>
      </c>
      <c r="D62" s="5" t="s">
        <v>1275</v>
      </c>
      <c r="E62" s="5" t="s">
        <v>14</v>
      </c>
      <c r="F62" s="5" t="s">
        <v>15</v>
      </c>
      <c r="G62" s="5" t="s">
        <v>1297</v>
      </c>
      <c r="H62" s="5" t="s">
        <v>1257</v>
      </c>
      <c r="I62" s="5">
        <v>8504</v>
      </c>
      <c r="J62" s="5" t="s">
        <v>29</v>
      </c>
      <c r="K62" s="5" t="s">
        <v>1262</v>
      </c>
    </row>
    <row r="63" spans="1:11" x14ac:dyDescent="0.25">
      <c r="A63" s="6" t="s">
        <v>110</v>
      </c>
      <c r="B63" s="6" t="s">
        <v>1385</v>
      </c>
      <c r="C63" s="6" t="s">
        <v>1259</v>
      </c>
      <c r="D63" s="6" t="s">
        <v>1283</v>
      </c>
      <c r="E63" s="6" t="s">
        <v>37</v>
      </c>
      <c r="F63" s="6" t="s">
        <v>38</v>
      </c>
      <c r="G63" s="6" t="s">
        <v>1331</v>
      </c>
      <c r="H63" s="6" t="s">
        <v>1281</v>
      </c>
      <c r="I63" s="6">
        <v>38989</v>
      </c>
      <c r="J63" s="6" t="s">
        <v>45</v>
      </c>
      <c r="K63" s="6" t="s">
        <v>1262</v>
      </c>
    </row>
    <row r="64" spans="1:11" x14ac:dyDescent="0.25">
      <c r="A64" s="5" t="s">
        <v>111</v>
      </c>
      <c r="B64" s="5" t="s">
        <v>1386</v>
      </c>
      <c r="C64" s="5" t="s">
        <v>48</v>
      </c>
      <c r="D64" s="5" t="s">
        <v>26</v>
      </c>
      <c r="E64" s="5" t="s">
        <v>49</v>
      </c>
      <c r="F64" s="5" t="s">
        <v>50</v>
      </c>
      <c r="G64" s="5" t="s">
        <v>1297</v>
      </c>
      <c r="H64" s="5" t="s">
        <v>1304</v>
      </c>
      <c r="I64" s="5">
        <v>50367</v>
      </c>
      <c r="J64" s="5" t="s">
        <v>22</v>
      </c>
      <c r="K64" s="5" t="s">
        <v>1273</v>
      </c>
    </row>
    <row r="65" spans="1:11" x14ac:dyDescent="0.25">
      <c r="A65" s="6" t="s">
        <v>112</v>
      </c>
      <c r="B65" s="6" t="s">
        <v>1387</v>
      </c>
      <c r="C65" s="6" t="s">
        <v>73</v>
      </c>
      <c r="D65" s="6" t="s">
        <v>1283</v>
      </c>
      <c r="E65" s="6" t="s">
        <v>37</v>
      </c>
      <c r="F65" s="6" t="s">
        <v>38</v>
      </c>
      <c r="G65" s="6" t="s">
        <v>1376</v>
      </c>
      <c r="H65" s="6" t="s">
        <v>1342</v>
      </c>
      <c r="I65" s="6">
        <v>37428</v>
      </c>
      <c r="J65" s="6" t="s">
        <v>45</v>
      </c>
      <c r="K65" s="6" t="s">
        <v>46</v>
      </c>
    </row>
    <row r="66" spans="1:11" x14ac:dyDescent="0.25">
      <c r="A66" s="5" t="s">
        <v>113</v>
      </c>
      <c r="B66" s="5" t="s">
        <v>1388</v>
      </c>
      <c r="C66" s="5" t="s">
        <v>53</v>
      </c>
      <c r="D66" s="5" t="s">
        <v>1275</v>
      </c>
      <c r="E66" s="5" t="s">
        <v>1389</v>
      </c>
      <c r="F66" s="5" t="s">
        <v>34</v>
      </c>
      <c r="G66" s="5" t="s">
        <v>1303</v>
      </c>
      <c r="H66" s="5" t="s">
        <v>1278</v>
      </c>
      <c r="I66" s="5">
        <v>22490</v>
      </c>
      <c r="J66" s="5" t="s">
        <v>45</v>
      </c>
      <c r="K66" s="5" t="s">
        <v>1273</v>
      </c>
    </row>
    <row r="67" spans="1:11" x14ac:dyDescent="0.25">
      <c r="A67" s="6" t="s">
        <v>114</v>
      </c>
      <c r="B67" s="6" t="s">
        <v>1390</v>
      </c>
      <c r="C67" s="6" t="s">
        <v>1269</v>
      </c>
      <c r="D67" s="6" t="s">
        <v>1283</v>
      </c>
      <c r="E67" s="6" t="s">
        <v>63</v>
      </c>
      <c r="F67" s="6" t="s">
        <v>59</v>
      </c>
      <c r="G67" s="6" t="s">
        <v>1303</v>
      </c>
      <c r="H67" s="6" t="s">
        <v>1308</v>
      </c>
      <c r="I67" s="6">
        <v>3006</v>
      </c>
      <c r="J67" s="6" t="s">
        <v>29</v>
      </c>
      <c r="K67" s="6" t="s">
        <v>17</v>
      </c>
    </row>
    <row r="68" spans="1:11" x14ac:dyDescent="0.25">
      <c r="A68" s="5" t="s">
        <v>115</v>
      </c>
      <c r="B68" s="5" t="s">
        <v>1391</v>
      </c>
      <c r="C68" s="5" t="s">
        <v>48</v>
      </c>
      <c r="D68" s="5" t="s">
        <v>1275</v>
      </c>
      <c r="E68" s="5" t="s">
        <v>49</v>
      </c>
      <c r="F68" s="5" t="s">
        <v>50</v>
      </c>
      <c r="G68" s="5" t="s">
        <v>1260</v>
      </c>
      <c r="H68" s="5" t="s">
        <v>1291</v>
      </c>
      <c r="I68" s="5">
        <v>57988</v>
      </c>
      <c r="J68" s="5" t="s">
        <v>16</v>
      </c>
      <c r="K68" s="5" t="s">
        <v>1273</v>
      </c>
    </row>
    <row r="69" spans="1:11" x14ac:dyDescent="0.25">
      <c r="A69" s="6" t="s">
        <v>116</v>
      </c>
      <c r="B69" s="6" t="s">
        <v>1392</v>
      </c>
      <c r="C69" s="6" t="s">
        <v>1254</v>
      </c>
      <c r="D69" s="6" t="s">
        <v>1275</v>
      </c>
      <c r="E69" s="6" t="s">
        <v>20</v>
      </c>
      <c r="F69" s="6" t="s">
        <v>21</v>
      </c>
      <c r="G69" s="6" t="s">
        <v>1284</v>
      </c>
      <c r="H69" s="6" t="s">
        <v>1377</v>
      </c>
      <c r="I69" s="6">
        <v>6394</v>
      </c>
      <c r="J69" s="6" t="s">
        <v>45</v>
      </c>
      <c r="K69" s="6" t="s">
        <v>1262</v>
      </c>
    </row>
    <row r="70" spans="1:11" x14ac:dyDescent="0.25">
      <c r="A70" s="5" t="s">
        <v>117</v>
      </c>
      <c r="B70" s="5" t="s">
        <v>1393</v>
      </c>
      <c r="C70" s="5" t="s">
        <v>73</v>
      </c>
      <c r="D70" s="5" t="s">
        <v>26</v>
      </c>
      <c r="E70" s="5" t="s">
        <v>66</v>
      </c>
      <c r="F70" s="5" t="s">
        <v>67</v>
      </c>
      <c r="G70" s="5" t="s">
        <v>1337</v>
      </c>
      <c r="H70" s="5" t="s">
        <v>1317</v>
      </c>
      <c r="I70" s="5">
        <v>1740</v>
      </c>
      <c r="J70" s="5" t="s">
        <v>1267</v>
      </c>
      <c r="K70" s="5" t="s">
        <v>17</v>
      </c>
    </row>
    <row r="71" spans="1:11" x14ac:dyDescent="0.25">
      <c r="A71" s="6" t="s">
        <v>118</v>
      </c>
      <c r="B71" s="6" t="s">
        <v>1350</v>
      </c>
      <c r="C71" s="6" t="s">
        <v>73</v>
      </c>
      <c r="D71" s="6"/>
      <c r="E71" s="6" t="s">
        <v>1394</v>
      </c>
      <c r="F71" s="6" t="s">
        <v>34</v>
      </c>
      <c r="G71" s="6" t="s">
        <v>1380</v>
      </c>
      <c r="H71" s="6" t="s">
        <v>1395</v>
      </c>
      <c r="I71" s="6">
        <v>27966</v>
      </c>
      <c r="J71" s="6" t="s">
        <v>45</v>
      </c>
      <c r="K71" s="6" t="s">
        <v>46</v>
      </c>
    </row>
    <row r="72" spans="1:11" x14ac:dyDescent="0.25">
      <c r="A72" s="5" t="s">
        <v>119</v>
      </c>
      <c r="B72" s="5" t="s">
        <v>1396</v>
      </c>
      <c r="C72" s="5" t="s">
        <v>1259</v>
      </c>
      <c r="D72" s="5" t="s">
        <v>1296</v>
      </c>
      <c r="E72" s="5" t="s">
        <v>37</v>
      </c>
      <c r="F72" s="5" t="s">
        <v>38</v>
      </c>
      <c r="G72" s="5" t="s">
        <v>1364</v>
      </c>
      <c r="H72" s="5" t="s">
        <v>1281</v>
      </c>
      <c r="I72" s="5">
        <v>43496</v>
      </c>
      <c r="J72" s="5" t="s">
        <v>29</v>
      </c>
      <c r="K72" s="5" t="s">
        <v>46</v>
      </c>
    </row>
    <row r="73" spans="1:11" x14ac:dyDescent="0.25">
      <c r="A73" s="6" t="s">
        <v>120</v>
      </c>
      <c r="B73" s="6" t="s">
        <v>1397</v>
      </c>
      <c r="C73" s="6" t="s">
        <v>62</v>
      </c>
      <c r="D73" s="6" t="s">
        <v>1296</v>
      </c>
      <c r="E73" s="6" t="s">
        <v>37</v>
      </c>
      <c r="F73" s="6" t="s">
        <v>38</v>
      </c>
      <c r="G73" s="6" t="s">
        <v>1398</v>
      </c>
      <c r="H73" s="6" t="s">
        <v>1342</v>
      </c>
      <c r="I73" s="6">
        <v>43601</v>
      </c>
      <c r="J73" s="6" t="s">
        <v>16</v>
      </c>
      <c r="K73" s="6" t="s">
        <v>1273</v>
      </c>
    </row>
    <row r="74" spans="1:11" x14ac:dyDescent="0.25">
      <c r="A74" s="5" t="s">
        <v>121</v>
      </c>
      <c r="B74" s="5" t="s">
        <v>1399</v>
      </c>
      <c r="C74" s="5" t="s">
        <v>1259</v>
      </c>
      <c r="D74" s="5" t="s">
        <v>1283</v>
      </c>
      <c r="E74" s="5" t="s">
        <v>27</v>
      </c>
      <c r="F74" s="5" t="s">
        <v>28</v>
      </c>
      <c r="G74" s="5" t="s">
        <v>1364</v>
      </c>
      <c r="H74" s="5" t="s">
        <v>1266</v>
      </c>
      <c r="I74" s="5">
        <v>9284</v>
      </c>
      <c r="J74" s="5" t="s">
        <v>45</v>
      </c>
      <c r="K74" s="5" t="s">
        <v>1273</v>
      </c>
    </row>
    <row r="75" spans="1:11" x14ac:dyDescent="0.25">
      <c r="A75" s="6" t="s">
        <v>122</v>
      </c>
      <c r="B75" s="6" t="s">
        <v>1400</v>
      </c>
      <c r="C75" s="6" t="s">
        <v>62</v>
      </c>
      <c r="D75" s="6" t="s">
        <v>1255</v>
      </c>
      <c r="E75" s="6" t="s">
        <v>27</v>
      </c>
      <c r="F75" s="6" t="s">
        <v>28</v>
      </c>
      <c r="G75" s="6" t="s">
        <v>1284</v>
      </c>
      <c r="H75" s="6" t="s">
        <v>1266</v>
      </c>
      <c r="I75" s="6">
        <v>9260</v>
      </c>
      <c r="J75" s="6" t="s">
        <v>1267</v>
      </c>
      <c r="K75" s="6" t="s">
        <v>1286</v>
      </c>
    </row>
    <row r="76" spans="1:11" x14ac:dyDescent="0.25">
      <c r="A76" s="5" t="s">
        <v>123</v>
      </c>
      <c r="B76" s="5" t="s">
        <v>1253</v>
      </c>
      <c r="C76" s="5" t="s">
        <v>1269</v>
      </c>
      <c r="D76" s="5" t="s">
        <v>36</v>
      </c>
      <c r="E76" s="5" t="s">
        <v>1401</v>
      </c>
      <c r="F76" s="5" t="s">
        <v>67</v>
      </c>
      <c r="G76" s="5" t="s">
        <v>1301</v>
      </c>
      <c r="H76" s="5" t="s">
        <v>1317</v>
      </c>
      <c r="I76" s="5">
        <v>1590</v>
      </c>
      <c r="J76" s="5" t="s">
        <v>45</v>
      </c>
      <c r="K76" s="5" t="s">
        <v>1286</v>
      </c>
    </row>
    <row r="77" spans="1:11" x14ac:dyDescent="0.25">
      <c r="A77" s="6" t="s">
        <v>124</v>
      </c>
      <c r="B77" s="6" t="s">
        <v>1253</v>
      </c>
      <c r="C77" s="6" t="s">
        <v>1288</v>
      </c>
      <c r="D77" s="6" t="s">
        <v>1296</v>
      </c>
      <c r="E77" s="6" t="s">
        <v>37</v>
      </c>
      <c r="F77" s="6" t="s">
        <v>38</v>
      </c>
      <c r="G77" s="6" t="s">
        <v>1380</v>
      </c>
      <c r="H77" s="6" t="s">
        <v>1342</v>
      </c>
      <c r="I77" s="6">
        <v>41193</v>
      </c>
      <c r="J77" s="6" t="s">
        <v>45</v>
      </c>
      <c r="K77" s="6" t="s">
        <v>1286</v>
      </c>
    </row>
    <row r="78" spans="1:11" x14ac:dyDescent="0.25">
      <c r="A78" s="5" t="s">
        <v>125</v>
      </c>
      <c r="B78" s="5" t="s">
        <v>1402</v>
      </c>
      <c r="C78" s="5" t="s">
        <v>1254</v>
      </c>
      <c r="D78" s="5" t="s">
        <v>1255</v>
      </c>
      <c r="E78" s="5" t="s">
        <v>63</v>
      </c>
      <c r="F78" s="5" t="s">
        <v>59</v>
      </c>
      <c r="G78" s="5" t="s">
        <v>1331</v>
      </c>
      <c r="H78" s="5" t="s">
        <v>1403</v>
      </c>
      <c r="I78" s="5">
        <v>2975</v>
      </c>
      <c r="J78" s="5" t="s">
        <v>1267</v>
      </c>
      <c r="K78" s="5" t="s">
        <v>1262</v>
      </c>
    </row>
    <row r="79" spans="1:11" x14ac:dyDescent="0.25">
      <c r="A79" s="6" t="s">
        <v>126</v>
      </c>
      <c r="B79" s="6" t="s">
        <v>1404</v>
      </c>
      <c r="C79" s="6" t="s">
        <v>48</v>
      </c>
      <c r="D79" s="6" t="s">
        <v>1255</v>
      </c>
      <c r="E79" s="6" t="s">
        <v>63</v>
      </c>
      <c r="F79" s="6" t="s">
        <v>59</v>
      </c>
      <c r="G79" s="6" t="s">
        <v>1405</v>
      </c>
      <c r="H79" s="6" t="s">
        <v>1308</v>
      </c>
      <c r="I79" s="6">
        <v>3314</v>
      </c>
      <c r="J79" s="6" t="s">
        <v>22</v>
      </c>
      <c r="K79" s="6" t="s">
        <v>46</v>
      </c>
    </row>
    <row r="80" spans="1:11" x14ac:dyDescent="0.25">
      <c r="A80" s="5" t="s">
        <v>127</v>
      </c>
      <c r="B80" s="5" t="s">
        <v>1406</v>
      </c>
      <c r="C80" s="5" t="s">
        <v>62</v>
      </c>
      <c r="D80" s="5" t="s">
        <v>1275</v>
      </c>
      <c r="E80" s="5" t="s">
        <v>20</v>
      </c>
      <c r="F80" s="5" t="s">
        <v>21</v>
      </c>
      <c r="G80" s="5" t="s">
        <v>1297</v>
      </c>
      <c r="H80" s="5" t="s">
        <v>1261</v>
      </c>
      <c r="I80" s="5">
        <v>6109</v>
      </c>
      <c r="J80" s="5" t="s">
        <v>16</v>
      </c>
      <c r="K80" s="5" t="s">
        <v>46</v>
      </c>
    </row>
    <row r="81" spans="1:11" x14ac:dyDescent="0.25">
      <c r="A81" s="6" t="s">
        <v>128</v>
      </c>
      <c r="B81" s="6" t="s">
        <v>1407</v>
      </c>
      <c r="C81" s="6" t="s">
        <v>53</v>
      </c>
      <c r="D81" s="6" t="s">
        <v>1255</v>
      </c>
      <c r="E81" s="6" t="s">
        <v>1389</v>
      </c>
      <c r="F81" s="6" t="s">
        <v>34</v>
      </c>
      <c r="G81" s="6" t="s">
        <v>1408</v>
      </c>
      <c r="H81" s="6" t="s">
        <v>1299</v>
      </c>
      <c r="I81" s="6">
        <v>26990</v>
      </c>
      <c r="J81" s="6" t="s">
        <v>29</v>
      </c>
      <c r="K81" s="6" t="s">
        <v>1273</v>
      </c>
    </row>
    <row r="82" spans="1:11" x14ac:dyDescent="0.25">
      <c r="A82" s="5" t="s">
        <v>129</v>
      </c>
      <c r="B82" s="5" t="s">
        <v>1409</v>
      </c>
      <c r="C82" s="5" t="s">
        <v>48</v>
      </c>
      <c r="D82" s="5" t="s">
        <v>1296</v>
      </c>
      <c r="E82" s="5" t="s">
        <v>63</v>
      </c>
      <c r="F82" s="5" t="s">
        <v>59</v>
      </c>
      <c r="G82" s="5" t="s">
        <v>1277</v>
      </c>
      <c r="H82" s="5" t="s">
        <v>1308</v>
      </c>
      <c r="I82" s="5">
        <v>3388</v>
      </c>
      <c r="J82" s="5" t="s">
        <v>45</v>
      </c>
      <c r="K82" s="5" t="s">
        <v>17</v>
      </c>
    </row>
    <row r="83" spans="1:11" x14ac:dyDescent="0.25">
      <c r="A83" s="6" t="s">
        <v>130</v>
      </c>
      <c r="B83" s="6" t="s">
        <v>1410</v>
      </c>
      <c r="C83" s="6" t="s">
        <v>1264</v>
      </c>
      <c r="D83" s="6" t="s">
        <v>26</v>
      </c>
      <c r="E83" s="6" t="s">
        <v>66</v>
      </c>
      <c r="F83" s="6" t="s">
        <v>67</v>
      </c>
      <c r="G83" s="6" t="s">
        <v>1277</v>
      </c>
      <c r="H83" s="6" t="s">
        <v>1317</v>
      </c>
      <c r="I83" s="6">
        <v>1931</v>
      </c>
      <c r="J83" s="6" t="s">
        <v>22</v>
      </c>
      <c r="K83" s="6" t="s">
        <v>1273</v>
      </c>
    </row>
    <row r="84" spans="1:11" x14ac:dyDescent="0.25">
      <c r="A84" s="5" t="s">
        <v>131</v>
      </c>
      <c r="B84" s="5" t="s">
        <v>1371</v>
      </c>
      <c r="C84" s="5" t="s">
        <v>53</v>
      </c>
      <c r="D84" s="5" t="s">
        <v>1255</v>
      </c>
      <c r="E84" s="5" t="s">
        <v>55</v>
      </c>
      <c r="F84" s="5" t="s">
        <v>34</v>
      </c>
      <c r="G84" s="5" t="s">
        <v>1297</v>
      </c>
      <c r="H84" s="5" t="s">
        <v>1278</v>
      </c>
      <c r="I84" s="5">
        <v>27748</v>
      </c>
      <c r="J84" s="5" t="s">
        <v>22</v>
      </c>
      <c r="K84" s="5" t="s">
        <v>1286</v>
      </c>
    </row>
    <row r="85" spans="1:11" x14ac:dyDescent="0.25">
      <c r="A85" s="6" t="s">
        <v>132</v>
      </c>
      <c r="B85" s="6" t="s">
        <v>1411</v>
      </c>
      <c r="C85" s="6" t="s">
        <v>1254</v>
      </c>
      <c r="D85" s="6" t="s">
        <v>1296</v>
      </c>
      <c r="E85" s="6" t="s">
        <v>41</v>
      </c>
      <c r="F85" s="6" t="s">
        <v>42</v>
      </c>
      <c r="G85" s="6" t="s">
        <v>1260</v>
      </c>
      <c r="H85" s="6" t="s">
        <v>1311</v>
      </c>
      <c r="I85" s="6">
        <v>20663</v>
      </c>
      <c r="J85" s="6" t="s">
        <v>29</v>
      </c>
      <c r="K85" s="6" t="s">
        <v>1286</v>
      </c>
    </row>
    <row r="86" spans="1:11" x14ac:dyDescent="0.25">
      <c r="A86" s="5" t="s">
        <v>133</v>
      </c>
      <c r="B86" s="5" t="s">
        <v>1412</v>
      </c>
      <c r="C86" s="5" t="s">
        <v>48</v>
      </c>
      <c r="D86" s="5" t="s">
        <v>1270</v>
      </c>
      <c r="E86" s="5" t="s">
        <v>1330</v>
      </c>
      <c r="F86" s="5" t="s">
        <v>28</v>
      </c>
      <c r="G86" s="5" t="s">
        <v>1307</v>
      </c>
      <c r="H86" s="5" t="s">
        <v>1266</v>
      </c>
      <c r="I86" s="5">
        <v>9301</v>
      </c>
      <c r="J86" s="5" t="s">
        <v>22</v>
      </c>
      <c r="K86" s="5" t="s">
        <v>1262</v>
      </c>
    </row>
    <row r="87" spans="1:11" x14ac:dyDescent="0.25">
      <c r="A87" s="6" t="s">
        <v>134</v>
      </c>
      <c r="B87" s="6" t="s">
        <v>1413</v>
      </c>
      <c r="C87" s="6" t="s">
        <v>53</v>
      </c>
      <c r="D87" s="6" t="s">
        <v>1296</v>
      </c>
      <c r="E87" s="6" t="s">
        <v>55</v>
      </c>
      <c r="F87" s="6" t="s">
        <v>34</v>
      </c>
      <c r="G87" s="6" t="s">
        <v>1284</v>
      </c>
      <c r="H87" s="6" t="s">
        <v>1278</v>
      </c>
      <c r="I87" s="6">
        <v>22780</v>
      </c>
      <c r="J87" s="6" t="s">
        <v>29</v>
      </c>
      <c r="K87" s="6" t="s">
        <v>1273</v>
      </c>
    </row>
    <row r="88" spans="1:11" x14ac:dyDescent="0.25">
      <c r="A88" s="5" t="s">
        <v>135</v>
      </c>
      <c r="B88" s="5" t="s">
        <v>1414</v>
      </c>
      <c r="C88" s="5" t="s">
        <v>1288</v>
      </c>
      <c r="D88" s="5" t="s">
        <v>26</v>
      </c>
      <c r="E88" s="5" t="s">
        <v>37</v>
      </c>
      <c r="F88" s="5" t="s">
        <v>38</v>
      </c>
      <c r="G88" s="5" t="s">
        <v>1315</v>
      </c>
      <c r="H88" s="5" t="s">
        <v>1281</v>
      </c>
      <c r="I88" s="5">
        <v>35758</v>
      </c>
      <c r="J88" s="5" t="s">
        <v>45</v>
      </c>
      <c r="K88" s="5" t="s">
        <v>1273</v>
      </c>
    </row>
    <row r="89" spans="1:11" x14ac:dyDescent="0.25">
      <c r="A89" s="6" t="s">
        <v>136</v>
      </c>
      <c r="B89" s="6" t="s">
        <v>1415</v>
      </c>
      <c r="C89" s="6" t="s">
        <v>1259</v>
      </c>
      <c r="D89" s="6" t="s">
        <v>1275</v>
      </c>
      <c r="E89" s="6" t="s">
        <v>63</v>
      </c>
      <c r="F89" s="6" t="s">
        <v>59</v>
      </c>
      <c r="G89" s="6" t="s">
        <v>1398</v>
      </c>
      <c r="H89" s="6" t="s">
        <v>1320</v>
      </c>
      <c r="I89" s="6">
        <v>3481</v>
      </c>
      <c r="J89" s="6" t="s">
        <v>22</v>
      </c>
      <c r="K89" s="6" t="s">
        <v>1273</v>
      </c>
    </row>
    <row r="90" spans="1:11" x14ac:dyDescent="0.25">
      <c r="A90" s="5" t="s">
        <v>137</v>
      </c>
      <c r="B90" s="5" t="s">
        <v>1302</v>
      </c>
      <c r="C90" s="5" t="s">
        <v>1254</v>
      </c>
      <c r="D90" s="5" t="s">
        <v>1255</v>
      </c>
      <c r="E90" s="5" t="s">
        <v>27</v>
      </c>
      <c r="F90" s="5" t="s">
        <v>28</v>
      </c>
      <c r="G90" s="5" t="s">
        <v>1307</v>
      </c>
      <c r="H90" s="5" t="s">
        <v>1266</v>
      </c>
      <c r="I90" s="5">
        <v>9948</v>
      </c>
      <c r="J90" s="5" t="s">
        <v>1267</v>
      </c>
      <c r="K90" s="5" t="s">
        <v>17</v>
      </c>
    </row>
    <row r="91" spans="1:11" x14ac:dyDescent="0.25">
      <c r="A91" s="6" t="s">
        <v>138</v>
      </c>
      <c r="B91" s="6" t="s">
        <v>1416</v>
      </c>
      <c r="C91" s="6" t="s">
        <v>1264</v>
      </c>
      <c r="D91" s="6" t="s">
        <v>36</v>
      </c>
      <c r="E91" s="6" t="s">
        <v>1383</v>
      </c>
      <c r="F91" s="6" t="s">
        <v>42</v>
      </c>
      <c r="G91" s="6" t="s">
        <v>1284</v>
      </c>
      <c r="H91" s="6" t="s">
        <v>1325</v>
      </c>
      <c r="I91" s="6">
        <v>21936</v>
      </c>
      <c r="J91" s="6" t="s">
        <v>29</v>
      </c>
      <c r="K91" s="6"/>
    </row>
    <row r="92" spans="1:11" x14ac:dyDescent="0.25">
      <c r="A92" s="5" t="s">
        <v>139</v>
      </c>
      <c r="B92" s="5" t="s">
        <v>1417</v>
      </c>
      <c r="C92" s="5" t="s">
        <v>48</v>
      </c>
      <c r="D92" s="5" t="s">
        <v>1275</v>
      </c>
      <c r="E92" s="5" t="s">
        <v>63</v>
      </c>
      <c r="F92" s="5" t="s">
        <v>59</v>
      </c>
      <c r="G92" s="5" t="s">
        <v>1337</v>
      </c>
      <c r="H92" s="5" t="s">
        <v>1403</v>
      </c>
      <c r="I92" s="5">
        <v>3099</v>
      </c>
      <c r="J92" s="5" t="s">
        <v>22</v>
      </c>
      <c r="K92" s="5" t="s">
        <v>46</v>
      </c>
    </row>
    <row r="93" spans="1:11" x14ac:dyDescent="0.25">
      <c r="A93" s="6" t="s">
        <v>140</v>
      </c>
      <c r="B93" s="6" t="s">
        <v>1418</v>
      </c>
      <c r="C93" s="6" t="s">
        <v>1254</v>
      </c>
      <c r="D93" s="6" t="s">
        <v>26</v>
      </c>
      <c r="E93" s="6" t="s">
        <v>49</v>
      </c>
      <c r="F93" s="6" t="s">
        <v>50</v>
      </c>
      <c r="G93" s="6" t="s">
        <v>1364</v>
      </c>
      <c r="H93" s="6" t="s">
        <v>1359</v>
      </c>
      <c r="I93" s="6">
        <v>48516</v>
      </c>
      <c r="J93" s="6" t="s">
        <v>45</v>
      </c>
      <c r="K93" s="6" t="s">
        <v>46</v>
      </c>
    </row>
    <row r="94" spans="1:11" x14ac:dyDescent="0.25">
      <c r="A94" s="5" t="s">
        <v>141</v>
      </c>
      <c r="B94" s="5" t="s">
        <v>1419</v>
      </c>
      <c r="C94" s="5" t="s">
        <v>1269</v>
      </c>
      <c r="D94" s="5" t="s">
        <v>1270</v>
      </c>
      <c r="E94" s="5" t="s">
        <v>37</v>
      </c>
      <c r="F94" s="5" t="s">
        <v>38</v>
      </c>
      <c r="G94" s="5" t="s">
        <v>1280</v>
      </c>
      <c r="H94" s="5" t="s">
        <v>1281</v>
      </c>
      <c r="I94" s="5">
        <v>37624</v>
      </c>
      <c r="J94" s="5" t="s">
        <v>45</v>
      </c>
      <c r="K94" s="5" t="s">
        <v>17</v>
      </c>
    </row>
    <row r="95" spans="1:11" x14ac:dyDescent="0.25">
      <c r="A95" s="6" t="s">
        <v>142</v>
      </c>
      <c r="B95" s="6" t="s">
        <v>1420</v>
      </c>
      <c r="C95" s="6" t="s">
        <v>62</v>
      </c>
      <c r="D95" s="6" t="s">
        <v>1270</v>
      </c>
      <c r="E95" s="6" t="s">
        <v>14</v>
      </c>
      <c r="F95" s="6" t="s">
        <v>15</v>
      </c>
      <c r="G95" s="6" t="s">
        <v>1277</v>
      </c>
      <c r="H95" s="6" t="s">
        <v>1257</v>
      </c>
      <c r="I95" s="6">
        <v>8390</v>
      </c>
      <c r="J95" s="6" t="s">
        <v>29</v>
      </c>
      <c r="K95" s="6" t="s">
        <v>1286</v>
      </c>
    </row>
    <row r="96" spans="1:11" x14ac:dyDescent="0.25">
      <c r="A96" s="5" t="s">
        <v>143</v>
      </c>
      <c r="B96" s="5" t="s">
        <v>1421</v>
      </c>
      <c r="C96" s="5" t="s">
        <v>1259</v>
      </c>
      <c r="D96" s="5" t="s">
        <v>36</v>
      </c>
      <c r="E96" s="5" t="s">
        <v>1276</v>
      </c>
      <c r="F96" s="5" t="s">
        <v>34</v>
      </c>
      <c r="G96" s="5" t="s">
        <v>1337</v>
      </c>
      <c r="H96" s="5" t="s">
        <v>1278</v>
      </c>
      <c r="I96" s="5">
        <v>24361</v>
      </c>
      <c r="J96" s="5" t="s">
        <v>22</v>
      </c>
      <c r="K96" s="5" t="s">
        <v>46</v>
      </c>
    </row>
    <row r="97" spans="1:11" x14ac:dyDescent="0.25">
      <c r="A97" s="6" t="s">
        <v>144</v>
      </c>
      <c r="B97" s="6" t="s">
        <v>1422</v>
      </c>
      <c r="C97" s="6" t="s">
        <v>1269</v>
      </c>
      <c r="D97" s="6" t="s">
        <v>1270</v>
      </c>
      <c r="E97" s="6" t="s">
        <v>63</v>
      </c>
      <c r="F97" s="6" t="s">
        <v>59</v>
      </c>
      <c r="G97" s="6" t="s">
        <v>1376</v>
      </c>
      <c r="H97" s="6" t="s">
        <v>1320</v>
      </c>
      <c r="I97" s="6">
        <v>2794</v>
      </c>
      <c r="J97" s="6" t="s">
        <v>45</v>
      </c>
      <c r="K97" s="6" t="s">
        <v>1286</v>
      </c>
    </row>
    <row r="98" spans="1:11" x14ac:dyDescent="0.25">
      <c r="A98" s="5" t="s">
        <v>145</v>
      </c>
      <c r="B98" s="5" t="s">
        <v>1423</v>
      </c>
      <c r="C98" s="5" t="s">
        <v>73</v>
      </c>
      <c r="D98" s="5" t="s">
        <v>1296</v>
      </c>
      <c r="E98" s="5" t="s">
        <v>49</v>
      </c>
      <c r="F98" s="5" t="s">
        <v>50</v>
      </c>
      <c r="G98" s="5" t="s">
        <v>1313</v>
      </c>
      <c r="H98" s="5" t="s">
        <v>1291</v>
      </c>
      <c r="I98" s="5">
        <v>49011</v>
      </c>
      <c r="J98" s="5" t="s">
        <v>29</v>
      </c>
      <c r="K98" s="5" t="s">
        <v>17</v>
      </c>
    </row>
    <row r="99" spans="1:11" x14ac:dyDescent="0.25">
      <c r="A99" s="6" t="s">
        <v>146</v>
      </c>
      <c r="B99" s="6" t="s">
        <v>1424</v>
      </c>
      <c r="C99" s="6" t="s">
        <v>62</v>
      </c>
      <c r="D99" s="6" t="s">
        <v>1275</v>
      </c>
      <c r="E99" s="6" t="s">
        <v>55</v>
      </c>
      <c r="F99" s="6" t="s">
        <v>34</v>
      </c>
      <c r="G99" s="6" t="s">
        <v>1337</v>
      </c>
      <c r="H99" s="6" t="s">
        <v>1395</v>
      </c>
      <c r="I99" s="6">
        <v>25649</v>
      </c>
      <c r="J99" s="6" t="s">
        <v>1267</v>
      </c>
      <c r="K99" s="6" t="s">
        <v>1262</v>
      </c>
    </row>
    <row r="100" spans="1:11" x14ac:dyDescent="0.25">
      <c r="A100" s="5" t="s">
        <v>147</v>
      </c>
      <c r="B100" s="5" t="s">
        <v>1425</v>
      </c>
      <c r="C100" s="5" t="s">
        <v>53</v>
      </c>
      <c r="D100" s="5" t="s">
        <v>1255</v>
      </c>
      <c r="E100" s="5" t="s">
        <v>63</v>
      </c>
      <c r="F100" s="5" t="s">
        <v>59</v>
      </c>
      <c r="G100" s="5" t="s">
        <v>1313</v>
      </c>
      <c r="H100" s="5" t="s">
        <v>1308</v>
      </c>
      <c r="I100" s="5">
        <v>3562</v>
      </c>
      <c r="J100" s="5" t="s">
        <v>45</v>
      </c>
      <c r="K100" s="5" t="s">
        <v>17</v>
      </c>
    </row>
    <row r="101" spans="1:11" x14ac:dyDescent="0.25">
      <c r="A101" s="6" t="s">
        <v>148</v>
      </c>
      <c r="B101" s="6" t="s">
        <v>1426</v>
      </c>
      <c r="C101" s="6" t="s">
        <v>53</v>
      </c>
      <c r="D101" s="6" t="s">
        <v>36</v>
      </c>
      <c r="E101" s="6" t="s">
        <v>1319</v>
      </c>
      <c r="F101" s="6" t="s">
        <v>59</v>
      </c>
      <c r="G101" s="6" t="s">
        <v>1315</v>
      </c>
      <c r="H101" s="6" t="s">
        <v>1320</v>
      </c>
      <c r="I101" s="6">
        <v>3574</v>
      </c>
      <c r="J101" s="6" t="s">
        <v>45</v>
      </c>
      <c r="K101" s="6" t="s">
        <v>46</v>
      </c>
    </row>
    <row r="102" spans="1:11" x14ac:dyDescent="0.25">
      <c r="A102" s="5" t="s">
        <v>149</v>
      </c>
      <c r="B102" s="5" t="s">
        <v>1290</v>
      </c>
      <c r="C102" s="5" t="s">
        <v>53</v>
      </c>
      <c r="D102" s="5" t="s">
        <v>1296</v>
      </c>
      <c r="E102" s="5" t="s">
        <v>27</v>
      </c>
      <c r="F102" s="5" t="s">
        <v>28</v>
      </c>
      <c r="G102" s="5" t="s">
        <v>1380</v>
      </c>
      <c r="H102" s="5" t="s">
        <v>1266</v>
      </c>
      <c r="I102" s="5">
        <v>10944</v>
      </c>
      <c r="J102" s="5" t="s">
        <v>1267</v>
      </c>
      <c r="K102" s="5" t="s">
        <v>1262</v>
      </c>
    </row>
    <row r="103" spans="1:11" x14ac:dyDescent="0.25">
      <c r="A103" s="6" t="s">
        <v>150</v>
      </c>
      <c r="B103" s="6" t="s">
        <v>1427</v>
      </c>
      <c r="C103" s="6" t="s">
        <v>1269</v>
      </c>
      <c r="D103" s="6" t="s">
        <v>1296</v>
      </c>
      <c r="E103" s="6" t="s">
        <v>37</v>
      </c>
      <c r="F103" s="6" t="s">
        <v>38</v>
      </c>
      <c r="G103" s="6" t="s">
        <v>1303</v>
      </c>
      <c r="H103" s="6" t="s">
        <v>1281</v>
      </c>
      <c r="I103" s="6">
        <v>39279</v>
      </c>
      <c r="J103" s="6" t="s">
        <v>22</v>
      </c>
      <c r="K103" s="6" t="s">
        <v>46</v>
      </c>
    </row>
    <row r="104" spans="1:11" x14ac:dyDescent="0.25">
      <c r="A104" s="5" t="s">
        <v>151</v>
      </c>
      <c r="B104" s="5" t="s">
        <v>1428</v>
      </c>
      <c r="C104" s="5" t="s">
        <v>73</v>
      </c>
      <c r="D104" s="5" t="s">
        <v>26</v>
      </c>
      <c r="E104" s="5" t="s">
        <v>55</v>
      </c>
      <c r="F104" s="5" t="s">
        <v>34</v>
      </c>
      <c r="G104" s="5" t="s">
        <v>1405</v>
      </c>
      <c r="H104" s="5" t="s">
        <v>1278</v>
      </c>
      <c r="I104" s="5">
        <v>21847</v>
      </c>
      <c r="J104" s="5" t="s">
        <v>45</v>
      </c>
      <c r="K104" s="5" t="s">
        <v>1273</v>
      </c>
    </row>
    <row r="105" spans="1:11" x14ac:dyDescent="0.25">
      <c r="A105" s="6" t="s">
        <v>152</v>
      </c>
      <c r="B105" s="6" t="s">
        <v>1429</v>
      </c>
      <c r="C105" s="6" t="s">
        <v>1254</v>
      </c>
      <c r="D105" s="6" t="s">
        <v>1296</v>
      </c>
      <c r="E105" s="6" t="s">
        <v>41</v>
      </c>
      <c r="F105" s="6" t="s">
        <v>42</v>
      </c>
      <c r="G105" s="6" t="s">
        <v>1376</v>
      </c>
      <c r="H105" s="6" t="s">
        <v>1311</v>
      </c>
      <c r="I105" s="6">
        <v>17810</v>
      </c>
      <c r="J105" s="6" t="s">
        <v>1267</v>
      </c>
      <c r="K105" s="6" t="s">
        <v>46</v>
      </c>
    </row>
    <row r="106" spans="1:11" x14ac:dyDescent="0.25">
      <c r="A106" s="5" t="s">
        <v>1430</v>
      </c>
      <c r="B106" s="5" t="s">
        <v>1431</v>
      </c>
      <c r="C106" s="5" t="s">
        <v>73</v>
      </c>
      <c r="D106" s="5"/>
      <c r="E106" s="5" t="s">
        <v>1361</v>
      </c>
      <c r="F106" s="5" t="s">
        <v>42</v>
      </c>
      <c r="G106" s="5" t="s">
        <v>1432</v>
      </c>
      <c r="H106" s="5" t="s">
        <v>1285</v>
      </c>
      <c r="I106" s="5">
        <v>19608</v>
      </c>
      <c r="J106" s="5" t="s">
        <v>22</v>
      </c>
      <c r="K106" s="5" t="s">
        <v>1286</v>
      </c>
    </row>
    <row r="107" spans="1:11" x14ac:dyDescent="0.25">
      <c r="A107" s="6" t="s">
        <v>153</v>
      </c>
      <c r="B107" s="6" t="s">
        <v>1433</v>
      </c>
      <c r="C107" s="6" t="s">
        <v>53</v>
      </c>
      <c r="D107" s="6" t="s">
        <v>36</v>
      </c>
      <c r="E107" s="6" t="s">
        <v>66</v>
      </c>
      <c r="F107" s="6" t="s">
        <v>67</v>
      </c>
      <c r="G107" s="6" t="s">
        <v>1297</v>
      </c>
      <c r="H107" s="6" t="s">
        <v>1317</v>
      </c>
      <c r="I107" s="6">
        <v>1863</v>
      </c>
      <c r="J107" s="6" t="s">
        <v>16</v>
      </c>
      <c r="K107" s="6" t="s">
        <v>46</v>
      </c>
    </row>
    <row r="108" spans="1:11" x14ac:dyDescent="0.25">
      <c r="A108" s="5" t="s">
        <v>154</v>
      </c>
      <c r="B108" s="5" t="s">
        <v>1434</v>
      </c>
      <c r="C108" s="5" t="s">
        <v>53</v>
      </c>
      <c r="D108" s="5" t="s">
        <v>1296</v>
      </c>
      <c r="E108" s="5" t="s">
        <v>27</v>
      </c>
      <c r="F108" s="5" t="s">
        <v>28</v>
      </c>
      <c r="G108" s="5" t="s">
        <v>1260</v>
      </c>
      <c r="H108" s="5" t="s">
        <v>1266</v>
      </c>
      <c r="I108" s="5">
        <v>10379</v>
      </c>
      <c r="J108" s="5" t="s">
        <v>1267</v>
      </c>
      <c r="K108" s="5" t="s">
        <v>1286</v>
      </c>
    </row>
    <row r="109" spans="1:11" x14ac:dyDescent="0.25">
      <c r="A109" s="6" t="s">
        <v>155</v>
      </c>
      <c r="B109" s="6" t="s">
        <v>1435</v>
      </c>
      <c r="C109" s="6" t="s">
        <v>48</v>
      </c>
      <c r="D109" s="6" t="s">
        <v>36</v>
      </c>
      <c r="E109" s="6" t="s">
        <v>49</v>
      </c>
      <c r="F109" s="6" t="s">
        <v>50</v>
      </c>
      <c r="G109" s="6" t="s">
        <v>1307</v>
      </c>
      <c r="H109" s="6" t="s">
        <v>1359</v>
      </c>
      <c r="I109" s="6">
        <v>53904</v>
      </c>
      <c r="J109" s="6" t="s">
        <v>45</v>
      </c>
      <c r="K109" s="6" t="s">
        <v>1286</v>
      </c>
    </row>
    <row r="110" spans="1:11" x14ac:dyDescent="0.25">
      <c r="A110" s="5" t="s">
        <v>156</v>
      </c>
      <c r="B110" s="5" t="s">
        <v>1433</v>
      </c>
      <c r="C110" s="5" t="s">
        <v>53</v>
      </c>
      <c r="D110" s="5" t="s">
        <v>1275</v>
      </c>
      <c r="E110" s="5" t="s">
        <v>20</v>
      </c>
      <c r="F110" s="5" t="s">
        <v>21</v>
      </c>
      <c r="G110" s="5" t="s">
        <v>1405</v>
      </c>
      <c r="H110" s="5" t="s">
        <v>1261</v>
      </c>
      <c r="I110" s="5">
        <v>6335</v>
      </c>
      <c r="J110" s="5" t="s">
        <v>16</v>
      </c>
      <c r="K110" s="5" t="s">
        <v>1273</v>
      </c>
    </row>
    <row r="111" spans="1:11" x14ac:dyDescent="0.25">
      <c r="A111" s="6" t="s">
        <v>157</v>
      </c>
      <c r="B111" s="6" t="s">
        <v>1436</v>
      </c>
      <c r="C111" s="6" t="s">
        <v>48</v>
      </c>
      <c r="D111" s="6" t="s">
        <v>1296</v>
      </c>
      <c r="E111" s="6" t="s">
        <v>1437</v>
      </c>
      <c r="F111" s="6" t="s">
        <v>38</v>
      </c>
      <c r="G111" s="6" t="s">
        <v>1280</v>
      </c>
      <c r="H111" s="6" t="s">
        <v>1281</v>
      </c>
      <c r="I111" s="6">
        <v>34203</v>
      </c>
      <c r="J111" s="6" t="s">
        <v>45</v>
      </c>
      <c r="K111" s="6" t="s">
        <v>46</v>
      </c>
    </row>
    <row r="112" spans="1:11" x14ac:dyDescent="0.25">
      <c r="A112" s="5" t="s">
        <v>158</v>
      </c>
      <c r="B112" s="5" t="s">
        <v>1438</v>
      </c>
      <c r="C112" s="5" t="s">
        <v>48</v>
      </c>
      <c r="D112" s="5" t="s">
        <v>1255</v>
      </c>
      <c r="E112" s="5" t="s">
        <v>27</v>
      </c>
      <c r="F112" s="5" t="s">
        <v>28</v>
      </c>
      <c r="G112" s="5" t="s">
        <v>1265</v>
      </c>
      <c r="H112" s="5" t="s">
        <v>1266</v>
      </c>
      <c r="I112" s="5">
        <v>8562</v>
      </c>
      <c r="J112" s="5" t="s">
        <v>16</v>
      </c>
      <c r="K112" s="5" t="s">
        <v>1262</v>
      </c>
    </row>
    <row r="113" spans="1:11" x14ac:dyDescent="0.25">
      <c r="A113" s="6" t="s">
        <v>159</v>
      </c>
      <c r="B113" s="6" t="s">
        <v>1439</v>
      </c>
      <c r="C113" s="6" t="s">
        <v>62</v>
      </c>
      <c r="D113" s="6" t="s">
        <v>1255</v>
      </c>
      <c r="E113" s="6" t="s">
        <v>20</v>
      </c>
      <c r="F113" s="6" t="s">
        <v>21</v>
      </c>
      <c r="G113" s="6" t="s">
        <v>1440</v>
      </c>
      <c r="H113" s="6" t="s">
        <v>1377</v>
      </c>
      <c r="I113" s="6">
        <v>6734</v>
      </c>
      <c r="J113" s="6" t="s">
        <v>16</v>
      </c>
      <c r="K113" s="6" t="s">
        <v>1273</v>
      </c>
    </row>
    <row r="114" spans="1:11" x14ac:dyDescent="0.25">
      <c r="A114" s="5" t="s">
        <v>160</v>
      </c>
      <c r="B114" s="5" t="s">
        <v>1441</v>
      </c>
      <c r="C114" s="5" t="s">
        <v>1259</v>
      </c>
      <c r="D114" s="5" t="s">
        <v>1283</v>
      </c>
      <c r="E114" s="5" t="s">
        <v>63</v>
      </c>
      <c r="F114" s="5" t="s">
        <v>59</v>
      </c>
      <c r="G114" s="5" t="s">
        <v>1256</v>
      </c>
      <c r="H114" s="5" t="s">
        <v>1308</v>
      </c>
      <c r="I114" s="5">
        <v>3447</v>
      </c>
      <c r="J114" s="5" t="s">
        <v>22</v>
      </c>
      <c r="K114" s="5" t="s">
        <v>1286</v>
      </c>
    </row>
    <row r="115" spans="1:11" x14ac:dyDescent="0.25">
      <c r="A115" s="6" t="s">
        <v>161</v>
      </c>
      <c r="B115" s="6" t="s">
        <v>1442</v>
      </c>
      <c r="C115" s="6" t="s">
        <v>48</v>
      </c>
      <c r="D115" s="6" t="s">
        <v>1296</v>
      </c>
      <c r="E115" s="6" t="s">
        <v>41</v>
      </c>
      <c r="F115" s="6" t="s">
        <v>42</v>
      </c>
      <c r="G115" s="6" t="s">
        <v>1337</v>
      </c>
      <c r="H115" s="6" t="s">
        <v>1325</v>
      </c>
      <c r="I115" s="6">
        <v>17914</v>
      </c>
      <c r="J115" s="6" t="s">
        <v>1267</v>
      </c>
      <c r="K115" s="6" t="s">
        <v>1273</v>
      </c>
    </row>
    <row r="116" spans="1:11" x14ac:dyDescent="0.25">
      <c r="A116" s="5" t="s">
        <v>162</v>
      </c>
      <c r="B116" s="5" t="s">
        <v>1443</v>
      </c>
      <c r="C116" s="5" t="s">
        <v>1254</v>
      </c>
      <c r="D116" s="5" t="s">
        <v>1296</v>
      </c>
      <c r="E116" s="5" t="s">
        <v>1444</v>
      </c>
      <c r="F116" s="5" t="s">
        <v>38</v>
      </c>
      <c r="G116" s="5" t="s">
        <v>1260</v>
      </c>
      <c r="H116" s="5" t="s">
        <v>1281</v>
      </c>
      <c r="I116" s="5">
        <v>38115</v>
      </c>
      <c r="J116" s="5" t="s">
        <v>1267</v>
      </c>
      <c r="K116" s="5" t="s">
        <v>1273</v>
      </c>
    </row>
    <row r="117" spans="1:11" x14ac:dyDescent="0.25">
      <c r="A117" s="6" t="s">
        <v>163</v>
      </c>
      <c r="B117" s="6" t="s">
        <v>1445</v>
      </c>
      <c r="C117" s="6" t="s">
        <v>1254</v>
      </c>
      <c r="D117" s="6" t="s">
        <v>1275</v>
      </c>
      <c r="E117" s="6" t="s">
        <v>37</v>
      </c>
      <c r="F117" s="6" t="s">
        <v>38</v>
      </c>
      <c r="G117" s="6" t="s">
        <v>1364</v>
      </c>
      <c r="H117" s="6" t="s">
        <v>1342</v>
      </c>
      <c r="I117" s="6">
        <v>38874</v>
      </c>
      <c r="J117" s="6" t="s">
        <v>29</v>
      </c>
      <c r="K117" s="6" t="s">
        <v>1286</v>
      </c>
    </row>
    <row r="118" spans="1:11" x14ac:dyDescent="0.25">
      <c r="A118" s="5" t="s">
        <v>164</v>
      </c>
      <c r="B118" s="5" t="s">
        <v>1446</v>
      </c>
      <c r="C118" s="5" t="s">
        <v>1264</v>
      </c>
      <c r="D118" s="5" t="s">
        <v>1283</v>
      </c>
      <c r="E118" s="5" t="s">
        <v>37</v>
      </c>
      <c r="F118" s="5" t="s">
        <v>38</v>
      </c>
      <c r="G118" s="5" t="s">
        <v>1364</v>
      </c>
      <c r="H118" s="5" t="s">
        <v>1281</v>
      </c>
      <c r="I118" s="5">
        <v>42082</v>
      </c>
      <c r="J118" s="5" t="s">
        <v>29</v>
      </c>
      <c r="K118" s="5" t="s">
        <v>17</v>
      </c>
    </row>
    <row r="119" spans="1:11" x14ac:dyDescent="0.25">
      <c r="A119" s="6" t="s">
        <v>165</v>
      </c>
      <c r="B119" s="6" t="s">
        <v>1447</v>
      </c>
      <c r="C119" s="6" t="s">
        <v>62</v>
      </c>
      <c r="D119" s="6" t="s">
        <v>36</v>
      </c>
      <c r="E119" s="6" t="s">
        <v>20</v>
      </c>
      <c r="F119" s="6" t="s">
        <v>21</v>
      </c>
      <c r="G119" s="6" t="s">
        <v>1313</v>
      </c>
      <c r="H119" s="6" t="s">
        <v>1261</v>
      </c>
      <c r="I119" s="6">
        <v>5452</v>
      </c>
      <c r="J119" s="6" t="s">
        <v>1267</v>
      </c>
      <c r="K119" s="6" t="s">
        <v>1286</v>
      </c>
    </row>
    <row r="120" spans="1:11" x14ac:dyDescent="0.25">
      <c r="A120" s="5" t="s">
        <v>166</v>
      </c>
      <c r="B120" s="5" t="s">
        <v>1448</v>
      </c>
      <c r="C120" s="5" t="s">
        <v>1288</v>
      </c>
      <c r="D120" s="5" t="s">
        <v>1270</v>
      </c>
      <c r="E120" s="5" t="s">
        <v>37</v>
      </c>
      <c r="F120" s="5" t="s">
        <v>38</v>
      </c>
      <c r="G120" s="5" t="s">
        <v>1256</v>
      </c>
      <c r="H120" s="5" t="s">
        <v>1367</v>
      </c>
      <c r="I120" s="5">
        <v>38126</v>
      </c>
      <c r="J120" s="5" t="s">
        <v>29</v>
      </c>
      <c r="K120" s="5" t="s">
        <v>17</v>
      </c>
    </row>
    <row r="121" spans="1:11" x14ac:dyDescent="0.25">
      <c r="A121" s="6" t="s">
        <v>167</v>
      </c>
      <c r="B121" s="6" t="s">
        <v>1449</v>
      </c>
      <c r="C121" s="6" t="s">
        <v>62</v>
      </c>
      <c r="D121" s="6" t="s">
        <v>26</v>
      </c>
      <c r="E121" s="6" t="s">
        <v>1444</v>
      </c>
      <c r="F121" s="6" t="s">
        <v>38</v>
      </c>
      <c r="G121" s="6" t="s">
        <v>1408</v>
      </c>
      <c r="H121" s="6" t="s">
        <v>1342</v>
      </c>
      <c r="I121" s="6">
        <v>35185</v>
      </c>
      <c r="J121" s="6" t="s">
        <v>22</v>
      </c>
      <c r="K121" s="6" t="s">
        <v>1262</v>
      </c>
    </row>
    <row r="122" spans="1:11" x14ac:dyDescent="0.25">
      <c r="A122" s="5" t="s">
        <v>168</v>
      </c>
      <c r="B122" s="5" t="s">
        <v>1450</v>
      </c>
      <c r="C122" s="5" t="s">
        <v>53</v>
      </c>
      <c r="D122" s="5" t="s">
        <v>1275</v>
      </c>
      <c r="E122" s="5" t="s">
        <v>66</v>
      </c>
      <c r="F122" s="5" t="s">
        <v>67</v>
      </c>
      <c r="G122" s="5" t="s">
        <v>1337</v>
      </c>
      <c r="H122" s="5" t="s">
        <v>1317</v>
      </c>
      <c r="I122" s="5">
        <v>1937</v>
      </c>
      <c r="J122" s="5" t="s">
        <v>16</v>
      </c>
      <c r="K122" s="5" t="s">
        <v>17</v>
      </c>
    </row>
    <row r="123" spans="1:11" x14ac:dyDescent="0.25">
      <c r="A123" s="6" t="s">
        <v>169</v>
      </c>
      <c r="B123" s="6" t="s">
        <v>1363</v>
      </c>
      <c r="C123" s="6" t="s">
        <v>73</v>
      </c>
      <c r="D123" s="6" t="s">
        <v>1296</v>
      </c>
      <c r="E123" s="6" t="s">
        <v>41</v>
      </c>
      <c r="F123" s="6" t="s">
        <v>42</v>
      </c>
      <c r="G123" s="6" t="s">
        <v>1364</v>
      </c>
      <c r="H123" s="6" t="s">
        <v>1325</v>
      </c>
      <c r="I123" s="6">
        <v>22399</v>
      </c>
      <c r="J123" s="6" t="s">
        <v>16</v>
      </c>
      <c r="K123" s="6" t="s">
        <v>1262</v>
      </c>
    </row>
    <row r="124" spans="1:11" x14ac:dyDescent="0.25">
      <c r="A124" s="5" t="s">
        <v>170</v>
      </c>
      <c r="B124" s="5" t="s">
        <v>1381</v>
      </c>
      <c r="C124" s="5" t="s">
        <v>1264</v>
      </c>
      <c r="D124" s="5" t="s">
        <v>36</v>
      </c>
      <c r="E124" s="5" t="s">
        <v>63</v>
      </c>
      <c r="F124" s="5" t="s">
        <v>59</v>
      </c>
      <c r="G124" s="5" t="s">
        <v>1307</v>
      </c>
      <c r="H124" s="5" t="s">
        <v>1308</v>
      </c>
      <c r="I124" s="5">
        <v>3177</v>
      </c>
      <c r="J124" s="5" t="s">
        <v>29</v>
      </c>
      <c r="K124" s="5" t="s">
        <v>1262</v>
      </c>
    </row>
    <row r="125" spans="1:11" x14ac:dyDescent="0.25">
      <c r="A125" s="6" t="s">
        <v>171</v>
      </c>
      <c r="B125" s="6" t="s">
        <v>1451</v>
      </c>
      <c r="C125" s="6" t="s">
        <v>53</v>
      </c>
      <c r="D125" s="6" t="s">
        <v>1283</v>
      </c>
      <c r="E125" s="6" t="s">
        <v>41</v>
      </c>
      <c r="F125" s="6" t="s">
        <v>42</v>
      </c>
      <c r="G125" s="6" t="s">
        <v>1280</v>
      </c>
      <c r="H125" s="6" t="s">
        <v>1311</v>
      </c>
      <c r="I125" s="6">
        <v>21333</v>
      </c>
      <c r="J125" s="6" t="s">
        <v>45</v>
      </c>
      <c r="K125" s="6" t="s">
        <v>17</v>
      </c>
    </row>
    <row r="126" spans="1:11" x14ac:dyDescent="0.25">
      <c r="A126" s="5" t="s">
        <v>172</v>
      </c>
      <c r="B126" s="5" t="s">
        <v>1452</v>
      </c>
      <c r="C126" s="5" t="s">
        <v>62</v>
      </c>
      <c r="D126" s="5" t="s">
        <v>1270</v>
      </c>
      <c r="E126" s="5" t="s">
        <v>1293</v>
      </c>
      <c r="F126" s="5" t="s">
        <v>28</v>
      </c>
      <c r="G126" s="5" t="s">
        <v>1301</v>
      </c>
      <c r="H126" s="5" t="s">
        <v>1266</v>
      </c>
      <c r="I126" s="5">
        <v>8692</v>
      </c>
      <c r="J126" s="5" t="s">
        <v>16</v>
      </c>
      <c r="K126" s="5" t="s">
        <v>17</v>
      </c>
    </row>
    <row r="127" spans="1:11" x14ac:dyDescent="0.25">
      <c r="A127" s="6" t="s">
        <v>173</v>
      </c>
      <c r="B127" s="6" t="s">
        <v>1453</v>
      </c>
      <c r="C127" s="6" t="s">
        <v>1264</v>
      </c>
      <c r="D127" s="6" t="s">
        <v>1270</v>
      </c>
      <c r="E127" s="6" t="s">
        <v>20</v>
      </c>
      <c r="F127" s="6" t="s">
        <v>21</v>
      </c>
      <c r="G127" s="6" t="s">
        <v>1405</v>
      </c>
      <c r="H127" s="6" t="s">
        <v>1454</v>
      </c>
      <c r="I127" s="6">
        <v>5222</v>
      </c>
      <c r="J127" s="6" t="s">
        <v>29</v>
      </c>
      <c r="K127" s="6" t="s">
        <v>46</v>
      </c>
    </row>
    <row r="128" spans="1:11" x14ac:dyDescent="0.25">
      <c r="A128" s="5" t="s">
        <v>174</v>
      </c>
      <c r="B128" s="5" t="s">
        <v>1455</v>
      </c>
      <c r="C128" s="5" t="s">
        <v>1269</v>
      </c>
      <c r="D128" s="5" t="s">
        <v>1270</v>
      </c>
      <c r="E128" s="5" t="s">
        <v>14</v>
      </c>
      <c r="F128" s="5" t="s">
        <v>15</v>
      </c>
      <c r="G128" s="5" t="s">
        <v>1307</v>
      </c>
      <c r="H128" s="5" t="s">
        <v>1257</v>
      </c>
      <c r="I128" s="5">
        <v>7640</v>
      </c>
      <c r="J128" s="5" t="s">
        <v>16</v>
      </c>
      <c r="K128" s="5" t="s">
        <v>17</v>
      </c>
    </row>
    <row r="129" spans="1:11" x14ac:dyDescent="0.25">
      <c r="A129" s="6" t="s">
        <v>175</v>
      </c>
      <c r="B129" s="6" t="s">
        <v>1456</v>
      </c>
      <c r="C129" s="6" t="s">
        <v>53</v>
      </c>
      <c r="D129" s="6" t="s">
        <v>26</v>
      </c>
      <c r="E129" s="6" t="s">
        <v>27</v>
      </c>
      <c r="F129" s="6" t="s">
        <v>28</v>
      </c>
      <c r="G129" s="6" t="s">
        <v>1457</v>
      </c>
      <c r="H129" s="6" t="s">
        <v>1458</v>
      </c>
      <c r="I129" s="6">
        <v>8912</v>
      </c>
      <c r="J129" s="6" t="s">
        <v>45</v>
      </c>
      <c r="K129" s="6" t="s">
        <v>1286</v>
      </c>
    </row>
    <row r="130" spans="1:11" x14ac:dyDescent="0.25">
      <c r="A130" s="5" t="s">
        <v>176</v>
      </c>
      <c r="B130" s="5" t="s">
        <v>1459</v>
      </c>
      <c r="C130" s="5" t="s">
        <v>1264</v>
      </c>
      <c r="D130" s="5" t="s">
        <v>1296</v>
      </c>
      <c r="E130" s="5" t="s">
        <v>63</v>
      </c>
      <c r="F130" s="5" t="s">
        <v>59</v>
      </c>
      <c r="G130" s="5" t="s">
        <v>1284</v>
      </c>
      <c r="H130" s="5" t="s">
        <v>1308</v>
      </c>
      <c r="I130" s="5">
        <v>3074</v>
      </c>
      <c r="J130" s="5" t="s">
        <v>29</v>
      </c>
      <c r="K130" s="5" t="s">
        <v>46</v>
      </c>
    </row>
    <row r="131" spans="1:11" x14ac:dyDescent="0.25">
      <c r="A131" s="6" t="s">
        <v>177</v>
      </c>
      <c r="B131" s="6" t="s">
        <v>1460</v>
      </c>
      <c r="C131" s="6" t="s">
        <v>48</v>
      </c>
      <c r="D131" s="6" t="s">
        <v>36</v>
      </c>
      <c r="E131" s="6" t="s">
        <v>1461</v>
      </c>
      <c r="F131" s="6" t="s">
        <v>15</v>
      </c>
      <c r="G131" s="6" t="s">
        <v>1294</v>
      </c>
      <c r="H131" s="6" t="s">
        <v>1257</v>
      </c>
      <c r="I131" s="6">
        <v>8112</v>
      </c>
      <c r="J131" s="6" t="s">
        <v>16</v>
      </c>
      <c r="K131" s="6" t="s">
        <v>1262</v>
      </c>
    </row>
    <row r="132" spans="1:11" x14ac:dyDescent="0.25">
      <c r="A132" s="5" t="s">
        <v>178</v>
      </c>
      <c r="B132" s="5" t="s">
        <v>1462</v>
      </c>
      <c r="C132" s="5" t="s">
        <v>1264</v>
      </c>
      <c r="D132" s="5" t="s">
        <v>1296</v>
      </c>
      <c r="E132" s="5" t="s">
        <v>14</v>
      </c>
      <c r="F132" s="5" t="s">
        <v>15</v>
      </c>
      <c r="G132" s="5" t="s">
        <v>1337</v>
      </c>
      <c r="H132" s="5" t="s">
        <v>1257</v>
      </c>
      <c r="I132" s="5">
        <v>8344</v>
      </c>
      <c r="J132" s="5" t="s">
        <v>1267</v>
      </c>
      <c r="K132" s="5" t="s">
        <v>46</v>
      </c>
    </row>
    <row r="133" spans="1:11" x14ac:dyDescent="0.25">
      <c r="A133" s="6" t="s">
        <v>179</v>
      </c>
      <c r="B133" s="6" t="s">
        <v>1463</v>
      </c>
      <c r="C133" s="6" t="s">
        <v>1254</v>
      </c>
      <c r="D133" s="6" t="s">
        <v>1283</v>
      </c>
      <c r="E133" s="6" t="s">
        <v>14</v>
      </c>
      <c r="F133" s="6" t="s">
        <v>15</v>
      </c>
      <c r="G133" s="6" t="s">
        <v>1294</v>
      </c>
      <c r="H133" s="6" t="s">
        <v>1272</v>
      </c>
      <c r="I133" s="6">
        <v>7853</v>
      </c>
      <c r="J133" s="6" t="s">
        <v>29</v>
      </c>
      <c r="K133" s="6" t="s">
        <v>1262</v>
      </c>
    </row>
    <row r="134" spans="1:11" x14ac:dyDescent="0.25">
      <c r="A134" s="5" t="s">
        <v>180</v>
      </c>
      <c r="B134" s="5" t="s">
        <v>1441</v>
      </c>
      <c r="C134" s="5" t="s">
        <v>53</v>
      </c>
      <c r="D134" s="5" t="s">
        <v>1283</v>
      </c>
      <c r="E134" s="5" t="s">
        <v>20</v>
      </c>
      <c r="F134" s="5" t="s">
        <v>21</v>
      </c>
      <c r="G134" s="5" t="s">
        <v>1331</v>
      </c>
      <c r="H134" s="5" t="s">
        <v>1454</v>
      </c>
      <c r="I134" s="5">
        <v>5341</v>
      </c>
      <c r="J134" s="5" t="s">
        <v>1267</v>
      </c>
      <c r="K134" s="5" t="s">
        <v>17</v>
      </c>
    </row>
    <row r="135" spans="1:11" x14ac:dyDescent="0.25">
      <c r="A135" s="6" t="s">
        <v>181</v>
      </c>
      <c r="B135" s="6" t="s">
        <v>1464</v>
      </c>
      <c r="C135" s="6" t="s">
        <v>1259</v>
      </c>
      <c r="D135" s="6" t="s">
        <v>36</v>
      </c>
      <c r="E135" s="6" t="s">
        <v>14</v>
      </c>
      <c r="F135" s="6" t="s">
        <v>15</v>
      </c>
      <c r="G135" s="6" t="s">
        <v>1301</v>
      </c>
      <c r="H135" s="6" t="s">
        <v>1257</v>
      </c>
      <c r="I135" s="6">
        <v>8212</v>
      </c>
      <c r="J135" s="6" t="s">
        <v>29</v>
      </c>
      <c r="K135" s="6" t="s">
        <v>17</v>
      </c>
    </row>
    <row r="136" spans="1:11" x14ac:dyDescent="0.25">
      <c r="A136" s="5" t="s">
        <v>182</v>
      </c>
      <c r="B136" s="5" t="s">
        <v>1465</v>
      </c>
      <c r="C136" s="5" t="s">
        <v>1259</v>
      </c>
      <c r="D136" s="5" t="s">
        <v>26</v>
      </c>
      <c r="E136" s="5" t="s">
        <v>1466</v>
      </c>
      <c r="F136" s="5" t="s">
        <v>21</v>
      </c>
      <c r="G136" s="5" t="s">
        <v>1380</v>
      </c>
      <c r="H136" s="5" t="s">
        <v>1261</v>
      </c>
      <c r="I136" s="5">
        <v>6402</v>
      </c>
      <c r="J136" s="5" t="s">
        <v>45</v>
      </c>
      <c r="K136" s="5"/>
    </row>
    <row r="137" spans="1:11" x14ac:dyDescent="0.25">
      <c r="A137" s="6" t="s">
        <v>183</v>
      </c>
      <c r="B137" s="6" t="s">
        <v>1467</v>
      </c>
      <c r="C137" s="6" t="s">
        <v>1288</v>
      </c>
      <c r="D137" s="6" t="s">
        <v>1283</v>
      </c>
      <c r="E137" s="6" t="s">
        <v>63</v>
      </c>
      <c r="F137" s="6" t="s">
        <v>59</v>
      </c>
      <c r="G137" s="6" t="s">
        <v>1328</v>
      </c>
      <c r="H137" s="6" t="s">
        <v>1320</v>
      </c>
      <c r="I137" s="6">
        <v>3101</v>
      </c>
      <c r="J137" s="6" t="s">
        <v>45</v>
      </c>
      <c r="K137" s="6" t="s">
        <v>1262</v>
      </c>
    </row>
    <row r="138" spans="1:11" x14ac:dyDescent="0.25">
      <c r="A138" s="5" t="s">
        <v>184</v>
      </c>
      <c r="B138" s="5" t="s">
        <v>1468</v>
      </c>
      <c r="C138" s="5" t="s">
        <v>1264</v>
      </c>
      <c r="D138" s="5" t="s">
        <v>26</v>
      </c>
      <c r="E138" s="5" t="s">
        <v>63</v>
      </c>
      <c r="F138" s="5" t="s">
        <v>59</v>
      </c>
      <c r="G138" s="5" t="s">
        <v>1260</v>
      </c>
      <c r="H138" s="5" t="s">
        <v>1308</v>
      </c>
      <c r="I138" s="5">
        <v>2906</v>
      </c>
      <c r="J138" s="5" t="s">
        <v>1267</v>
      </c>
      <c r="K138" s="5" t="s">
        <v>1286</v>
      </c>
    </row>
    <row r="139" spans="1:11" x14ac:dyDescent="0.25">
      <c r="A139" s="6" t="s">
        <v>185</v>
      </c>
      <c r="B139" s="6" t="s">
        <v>1469</v>
      </c>
      <c r="C139" s="6" t="s">
        <v>1288</v>
      </c>
      <c r="D139" s="6" t="s">
        <v>1270</v>
      </c>
      <c r="E139" s="6" t="s">
        <v>37</v>
      </c>
      <c r="F139" s="6" t="s">
        <v>38</v>
      </c>
      <c r="G139" s="6" t="s">
        <v>1280</v>
      </c>
      <c r="H139" s="6" t="s">
        <v>1281</v>
      </c>
      <c r="I139" s="6">
        <v>36566</v>
      </c>
      <c r="J139" s="6" t="s">
        <v>29</v>
      </c>
      <c r="K139" s="6" t="s">
        <v>1286</v>
      </c>
    </row>
    <row r="140" spans="1:11" x14ac:dyDescent="0.25">
      <c r="A140" s="5" t="s">
        <v>186</v>
      </c>
      <c r="B140" s="5" t="s">
        <v>1470</v>
      </c>
      <c r="C140" s="5" t="s">
        <v>53</v>
      </c>
      <c r="D140" s="5" t="s">
        <v>1275</v>
      </c>
      <c r="E140" s="5" t="s">
        <v>27</v>
      </c>
      <c r="F140" s="5" t="s">
        <v>28</v>
      </c>
      <c r="G140" s="5" t="s">
        <v>1280</v>
      </c>
      <c r="H140" s="5" t="s">
        <v>1266</v>
      </c>
      <c r="I140" s="5">
        <v>9338</v>
      </c>
      <c r="J140" s="5" t="s">
        <v>1267</v>
      </c>
      <c r="K140" s="5" t="s">
        <v>1273</v>
      </c>
    </row>
    <row r="141" spans="1:11" x14ac:dyDescent="0.25">
      <c r="A141" s="6" t="s">
        <v>187</v>
      </c>
      <c r="B141" s="6" t="s">
        <v>1407</v>
      </c>
      <c r="C141" s="6" t="s">
        <v>48</v>
      </c>
      <c r="D141" s="6"/>
      <c r="E141" s="6" t="s">
        <v>1330</v>
      </c>
      <c r="F141" s="6" t="s">
        <v>28</v>
      </c>
      <c r="G141" s="6" t="s">
        <v>1294</v>
      </c>
      <c r="H141" s="6" t="s">
        <v>1458</v>
      </c>
      <c r="I141" s="6">
        <v>10753</v>
      </c>
      <c r="J141" s="6" t="s">
        <v>22</v>
      </c>
      <c r="K141" s="6" t="s">
        <v>1273</v>
      </c>
    </row>
    <row r="142" spans="1:11" x14ac:dyDescent="0.25">
      <c r="A142" s="5" t="s">
        <v>188</v>
      </c>
      <c r="B142" s="5" t="s">
        <v>1471</v>
      </c>
      <c r="C142" s="5" t="s">
        <v>48</v>
      </c>
      <c r="D142" s="5" t="s">
        <v>1275</v>
      </c>
      <c r="E142" s="5" t="s">
        <v>41</v>
      </c>
      <c r="F142" s="5" t="s">
        <v>42</v>
      </c>
      <c r="G142" s="5" t="s">
        <v>1256</v>
      </c>
      <c r="H142" s="5" t="s">
        <v>1325</v>
      </c>
      <c r="I142" s="5">
        <v>20889</v>
      </c>
      <c r="J142" s="5" t="s">
        <v>29</v>
      </c>
      <c r="K142" s="5" t="s">
        <v>46</v>
      </c>
    </row>
    <row r="143" spans="1:11" x14ac:dyDescent="0.25">
      <c r="A143" s="6" t="s">
        <v>189</v>
      </c>
      <c r="B143" s="6" t="s">
        <v>1472</v>
      </c>
      <c r="C143" s="6" t="s">
        <v>1254</v>
      </c>
      <c r="D143" s="6" t="s">
        <v>1270</v>
      </c>
      <c r="E143" s="6" t="s">
        <v>41</v>
      </c>
      <c r="F143" s="6" t="s">
        <v>42</v>
      </c>
      <c r="G143" s="6" t="s">
        <v>1303</v>
      </c>
      <c r="H143" s="6" t="s">
        <v>1325</v>
      </c>
      <c r="I143" s="6">
        <v>17842</v>
      </c>
      <c r="J143" s="6" t="s">
        <v>1267</v>
      </c>
      <c r="K143" s="6" t="s">
        <v>1273</v>
      </c>
    </row>
    <row r="144" spans="1:11" x14ac:dyDescent="0.25">
      <c r="A144" s="5" t="s">
        <v>190</v>
      </c>
      <c r="B144" s="5" t="s">
        <v>1473</v>
      </c>
      <c r="C144" s="5" t="s">
        <v>1259</v>
      </c>
      <c r="D144" s="5" t="s">
        <v>1270</v>
      </c>
      <c r="E144" s="5" t="s">
        <v>66</v>
      </c>
      <c r="F144" s="5" t="s">
        <v>67</v>
      </c>
      <c r="G144" s="5" t="s">
        <v>1256</v>
      </c>
      <c r="H144" s="5" t="s">
        <v>1317</v>
      </c>
      <c r="I144" s="5">
        <v>1906</v>
      </c>
      <c r="J144" s="5" t="s">
        <v>1267</v>
      </c>
      <c r="K144" s="5" t="s">
        <v>1273</v>
      </c>
    </row>
    <row r="145" spans="1:11" x14ac:dyDescent="0.25">
      <c r="A145" s="6" t="s">
        <v>191</v>
      </c>
      <c r="B145" s="6" t="s">
        <v>1474</v>
      </c>
      <c r="C145" s="6" t="s">
        <v>62</v>
      </c>
      <c r="D145" s="6" t="s">
        <v>1270</v>
      </c>
      <c r="E145" s="6" t="s">
        <v>66</v>
      </c>
      <c r="F145" s="6" t="s">
        <v>67</v>
      </c>
      <c r="G145" s="6" t="s">
        <v>1475</v>
      </c>
      <c r="H145" s="6" t="s">
        <v>1335</v>
      </c>
      <c r="I145" s="6">
        <v>1575</v>
      </c>
      <c r="J145" s="6" t="s">
        <v>45</v>
      </c>
      <c r="K145" s="6" t="s">
        <v>46</v>
      </c>
    </row>
    <row r="146" spans="1:11" x14ac:dyDescent="0.25">
      <c r="A146" s="5" t="s">
        <v>192</v>
      </c>
      <c r="B146" s="5" t="s">
        <v>1354</v>
      </c>
      <c r="C146" s="5" t="s">
        <v>53</v>
      </c>
      <c r="D146" s="5" t="s">
        <v>26</v>
      </c>
      <c r="E146" s="5" t="s">
        <v>1330</v>
      </c>
      <c r="F146" s="5" t="s">
        <v>28</v>
      </c>
      <c r="G146" s="5" t="s">
        <v>1337</v>
      </c>
      <c r="H146" s="5" t="s">
        <v>1266</v>
      </c>
      <c r="I146" s="5">
        <v>11154</v>
      </c>
      <c r="J146" s="5" t="s">
        <v>1267</v>
      </c>
      <c r="K146" s="5" t="s">
        <v>17</v>
      </c>
    </row>
    <row r="147" spans="1:11" x14ac:dyDescent="0.25">
      <c r="A147" s="6" t="s">
        <v>193</v>
      </c>
      <c r="B147" s="6" t="s">
        <v>1329</v>
      </c>
      <c r="C147" s="6" t="s">
        <v>1288</v>
      </c>
      <c r="D147" s="6" t="s">
        <v>1255</v>
      </c>
      <c r="E147" s="6" t="s">
        <v>20</v>
      </c>
      <c r="F147" s="6" t="s">
        <v>21</v>
      </c>
      <c r="G147" s="6" t="s">
        <v>1280</v>
      </c>
      <c r="H147" s="6" t="s">
        <v>1261</v>
      </c>
      <c r="I147" s="6">
        <v>6344</v>
      </c>
      <c r="J147" s="6" t="s">
        <v>45</v>
      </c>
      <c r="K147" s="6" t="s">
        <v>46</v>
      </c>
    </row>
    <row r="148" spans="1:11" x14ac:dyDescent="0.25">
      <c r="A148" s="5" t="s">
        <v>194</v>
      </c>
      <c r="B148" s="5" t="s">
        <v>1476</v>
      </c>
      <c r="C148" s="5" t="s">
        <v>62</v>
      </c>
      <c r="D148" s="5" t="s">
        <v>1283</v>
      </c>
      <c r="E148" s="5" t="s">
        <v>55</v>
      </c>
      <c r="F148" s="5" t="s">
        <v>34</v>
      </c>
      <c r="G148" s="5" t="s">
        <v>1271</v>
      </c>
      <c r="H148" s="5" t="s">
        <v>1395</v>
      </c>
      <c r="I148" s="5">
        <v>22441</v>
      </c>
      <c r="J148" s="5" t="s">
        <v>16</v>
      </c>
      <c r="K148" s="5" t="s">
        <v>1273</v>
      </c>
    </row>
    <row r="149" spans="1:11" x14ac:dyDescent="0.25">
      <c r="A149" s="6" t="s">
        <v>195</v>
      </c>
      <c r="B149" s="6" t="s">
        <v>1357</v>
      </c>
      <c r="C149" s="6" t="s">
        <v>1254</v>
      </c>
      <c r="D149" s="6" t="s">
        <v>1275</v>
      </c>
      <c r="E149" s="6" t="s">
        <v>27</v>
      </c>
      <c r="F149" s="6" t="s">
        <v>28</v>
      </c>
      <c r="G149" s="6" t="s">
        <v>1331</v>
      </c>
      <c r="H149" s="6" t="s">
        <v>1458</v>
      </c>
      <c r="I149" s="6">
        <v>9328</v>
      </c>
      <c r="J149" s="6" t="s">
        <v>16</v>
      </c>
      <c r="K149" s="6" t="s">
        <v>1262</v>
      </c>
    </row>
    <row r="150" spans="1:11" x14ac:dyDescent="0.25">
      <c r="A150" s="5" t="s">
        <v>196</v>
      </c>
      <c r="B150" s="5" t="s">
        <v>1477</v>
      </c>
      <c r="C150" s="5" t="s">
        <v>53</v>
      </c>
      <c r="D150" s="5" t="s">
        <v>1255</v>
      </c>
      <c r="E150" s="5" t="s">
        <v>49</v>
      </c>
      <c r="F150" s="5" t="s">
        <v>50</v>
      </c>
      <c r="G150" s="5" t="s">
        <v>1307</v>
      </c>
      <c r="H150" s="5" t="s">
        <v>1291</v>
      </c>
      <c r="I150" s="5">
        <v>57161</v>
      </c>
      <c r="J150" s="5" t="s">
        <v>22</v>
      </c>
      <c r="K150" s="5" t="s">
        <v>17</v>
      </c>
    </row>
    <row r="151" spans="1:11" x14ac:dyDescent="0.25">
      <c r="A151" s="6" t="s">
        <v>187</v>
      </c>
      <c r="B151" s="6" t="s">
        <v>1478</v>
      </c>
      <c r="C151" s="6" t="s">
        <v>62</v>
      </c>
      <c r="D151" s="6" t="s">
        <v>36</v>
      </c>
      <c r="E151" s="6" t="s">
        <v>1444</v>
      </c>
      <c r="F151" s="6" t="s">
        <v>38</v>
      </c>
      <c r="G151" s="6" t="s">
        <v>1271</v>
      </c>
      <c r="H151" s="6" t="s">
        <v>1281</v>
      </c>
      <c r="I151" s="6">
        <v>42343</v>
      </c>
      <c r="J151" s="6" t="s">
        <v>29</v>
      </c>
      <c r="K151" s="6" t="s">
        <v>17</v>
      </c>
    </row>
    <row r="152" spans="1:11" x14ac:dyDescent="0.25">
      <c r="A152" s="5" t="s">
        <v>197</v>
      </c>
      <c r="B152" s="5" t="s">
        <v>1345</v>
      </c>
      <c r="C152" s="5" t="s">
        <v>48</v>
      </c>
      <c r="D152" s="5" t="s">
        <v>36</v>
      </c>
      <c r="E152" s="5" t="s">
        <v>20</v>
      </c>
      <c r="F152" s="5" t="s">
        <v>21</v>
      </c>
      <c r="G152" s="5" t="s">
        <v>1307</v>
      </c>
      <c r="H152" s="5" t="s">
        <v>1261</v>
      </c>
      <c r="I152" s="5">
        <v>5295</v>
      </c>
      <c r="J152" s="5" t="s">
        <v>22</v>
      </c>
      <c r="K152" s="5" t="s">
        <v>1262</v>
      </c>
    </row>
    <row r="153" spans="1:11" x14ac:dyDescent="0.25">
      <c r="A153" s="6" t="s">
        <v>198</v>
      </c>
      <c r="B153" s="6" t="s">
        <v>1479</v>
      </c>
      <c r="C153" s="6" t="s">
        <v>1288</v>
      </c>
      <c r="D153" s="6" t="s">
        <v>36</v>
      </c>
      <c r="E153" s="6" t="s">
        <v>55</v>
      </c>
      <c r="F153" s="6" t="s">
        <v>34</v>
      </c>
      <c r="G153" s="6" t="s">
        <v>1310</v>
      </c>
      <c r="H153" s="6" t="s">
        <v>1299</v>
      </c>
      <c r="I153" s="6">
        <v>25750</v>
      </c>
      <c r="J153" s="6" t="s">
        <v>22</v>
      </c>
      <c r="K153" s="6" t="s">
        <v>1286</v>
      </c>
    </row>
    <row r="154" spans="1:11" x14ac:dyDescent="0.25">
      <c r="A154" s="5" t="s">
        <v>199</v>
      </c>
      <c r="B154" s="5" t="s">
        <v>1480</v>
      </c>
      <c r="C154" s="5" t="s">
        <v>73</v>
      </c>
      <c r="D154" s="5" t="s">
        <v>1296</v>
      </c>
      <c r="E154" s="5" t="s">
        <v>27</v>
      </c>
      <c r="F154" s="5" t="s">
        <v>28</v>
      </c>
      <c r="G154" s="5" t="s">
        <v>1280</v>
      </c>
      <c r="H154" s="5" t="s">
        <v>1266</v>
      </c>
      <c r="I154" s="5">
        <v>9589</v>
      </c>
      <c r="J154" s="5" t="s">
        <v>22</v>
      </c>
      <c r="K154" s="5" t="s">
        <v>1262</v>
      </c>
    </row>
    <row r="155" spans="1:11" x14ac:dyDescent="0.25">
      <c r="A155" s="6" t="s">
        <v>200</v>
      </c>
      <c r="B155" s="6" t="s">
        <v>1481</v>
      </c>
      <c r="C155" s="6" t="s">
        <v>1264</v>
      </c>
      <c r="D155" s="6" t="s">
        <v>1255</v>
      </c>
      <c r="E155" s="6" t="s">
        <v>66</v>
      </c>
      <c r="F155" s="6" t="s">
        <v>67</v>
      </c>
      <c r="G155" s="6" t="s">
        <v>1380</v>
      </c>
      <c r="H155" s="6" t="s">
        <v>1482</v>
      </c>
      <c r="I155" s="6">
        <v>1908</v>
      </c>
      <c r="J155" s="6" t="s">
        <v>1267</v>
      </c>
      <c r="K155" s="6" t="s">
        <v>1286</v>
      </c>
    </row>
    <row r="156" spans="1:11" x14ac:dyDescent="0.25">
      <c r="A156" s="5" t="s">
        <v>201</v>
      </c>
      <c r="B156" s="5" t="s">
        <v>1483</v>
      </c>
      <c r="C156" s="5" t="s">
        <v>73</v>
      </c>
      <c r="D156" s="5" t="s">
        <v>1283</v>
      </c>
      <c r="E156" s="5" t="s">
        <v>1330</v>
      </c>
      <c r="F156" s="5" t="s">
        <v>28</v>
      </c>
      <c r="G156" s="5" t="s">
        <v>1405</v>
      </c>
      <c r="H156" s="5" t="s">
        <v>1266</v>
      </c>
      <c r="I156" s="5">
        <v>11104</v>
      </c>
      <c r="J156" s="5" t="s">
        <v>22</v>
      </c>
      <c r="K156" s="5" t="s">
        <v>1286</v>
      </c>
    </row>
    <row r="157" spans="1:11" x14ac:dyDescent="0.25">
      <c r="A157" s="6" t="s">
        <v>202</v>
      </c>
      <c r="B157" s="6" t="s">
        <v>1484</v>
      </c>
      <c r="C157" s="6" t="s">
        <v>1264</v>
      </c>
      <c r="D157" s="6" t="s">
        <v>36</v>
      </c>
      <c r="E157" s="6" t="s">
        <v>27</v>
      </c>
      <c r="F157" s="6" t="s">
        <v>28</v>
      </c>
      <c r="G157" s="6" t="s">
        <v>1380</v>
      </c>
      <c r="H157" s="6" t="s">
        <v>1458</v>
      </c>
      <c r="I157" s="6">
        <v>10481</v>
      </c>
      <c r="J157" s="6" t="s">
        <v>22</v>
      </c>
      <c r="K157" s="6" t="s">
        <v>17</v>
      </c>
    </row>
    <row r="158" spans="1:11" x14ac:dyDescent="0.25">
      <c r="A158" s="5" t="s">
        <v>203</v>
      </c>
      <c r="B158" s="5" t="s">
        <v>1485</v>
      </c>
      <c r="C158" s="5" t="s">
        <v>48</v>
      </c>
      <c r="D158" s="5" t="s">
        <v>1275</v>
      </c>
      <c r="E158" s="5" t="s">
        <v>63</v>
      </c>
      <c r="F158" s="5" t="s">
        <v>59</v>
      </c>
      <c r="G158" s="5" t="s">
        <v>1380</v>
      </c>
      <c r="H158" s="5" t="s">
        <v>1308</v>
      </c>
      <c r="I158" s="5">
        <v>3036</v>
      </c>
      <c r="J158" s="5" t="s">
        <v>1267</v>
      </c>
      <c r="K158" s="5" t="s">
        <v>17</v>
      </c>
    </row>
    <row r="159" spans="1:11" x14ac:dyDescent="0.25">
      <c r="A159" s="6" t="s">
        <v>204</v>
      </c>
      <c r="B159" s="6" t="s">
        <v>1486</v>
      </c>
      <c r="C159" s="6" t="s">
        <v>62</v>
      </c>
      <c r="D159" s="6" t="s">
        <v>1283</v>
      </c>
      <c r="E159" s="6" t="s">
        <v>27</v>
      </c>
      <c r="F159" s="6" t="s">
        <v>28</v>
      </c>
      <c r="G159" s="6" t="s">
        <v>1303</v>
      </c>
      <c r="H159" s="6" t="s">
        <v>1266</v>
      </c>
      <c r="I159" s="6">
        <v>9967</v>
      </c>
      <c r="J159" s="6" t="s">
        <v>29</v>
      </c>
      <c r="K159" s="6" t="s">
        <v>17</v>
      </c>
    </row>
    <row r="160" spans="1:11" x14ac:dyDescent="0.25">
      <c r="A160" s="5" t="s">
        <v>205</v>
      </c>
      <c r="B160" s="5" t="s">
        <v>1487</v>
      </c>
      <c r="C160" s="5" t="s">
        <v>48</v>
      </c>
      <c r="D160" s="5" t="s">
        <v>1255</v>
      </c>
      <c r="E160" s="5" t="s">
        <v>41</v>
      </c>
      <c r="F160" s="5" t="s">
        <v>42</v>
      </c>
      <c r="G160" s="5" t="s">
        <v>1337</v>
      </c>
      <c r="H160" s="5" t="s">
        <v>1325</v>
      </c>
      <c r="I160" s="5">
        <v>19948</v>
      </c>
      <c r="J160" s="5" t="s">
        <v>22</v>
      </c>
      <c r="K160" s="5" t="s">
        <v>46</v>
      </c>
    </row>
    <row r="161" spans="1:11" x14ac:dyDescent="0.25">
      <c r="A161" s="6" t="s">
        <v>206</v>
      </c>
      <c r="B161" s="6" t="s">
        <v>1488</v>
      </c>
      <c r="C161" s="6" t="s">
        <v>1288</v>
      </c>
      <c r="D161" s="6" t="s">
        <v>1283</v>
      </c>
      <c r="E161" s="6" t="s">
        <v>1489</v>
      </c>
      <c r="F161" s="6" t="s">
        <v>67</v>
      </c>
      <c r="G161" s="6" t="s">
        <v>1457</v>
      </c>
      <c r="H161" s="6" t="s">
        <v>1335</v>
      </c>
      <c r="I161" s="6">
        <v>1663</v>
      </c>
      <c r="J161" s="6" t="s">
        <v>16</v>
      </c>
      <c r="K161" s="6" t="s">
        <v>46</v>
      </c>
    </row>
    <row r="162" spans="1:11" x14ac:dyDescent="0.25">
      <c r="A162" s="5" t="s">
        <v>207</v>
      </c>
      <c r="B162" s="5" t="s">
        <v>1490</v>
      </c>
      <c r="C162" s="5" t="s">
        <v>48</v>
      </c>
      <c r="D162" s="5" t="s">
        <v>36</v>
      </c>
      <c r="E162" s="5" t="s">
        <v>66</v>
      </c>
      <c r="F162" s="5" t="s">
        <v>67</v>
      </c>
      <c r="G162" s="5" t="s">
        <v>1331</v>
      </c>
      <c r="H162" s="5" t="s">
        <v>1482</v>
      </c>
      <c r="I162" s="5">
        <v>1512</v>
      </c>
      <c r="J162" s="5" t="s">
        <v>1267</v>
      </c>
      <c r="K162" s="5" t="s">
        <v>1286</v>
      </c>
    </row>
    <row r="163" spans="1:11" x14ac:dyDescent="0.25">
      <c r="A163" s="6" t="s">
        <v>208</v>
      </c>
      <c r="B163" s="6" t="s">
        <v>1491</v>
      </c>
      <c r="C163" s="6" t="s">
        <v>1254</v>
      </c>
      <c r="D163" s="6" t="s">
        <v>1275</v>
      </c>
      <c r="E163" s="6" t="s">
        <v>55</v>
      </c>
      <c r="F163" s="6" t="s">
        <v>34</v>
      </c>
      <c r="G163" s="6" t="s">
        <v>1303</v>
      </c>
      <c r="H163" s="6" t="s">
        <v>1278</v>
      </c>
      <c r="I163" s="6">
        <v>23301</v>
      </c>
      <c r="J163" s="6" t="s">
        <v>16</v>
      </c>
      <c r="K163" s="6" t="s">
        <v>1262</v>
      </c>
    </row>
    <row r="164" spans="1:11" x14ac:dyDescent="0.25">
      <c r="A164" s="5" t="s">
        <v>209</v>
      </c>
      <c r="B164" s="5" t="s">
        <v>1492</v>
      </c>
      <c r="C164" s="5" t="s">
        <v>1259</v>
      </c>
      <c r="D164" s="5" t="s">
        <v>1255</v>
      </c>
      <c r="E164" s="5" t="s">
        <v>14</v>
      </c>
      <c r="F164" s="5" t="s">
        <v>15</v>
      </c>
      <c r="G164" s="5" t="s">
        <v>1260</v>
      </c>
      <c r="H164" s="5" t="s">
        <v>1257</v>
      </c>
      <c r="I164" s="5">
        <v>8785</v>
      </c>
      <c r="J164" s="5" t="s">
        <v>1267</v>
      </c>
      <c r="K164" s="5" t="s">
        <v>46</v>
      </c>
    </row>
    <row r="165" spans="1:11" x14ac:dyDescent="0.25">
      <c r="A165" s="6" t="s">
        <v>210</v>
      </c>
      <c r="B165" s="6" t="s">
        <v>1493</v>
      </c>
      <c r="C165" s="6" t="s">
        <v>1264</v>
      </c>
      <c r="D165" s="6" t="s">
        <v>1283</v>
      </c>
      <c r="E165" s="6" t="s">
        <v>63</v>
      </c>
      <c r="F165" s="6" t="s">
        <v>59</v>
      </c>
      <c r="G165" s="6" t="s">
        <v>1294</v>
      </c>
      <c r="H165" s="6" t="s">
        <v>1320</v>
      </c>
      <c r="I165" s="6">
        <v>3427</v>
      </c>
      <c r="J165" s="6" t="s">
        <v>22</v>
      </c>
      <c r="K165" s="6" t="s">
        <v>1273</v>
      </c>
    </row>
    <row r="166" spans="1:11" x14ac:dyDescent="0.25">
      <c r="A166" s="5" t="s">
        <v>211</v>
      </c>
      <c r="B166" s="5" t="s">
        <v>1494</v>
      </c>
      <c r="C166" s="5" t="s">
        <v>48</v>
      </c>
      <c r="D166" s="5" t="s">
        <v>36</v>
      </c>
      <c r="E166" s="5" t="s">
        <v>1495</v>
      </c>
      <c r="F166" s="5" t="s">
        <v>50</v>
      </c>
      <c r="G166" s="5" t="s">
        <v>1265</v>
      </c>
      <c r="H166" s="5" t="s">
        <v>1291</v>
      </c>
      <c r="I166" s="5">
        <v>48921</v>
      </c>
      <c r="J166" s="5" t="s">
        <v>16</v>
      </c>
      <c r="K166" s="5" t="s">
        <v>17</v>
      </c>
    </row>
    <row r="167" spans="1:11" x14ac:dyDescent="0.25">
      <c r="A167" s="6" t="s">
        <v>212</v>
      </c>
      <c r="B167" s="6" t="s">
        <v>1496</v>
      </c>
      <c r="C167" s="6" t="s">
        <v>62</v>
      </c>
      <c r="D167" s="6" t="s">
        <v>1255</v>
      </c>
      <c r="E167" s="6" t="s">
        <v>49</v>
      </c>
      <c r="F167" s="6" t="s">
        <v>50</v>
      </c>
      <c r="G167" s="6" t="s">
        <v>1315</v>
      </c>
      <c r="H167" s="6" t="s">
        <v>1291</v>
      </c>
      <c r="I167" s="6">
        <v>46478</v>
      </c>
      <c r="J167" s="6" t="s">
        <v>16</v>
      </c>
      <c r="K167" s="6" t="s">
        <v>46</v>
      </c>
    </row>
    <row r="168" spans="1:11" x14ac:dyDescent="0.25">
      <c r="A168" s="5" t="s">
        <v>213</v>
      </c>
      <c r="B168" s="5" t="s">
        <v>1497</v>
      </c>
      <c r="C168" s="5" t="s">
        <v>48</v>
      </c>
      <c r="D168" s="5" t="s">
        <v>36</v>
      </c>
      <c r="E168" s="5" t="s">
        <v>27</v>
      </c>
      <c r="F168" s="5" t="s">
        <v>28</v>
      </c>
      <c r="G168" s="5" t="s">
        <v>1260</v>
      </c>
      <c r="H168" s="5" t="s">
        <v>1266</v>
      </c>
      <c r="I168" s="5">
        <v>9168</v>
      </c>
      <c r="J168" s="5" t="s">
        <v>1267</v>
      </c>
      <c r="K168" s="5" t="s">
        <v>1262</v>
      </c>
    </row>
    <row r="169" spans="1:11" x14ac:dyDescent="0.25">
      <c r="A169" s="6" t="s">
        <v>214</v>
      </c>
      <c r="B169" s="6" t="s">
        <v>1498</v>
      </c>
      <c r="C169" s="6" t="s">
        <v>1269</v>
      </c>
      <c r="D169" s="6" t="s">
        <v>36</v>
      </c>
      <c r="E169" s="6" t="s">
        <v>63</v>
      </c>
      <c r="F169" s="6" t="s">
        <v>59</v>
      </c>
      <c r="G169" s="6" t="s">
        <v>1499</v>
      </c>
      <c r="H169" s="6" t="s">
        <v>1320</v>
      </c>
      <c r="I169" s="6">
        <v>3392</v>
      </c>
      <c r="J169" s="6" t="s">
        <v>1267</v>
      </c>
      <c r="K169" s="6" t="s">
        <v>1273</v>
      </c>
    </row>
    <row r="170" spans="1:11" x14ac:dyDescent="0.25">
      <c r="A170" s="5" t="s">
        <v>215</v>
      </c>
      <c r="B170" s="5" t="s">
        <v>1500</v>
      </c>
      <c r="C170" s="5" t="s">
        <v>1269</v>
      </c>
      <c r="D170" s="5" t="s">
        <v>1255</v>
      </c>
      <c r="E170" s="5" t="s">
        <v>37</v>
      </c>
      <c r="F170" s="5" t="s">
        <v>38</v>
      </c>
      <c r="G170" s="5" t="s">
        <v>1280</v>
      </c>
      <c r="H170" s="5" t="s">
        <v>1281</v>
      </c>
      <c r="I170" s="5">
        <v>38640</v>
      </c>
      <c r="J170" s="5" t="s">
        <v>22</v>
      </c>
      <c r="K170" s="5" t="s">
        <v>1273</v>
      </c>
    </row>
    <row r="171" spans="1:11" x14ac:dyDescent="0.25">
      <c r="A171" s="6" t="s">
        <v>216</v>
      </c>
      <c r="B171" s="6" t="s">
        <v>1501</v>
      </c>
      <c r="C171" s="6" t="s">
        <v>48</v>
      </c>
      <c r="D171" s="6" t="s">
        <v>1275</v>
      </c>
      <c r="E171" s="6" t="s">
        <v>1276</v>
      </c>
      <c r="F171" s="6" t="s">
        <v>34</v>
      </c>
      <c r="G171" s="6" t="s">
        <v>1380</v>
      </c>
      <c r="H171" s="6" t="s">
        <v>1278</v>
      </c>
      <c r="I171" s="6">
        <v>24671</v>
      </c>
      <c r="J171" s="6" t="s">
        <v>16</v>
      </c>
      <c r="K171" s="6" t="s">
        <v>1286</v>
      </c>
    </row>
    <row r="172" spans="1:11" x14ac:dyDescent="0.25">
      <c r="A172" s="5" t="s">
        <v>217</v>
      </c>
      <c r="B172" s="5" t="s">
        <v>1502</v>
      </c>
      <c r="C172" s="5" t="s">
        <v>53</v>
      </c>
      <c r="D172" s="5" t="s">
        <v>1283</v>
      </c>
      <c r="E172" s="5" t="s">
        <v>20</v>
      </c>
      <c r="F172" s="5" t="s">
        <v>21</v>
      </c>
      <c r="G172" s="5" t="s">
        <v>1303</v>
      </c>
      <c r="H172" s="5" t="s">
        <v>1261</v>
      </c>
      <c r="I172" s="5">
        <v>6561</v>
      </c>
      <c r="J172" s="5" t="s">
        <v>45</v>
      </c>
      <c r="K172" s="5" t="s">
        <v>1286</v>
      </c>
    </row>
    <row r="173" spans="1:11" x14ac:dyDescent="0.25">
      <c r="A173" s="6" t="s">
        <v>218</v>
      </c>
      <c r="B173" s="6" t="s">
        <v>1503</v>
      </c>
      <c r="C173" s="6" t="s">
        <v>1254</v>
      </c>
      <c r="D173" s="6" t="s">
        <v>1283</v>
      </c>
      <c r="E173" s="6" t="s">
        <v>27</v>
      </c>
      <c r="F173" s="6" t="s">
        <v>28</v>
      </c>
      <c r="G173" s="6" t="s">
        <v>1315</v>
      </c>
      <c r="H173" s="6" t="s">
        <v>1458</v>
      </c>
      <c r="I173" s="6">
        <v>8652</v>
      </c>
      <c r="J173" s="6" t="s">
        <v>16</v>
      </c>
      <c r="K173" s="6" t="s">
        <v>46</v>
      </c>
    </row>
    <row r="174" spans="1:11" x14ac:dyDescent="0.25">
      <c r="A174" s="5" t="s">
        <v>219</v>
      </c>
      <c r="B174" s="5" t="s">
        <v>1504</v>
      </c>
      <c r="C174" s="5" t="s">
        <v>53</v>
      </c>
      <c r="D174" s="5" t="s">
        <v>26</v>
      </c>
      <c r="E174" s="5" t="s">
        <v>66</v>
      </c>
      <c r="F174" s="5" t="s">
        <v>67</v>
      </c>
      <c r="G174" s="5" t="s">
        <v>1256</v>
      </c>
      <c r="H174" s="5" t="s">
        <v>1317</v>
      </c>
      <c r="I174" s="5">
        <v>1973</v>
      </c>
      <c r="J174" s="5" t="s">
        <v>45</v>
      </c>
      <c r="K174" s="5" t="s">
        <v>1286</v>
      </c>
    </row>
    <row r="175" spans="1:11" x14ac:dyDescent="0.25">
      <c r="A175" s="6" t="s">
        <v>220</v>
      </c>
      <c r="B175" s="6" t="s">
        <v>1505</v>
      </c>
      <c r="C175" s="6" t="s">
        <v>73</v>
      </c>
      <c r="D175" s="6" t="s">
        <v>1296</v>
      </c>
      <c r="E175" s="6" t="s">
        <v>27</v>
      </c>
      <c r="F175" s="6" t="s">
        <v>28</v>
      </c>
      <c r="G175" s="6" t="s">
        <v>1405</v>
      </c>
      <c r="H175" s="6" t="s">
        <v>1266</v>
      </c>
      <c r="I175" s="6">
        <v>10906</v>
      </c>
      <c r="J175" s="6" t="s">
        <v>16</v>
      </c>
      <c r="K175" s="6" t="s">
        <v>1262</v>
      </c>
    </row>
    <row r="176" spans="1:11" x14ac:dyDescent="0.25">
      <c r="A176" s="5" t="s">
        <v>221</v>
      </c>
      <c r="B176" s="5" t="s">
        <v>1506</v>
      </c>
      <c r="C176" s="5" t="s">
        <v>1259</v>
      </c>
      <c r="D176" s="5"/>
      <c r="E176" s="5" t="s">
        <v>1461</v>
      </c>
      <c r="F176" s="5" t="s">
        <v>15</v>
      </c>
      <c r="G176" s="5" t="s">
        <v>1297</v>
      </c>
      <c r="H176" s="5" t="s">
        <v>1347</v>
      </c>
      <c r="I176" s="5">
        <v>8401</v>
      </c>
      <c r="J176" s="5" t="s">
        <v>29</v>
      </c>
      <c r="K176" s="5" t="s">
        <v>1262</v>
      </c>
    </row>
    <row r="177" spans="1:11" x14ac:dyDescent="0.25">
      <c r="A177" s="6" t="s">
        <v>222</v>
      </c>
      <c r="B177" s="6" t="s">
        <v>1507</v>
      </c>
      <c r="C177" s="6" t="s">
        <v>1288</v>
      </c>
      <c r="D177" s="6" t="s">
        <v>1296</v>
      </c>
      <c r="E177" s="6" t="s">
        <v>66</v>
      </c>
      <c r="F177" s="6" t="s">
        <v>67</v>
      </c>
      <c r="G177" s="6" t="s">
        <v>1408</v>
      </c>
      <c r="H177" s="6" t="s">
        <v>1335</v>
      </c>
      <c r="I177" s="6">
        <v>1912</v>
      </c>
      <c r="J177" s="6" t="s">
        <v>1267</v>
      </c>
      <c r="K177" s="6" t="s">
        <v>1262</v>
      </c>
    </row>
    <row r="178" spans="1:11" x14ac:dyDescent="0.25">
      <c r="A178" s="5" t="s">
        <v>223</v>
      </c>
      <c r="B178" s="5" t="s">
        <v>1508</v>
      </c>
      <c r="C178" s="5" t="s">
        <v>1259</v>
      </c>
      <c r="D178" s="5" t="s">
        <v>26</v>
      </c>
      <c r="E178" s="5" t="s">
        <v>66</v>
      </c>
      <c r="F178" s="5" t="s">
        <v>67</v>
      </c>
      <c r="G178" s="5" t="s">
        <v>1405</v>
      </c>
      <c r="H178" s="5" t="s">
        <v>1317</v>
      </c>
      <c r="I178" s="5">
        <v>1732</v>
      </c>
      <c r="J178" s="5" t="s">
        <v>22</v>
      </c>
      <c r="K178" s="5" t="s">
        <v>1262</v>
      </c>
    </row>
    <row r="179" spans="1:11" x14ac:dyDescent="0.25">
      <c r="A179" s="6" t="s">
        <v>224</v>
      </c>
      <c r="B179" s="6" t="s">
        <v>1509</v>
      </c>
      <c r="C179" s="6" t="s">
        <v>1264</v>
      </c>
      <c r="D179" s="6" t="s">
        <v>36</v>
      </c>
      <c r="E179" s="6" t="s">
        <v>14</v>
      </c>
      <c r="F179" s="6" t="s">
        <v>15</v>
      </c>
      <c r="G179" s="6" t="s">
        <v>1301</v>
      </c>
      <c r="H179" s="6" t="s">
        <v>1257</v>
      </c>
      <c r="I179" s="6">
        <v>9347</v>
      </c>
      <c r="J179" s="6" t="s">
        <v>16</v>
      </c>
      <c r="K179" s="6" t="s">
        <v>17</v>
      </c>
    </row>
    <row r="180" spans="1:11" x14ac:dyDescent="0.25">
      <c r="A180" s="5" t="s">
        <v>225</v>
      </c>
      <c r="B180" s="5" t="s">
        <v>1510</v>
      </c>
      <c r="C180" s="5" t="s">
        <v>1259</v>
      </c>
      <c r="D180" s="5" t="s">
        <v>36</v>
      </c>
      <c r="E180" s="5" t="s">
        <v>37</v>
      </c>
      <c r="F180" s="5" t="s">
        <v>38</v>
      </c>
      <c r="G180" s="5" t="s">
        <v>1301</v>
      </c>
      <c r="H180" s="5" t="s">
        <v>1281</v>
      </c>
      <c r="I180" s="5">
        <v>35068</v>
      </c>
      <c r="J180" s="5" t="s">
        <v>29</v>
      </c>
      <c r="K180" s="5" t="s">
        <v>1286</v>
      </c>
    </row>
    <row r="181" spans="1:11" x14ac:dyDescent="0.25">
      <c r="A181" s="6" t="s">
        <v>226</v>
      </c>
      <c r="B181" s="6" t="s">
        <v>1511</v>
      </c>
      <c r="C181" s="6" t="s">
        <v>53</v>
      </c>
      <c r="D181" s="6" t="s">
        <v>1255</v>
      </c>
      <c r="E181" s="6" t="s">
        <v>1512</v>
      </c>
      <c r="F181" s="6" t="s">
        <v>42</v>
      </c>
      <c r="G181" s="6" t="s">
        <v>1331</v>
      </c>
      <c r="H181" s="6" t="s">
        <v>1311</v>
      </c>
      <c r="I181" s="6">
        <v>18399</v>
      </c>
      <c r="J181" s="6" t="s">
        <v>29</v>
      </c>
      <c r="K181" s="6"/>
    </row>
    <row r="182" spans="1:11" x14ac:dyDescent="0.25">
      <c r="A182" s="5" t="s">
        <v>227</v>
      </c>
      <c r="B182" s="5" t="s">
        <v>1513</v>
      </c>
      <c r="C182" s="5" t="s">
        <v>53</v>
      </c>
      <c r="D182" s="5" t="s">
        <v>1283</v>
      </c>
      <c r="E182" s="5" t="s">
        <v>27</v>
      </c>
      <c r="F182" s="5" t="s">
        <v>28</v>
      </c>
      <c r="G182" s="5" t="s">
        <v>1405</v>
      </c>
      <c r="H182" s="5" t="s">
        <v>1266</v>
      </c>
      <c r="I182" s="5">
        <v>8896</v>
      </c>
      <c r="J182" s="5" t="s">
        <v>1267</v>
      </c>
      <c r="K182" s="5" t="s">
        <v>1286</v>
      </c>
    </row>
    <row r="183" spans="1:11" x14ac:dyDescent="0.25">
      <c r="A183" s="6" t="s">
        <v>228</v>
      </c>
      <c r="B183" s="6" t="s">
        <v>1514</v>
      </c>
      <c r="C183" s="6" t="s">
        <v>1288</v>
      </c>
      <c r="D183" s="6" t="s">
        <v>36</v>
      </c>
      <c r="E183" s="6" t="s">
        <v>63</v>
      </c>
      <c r="F183" s="6" t="s">
        <v>59</v>
      </c>
      <c r="G183" s="6" t="s">
        <v>1405</v>
      </c>
      <c r="H183" s="6" t="s">
        <v>1403</v>
      </c>
      <c r="I183" s="6">
        <v>3341</v>
      </c>
      <c r="J183" s="6" t="s">
        <v>45</v>
      </c>
      <c r="K183" s="6" t="s">
        <v>1273</v>
      </c>
    </row>
    <row r="184" spans="1:11" x14ac:dyDescent="0.25">
      <c r="A184" s="5" t="s">
        <v>229</v>
      </c>
      <c r="B184" s="5" t="s">
        <v>1515</v>
      </c>
      <c r="C184" s="5" t="s">
        <v>1264</v>
      </c>
      <c r="D184" s="5" t="s">
        <v>26</v>
      </c>
      <c r="E184" s="5" t="s">
        <v>41</v>
      </c>
      <c r="F184" s="5" t="s">
        <v>42</v>
      </c>
      <c r="G184" s="5" t="s">
        <v>1337</v>
      </c>
      <c r="H184" s="5" t="s">
        <v>1325</v>
      </c>
      <c r="I184" s="5">
        <v>18089</v>
      </c>
      <c r="J184" s="5" t="s">
        <v>45</v>
      </c>
      <c r="K184" s="5" t="s">
        <v>46</v>
      </c>
    </row>
    <row r="185" spans="1:11" x14ac:dyDescent="0.25">
      <c r="A185" s="6" t="s">
        <v>230</v>
      </c>
      <c r="B185" s="6" t="s">
        <v>1516</v>
      </c>
      <c r="C185" s="6" t="s">
        <v>1269</v>
      </c>
      <c r="D185" s="6" t="s">
        <v>1283</v>
      </c>
      <c r="E185" s="6" t="s">
        <v>41</v>
      </c>
      <c r="F185" s="6" t="s">
        <v>42</v>
      </c>
      <c r="G185" s="6" t="s">
        <v>1517</v>
      </c>
      <c r="H185" s="6" t="s">
        <v>1311</v>
      </c>
      <c r="I185" s="6">
        <v>21485</v>
      </c>
      <c r="J185" s="6" t="s">
        <v>29</v>
      </c>
      <c r="K185" s="6" t="s">
        <v>1273</v>
      </c>
    </row>
    <row r="186" spans="1:11" x14ac:dyDescent="0.25">
      <c r="A186" s="5" t="s">
        <v>231</v>
      </c>
      <c r="B186" s="5" t="s">
        <v>1518</v>
      </c>
      <c r="C186" s="5" t="s">
        <v>1264</v>
      </c>
      <c r="D186" s="5" t="s">
        <v>1275</v>
      </c>
      <c r="E186" s="5" t="s">
        <v>1519</v>
      </c>
      <c r="F186" s="5" t="s">
        <v>21</v>
      </c>
      <c r="G186" s="5" t="s">
        <v>1315</v>
      </c>
      <c r="H186" s="5" t="s">
        <v>1261</v>
      </c>
      <c r="I186" s="5">
        <v>5664</v>
      </c>
      <c r="J186" s="5" t="s">
        <v>22</v>
      </c>
      <c r="K186" s="5" t="s">
        <v>1286</v>
      </c>
    </row>
    <row r="187" spans="1:11" x14ac:dyDescent="0.25">
      <c r="A187" s="6" t="s">
        <v>232</v>
      </c>
      <c r="B187" s="6" t="s">
        <v>1520</v>
      </c>
      <c r="C187" s="6" t="s">
        <v>73</v>
      </c>
      <c r="D187" s="6" t="s">
        <v>1255</v>
      </c>
      <c r="E187" s="6" t="s">
        <v>55</v>
      </c>
      <c r="F187" s="6" t="s">
        <v>34</v>
      </c>
      <c r="G187" s="6" t="s">
        <v>1315</v>
      </c>
      <c r="H187" s="6" t="s">
        <v>1278</v>
      </c>
      <c r="I187" s="6">
        <v>21870</v>
      </c>
      <c r="J187" s="6" t="s">
        <v>16</v>
      </c>
      <c r="K187" s="6" t="s">
        <v>1273</v>
      </c>
    </row>
    <row r="188" spans="1:11" x14ac:dyDescent="0.25">
      <c r="A188" s="5" t="s">
        <v>233</v>
      </c>
      <c r="B188" s="5" t="s">
        <v>1521</v>
      </c>
      <c r="C188" s="5" t="s">
        <v>1288</v>
      </c>
      <c r="D188" s="5" t="s">
        <v>1255</v>
      </c>
      <c r="E188" s="5" t="s">
        <v>49</v>
      </c>
      <c r="F188" s="5" t="s">
        <v>50</v>
      </c>
      <c r="G188" s="5" t="s">
        <v>1364</v>
      </c>
      <c r="H188" s="5" t="s">
        <v>1291</v>
      </c>
      <c r="I188" s="5">
        <v>45115</v>
      </c>
      <c r="J188" s="5" t="s">
        <v>29</v>
      </c>
      <c r="K188" s="5" t="s">
        <v>1273</v>
      </c>
    </row>
    <row r="189" spans="1:11" x14ac:dyDescent="0.25">
      <c r="A189" s="6" t="s">
        <v>234</v>
      </c>
      <c r="B189" s="6" t="s">
        <v>1522</v>
      </c>
      <c r="C189" s="6" t="s">
        <v>73</v>
      </c>
      <c r="D189" s="6" t="s">
        <v>1255</v>
      </c>
      <c r="E189" s="6" t="s">
        <v>49</v>
      </c>
      <c r="F189" s="6" t="s">
        <v>50</v>
      </c>
      <c r="G189" s="6" t="s">
        <v>1301</v>
      </c>
      <c r="H189" s="6" t="s">
        <v>1359</v>
      </c>
      <c r="I189" s="6">
        <v>51496</v>
      </c>
      <c r="J189" s="6" t="s">
        <v>1267</v>
      </c>
      <c r="K189" s="6" t="s">
        <v>46</v>
      </c>
    </row>
    <row r="190" spans="1:11" x14ac:dyDescent="0.25">
      <c r="A190" s="5" t="s">
        <v>235</v>
      </c>
      <c r="B190" s="5" t="s">
        <v>1523</v>
      </c>
      <c r="C190" s="5" t="s">
        <v>1254</v>
      </c>
      <c r="D190" s="5" t="s">
        <v>1270</v>
      </c>
      <c r="E190" s="5" t="s">
        <v>37</v>
      </c>
      <c r="F190" s="5" t="s">
        <v>38</v>
      </c>
      <c r="G190" s="5" t="s">
        <v>1277</v>
      </c>
      <c r="H190" s="5" t="s">
        <v>1367</v>
      </c>
      <c r="I190" s="5">
        <v>37338</v>
      </c>
      <c r="J190" s="5" t="s">
        <v>22</v>
      </c>
      <c r="K190" s="5" t="s">
        <v>1273</v>
      </c>
    </row>
    <row r="191" spans="1:11" x14ac:dyDescent="0.25">
      <c r="A191" s="6" t="s">
        <v>236</v>
      </c>
      <c r="B191" s="6" t="s">
        <v>1339</v>
      </c>
      <c r="C191" s="6" t="s">
        <v>1264</v>
      </c>
      <c r="D191" s="6" t="s">
        <v>1283</v>
      </c>
      <c r="E191" s="6" t="s">
        <v>1524</v>
      </c>
      <c r="F191" s="6" t="s">
        <v>15</v>
      </c>
      <c r="G191" s="6" t="s">
        <v>1315</v>
      </c>
      <c r="H191" s="6" t="s">
        <v>1257</v>
      </c>
      <c r="I191" s="6">
        <v>9603</v>
      </c>
      <c r="J191" s="6" t="s">
        <v>45</v>
      </c>
      <c r="K191" s="6" t="s">
        <v>1286</v>
      </c>
    </row>
    <row r="192" spans="1:11" x14ac:dyDescent="0.25">
      <c r="A192" s="5" t="s">
        <v>237</v>
      </c>
      <c r="B192" s="5" t="s">
        <v>1525</v>
      </c>
      <c r="C192" s="5" t="s">
        <v>48</v>
      </c>
      <c r="D192" s="5" t="s">
        <v>1296</v>
      </c>
      <c r="E192" s="5" t="s">
        <v>20</v>
      </c>
      <c r="F192" s="5" t="s">
        <v>21</v>
      </c>
      <c r="G192" s="5" t="s">
        <v>1405</v>
      </c>
      <c r="H192" s="5" t="s">
        <v>1261</v>
      </c>
      <c r="I192" s="5">
        <v>5865</v>
      </c>
      <c r="J192" s="5" t="s">
        <v>1267</v>
      </c>
      <c r="K192" s="5" t="s">
        <v>1286</v>
      </c>
    </row>
    <row r="193" spans="1:11" x14ac:dyDescent="0.25">
      <c r="A193" s="6" t="s">
        <v>238</v>
      </c>
      <c r="B193" s="6" t="s">
        <v>1526</v>
      </c>
      <c r="C193" s="6" t="s">
        <v>62</v>
      </c>
      <c r="D193" s="6" t="s">
        <v>1270</v>
      </c>
      <c r="E193" s="6" t="s">
        <v>14</v>
      </c>
      <c r="F193" s="6" t="s">
        <v>15</v>
      </c>
      <c r="G193" s="6" t="s">
        <v>1341</v>
      </c>
      <c r="H193" s="6" t="s">
        <v>1272</v>
      </c>
      <c r="I193" s="6">
        <v>8093</v>
      </c>
      <c r="J193" s="6" t="s">
        <v>29</v>
      </c>
      <c r="K193" s="6" t="s">
        <v>1286</v>
      </c>
    </row>
    <row r="194" spans="1:11" x14ac:dyDescent="0.25">
      <c r="A194" s="5" t="s">
        <v>239</v>
      </c>
      <c r="B194" s="5" t="s">
        <v>1334</v>
      </c>
      <c r="C194" s="5" t="s">
        <v>1259</v>
      </c>
      <c r="D194" s="5" t="s">
        <v>1275</v>
      </c>
      <c r="E194" s="5" t="s">
        <v>27</v>
      </c>
      <c r="F194" s="5" t="s">
        <v>28</v>
      </c>
      <c r="G194" s="5" t="s">
        <v>1256</v>
      </c>
      <c r="H194" s="5" t="s">
        <v>1266</v>
      </c>
      <c r="I194" s="5">
        <v>10069</v>
      </c>
      <c r="J194" s="5" t="s">
        <v>22</v>
      </c>
      <c r="K194" s="5" t="s">
        <v>1273</v>
      </c>
    </row>
    <row r="195" spans="1:11" x14ac:dyDescent="0.25">
      <c r="A195" s="6" t="s">
        <v>240</v>
      </c>
      <c r="B195" s="6" t="s">
        <v>1527</v>
      </c>
      <c r="C195" s="6" t="s">
        <v>62</v>
      </c>
      <c r="D195" s="6" t="s">
        <v>1255</v>
      </c>
      <c r="E195" s="6" t="s">
        <v>55</v>
      </c>
      <c r="F195" s="6" t="s">
        <v>34</v>
      </c>
      <c r="G195" s="6" t="s">
        <v>1297</v>
      </c>
      <c r="H195" s="6" t="s">
        <v>1278</v>
      </c>
      <c r="I195" s="6">
        <v>22757</v>
      </c>
      <c r="J195" s="6" t="s">
        <v>45</v>
      </c>
      <c r="K195" s="6" t="s">
        <v>1262</v>
      </c>
    </row>
    <row r="196" spans="1:11" x14ac:dyDescent="0.25">
      <c r="A196" s="5" t="s">
        <v>241</v>
      </c>
      <c r="B196" s="5" t="s">
        <v>1528</v>
      </c>
      <c r="C196" s="5" t="s">
        <v>1288</v>
      </c>
      <c r="D196" s="5" t="s">
        <v>1270</v>
      </c>
      <c r="E196" s="5" t="s">
        <v>1529</v>
      </c>
      <c r="F196" s="5" t="s">
        <v>67</v>
      </c>
      <c r="G196" s="5" t="s">
        <v>1260</v>
      </c>
      <c r="H196" s="5" t="s">
        <v>1317</v>
      </c>
      <c r="I196" s="5">
        <v>1927</v>
      </c>
      <c r="J196" s="5" t="s">
        <v>16</v>
      </c>
      <c r="K196" s="5" t="s">
        <v>1273</v>
      </c>
    </row>
    <row r="197" spans="1:11" x14ac:dyDescent="0.25">
      <c r="A197" s="6" t="s">
        <v>242</v>
      </c>
      <c r="B197" s="6" t="s">
        <v>1530</v>
      </c>
      <c r="C197" s="6" t="s">
        <v>1259</v>
      </c>
      <c r="D197" s="6" t="s">
        <v>1270</v>
      </c>
      <c r="E197" s="6" t="s">
        <v>55</v>
      </c>
      <c r="F197" s="6" t="s">
        <v>34</v>
      </c>
      <c r="G197" s="6" t="s">
        <v>1297</v>
      </c>
      <c r="H197" s="6" t="s">
        <v>1299</v>
      </c>
      <c r="I197" s="6">
        <v>26414</v>
      </c>
      <c r="J197" s="6" t="s">
        <v>45</v>
      </c>
      <c r="K197" s="6" t="s">
        <v>1286</v>
      </c>
    </row>
    <row r="198" spans="1:11" x14ac:dyDescent="0.25">
      <c r="A198" s="5" t="s">
        <v>243</v>
      </c>
      <c r="B198" s="5" t="s">
        <v>1531</v>
      </c>
      <c r="C198" s="5" t="s">
        <v>1288</v>
      </c>
      <c r="D198" s="5" t="s">
        <v>1283</v>
      </c>
      <c r="E198" s="5" t="s">
        <v>41</v>
      </c>
      <c r="F198" s="5" t="s">
        <v>42</v>
      </c>
      <c r="G198" s="5" t="s">
        <v>1284</v>
      </c>
      <c r="H198" s="5" t="s">
        <v>1325</v>
      </c>
      <c r="I198" s="5">
        <v>18400</v>
      </c>
      <c r="J198" s="5" t="s">
        <v>1267</v>
      </c>
      <c r="K198" s="5" t="s">
        <v>1286</v>
      </c>
    </row>
    <row r="199" spans="1:11" x14ac:dyDescent="0.25">
      <c r="A199" s="6" t="s">
        <v>244</v>
      </c>
      <c r="B199" s="6" t="s">
        <v>1532</v>
      </c>
      <c r="C199" s="6" t="s">
        <v>1288</v>
      </c>
      <c r="D199" s="6" t="s">
        <v>26</v>
      </c>
      <c r="E199" s="6" t="s">
        <v>49</v>
      </c>
      <c r="F199" s="6" t="s">
        <v>50</v>
      </c>
      <c r="G199" s="6" t="s">
        <v>1303</v>
      </c>
      <c r="H199" s="6" t="s">
        <v>1291</v>
      </c>
      <c r="I199" s="6">
        <v>52562</v>
      </c>
      <c r="J199" s="6" t="s">
        <v>45</v>
      </c>
      <c r="K199" s="6" t="s">
        <v>46</v>
      </c>
    </row>
    <row r="200" spans="1:11" x14ac:dyDescent="0.25">
      <c r="A200" s="5" t="s">
        <v>245</v>
      </c>
      <c r="B200" s="5" t="s">
        <v>1533</v>
      </c>
      <c r="C200" s="5" t="s">
        <v>1259</v>
      </c>
      <c r="D200" s="5" t="s">
        <v>1275</v>
      </c>
      <c r="E200" s="5" t="s">
        <v>49</v>
      </c>
      <c r="F200" s="5" t="s">
        <v>50</v>
      </c>
      <c r="G200" s="5" t="s">
        <v>1277</v>
      </c>
      <c r="H200" s="5" t="s">
        <v>1291</v>
      </c>
      <c r="I200" s="5">
        <v>58860</v>
      </c>
      <c r="J200" s="5" t="s">
        <v>29</v>
      </c>
      <c r="K200" s="5" t="s">
        <v>46</v>
      </c>
    </row>
    <row r="201" spans="1:11" x14ac:dyDescent="0.25">
      <c r="A201" s="6" t="s">
        <v>246</v>
      </c>
      <c r="B201" s="6" t="s">
        <v>1534</v>
      </c>
      <c r="C201" s="6" t="s">
        <v>62</v>
      </c>
      <c r="D201" s="6" t="s">
        <v>1283</v>
      </c>
      <c r="E201" s="6" t="s">
        <v>1529</v>
      </c>
      <c r="F201" s="6" t="s">
        <v>67</v>
      </c>
      <c r="G201" s="6" t="s">
        <v>1517</v>
      </c>
      <c r="H201" s="6" t="s">
        <v>1335</v>
      </c>
      <c r="I201" s="6">
        <v>1746</v>
      </c>
      <c r="J201" s="6" t="s">
        <v>22</v>
      </c>
      <c r="K201" s="6" t="s">
        <v>1262</v>
      </c>
    </row>
    <row r="202" spans="1:11" x14ac:dyDescent="0.25">
      <c r="A202" s="5" t="s">
        <v>247</v>
      </c>
      <c r="B202" s="5" t="s">
        <v>1535</v>
      </c>
      <c r="C202" s="5" t="s">
        <v>73</v>
      </c>
      <c r="D202" s="5" t="s">
        <v>1283</v>
      </c>
      <c r="E202" s="5" t="s">
        <v>20</v>
      </c>
      <c r="F202" s="5" t="s">
        <v>21</v>
      </c>
      <c r="G202" s="5" t="s">
        <v>1297</v>
      </c>
      <c r="H202" s="5" t="s">
        <v>1261</v>
      </c>
      <c r="I202" s="5">
        <v>5508</v>
      </c>
      <c r="J202" s="5" t="s">
        <v>45</v>
      </c>
      <c r="K202" s="5" t="s">
        <v>1273</v>
      </c>
    </row>
    <row r="203" spans="1:11" x14ac:dyDescent="0.25">
      <c r="A203" s="6" t="s">
        <v>248</v>
      </c>
      <c r="B203" s="6" t="s">
        <v>1536</v>
      </c>
      <c r="C203" s="6" t="s">
        <v>73</v>
      </c>
      <c r="D203" s="6" t="s">
        <v>26</v>
      </c>
      <c r="E203" s="6" t="s">
        <v>20</v>
      </c>
      <c r="F203" s="6" t="s">
        <v>21</v>
      </c>
      <c r="G203" s="6" t="s">
        <v>1303</v>
      </c>
      <c r="H203" s="6" t="s">
        <v>1261</v>
      </c>
      <c r="I203" s="6">
        <v>6651</v>
      </c>
      <c r="J203" s="6" t="s">
        <v>29</v>
      </c>
      <c r="K203" s="6" t="s">
        <v>1273</v>
      </c>
    </row>
    <row r="204" spans="1:11" x14ac:dyDescent="0.25">
      <c r="A204" s="5" t="s">
        <v>249</v>
      </c>
      <c r="B204" s="5" t="s">
        <v>1537</v>
      </c>
      <c r="C204" s="5" t="s">
        <v>73</v>
      </c>
      <c r="D204" s="5" t="s">
        <v>26</v>
      </c>
      <c r="E204" s="5" t="s">
        <v>49</v>
      </c>
      <c r="F204" s="5" t="s">
        <v>50</v>
      </c>
      <c r="G204" s="5" t="s">
        <v>1271</v>
      </c>
      <c r="H204" s="5" t="s">
        <v>1304</v>
      </c>
      <c r="I204" s="5">
        <v>47100</v>
      </c>
      <c r="J204" s="5" t="s">
        <v>45</v>
      </c>
      <c r="K204" s="5" t="s">
        <v>17</v>
      </c>
    </row>
    <row r="205" spans="1:11" x14ac:dyDescent="0.25">
      <c r="A205" s="6" t="s">
        <v>250</v>
      </c>
      <c r="B205" s="6" t="s">
        <v>1538</v>
      </c>
      <c r="C205" s="6" t="s">
        <v>1259</v>
      </c>
      <c r="D205" s="6" t="s">
        <v>1255</v>
      </c>
      <c r="E205" s="6" t="s">
        <v>41</v>
      </c>
      <c r="F205" s="6" t="s">
        <v>42</v>
      </c>
      <c r="G205" s="6" t="s">
        <v>1313</v>
      </c>
      <c r="H205" s="6" t="s">
        <v>1311</v>
      </c>
      <c r="I205" s="6">
        <v>18973</v>
      </c>
      <c r="J205" s="6" t="s">
        <v>1267</v>
      </c>
      <c r="K205" s="6" t="s">
        <v>1286</v>
      </c>
    </row>
    <row r="206" spans="1:11" x14ac:dyDescent="0.25">
      <c r="A206" s="5" t="s">
        <v>251</v>
      </c>
      <c r="B206" s="5" t="s">
        <v>1340</v>
      </c>
      <c r="C206" s="5" t="s">
        <v>62</v>
      </c>
      <c r="D206" s="5" t="s">
        <v>1275</v>
      </c>
      <c r="E206" s="5" t="s">
        <v>1401</v>
      </c>
      <c r="F206" s="5" t="s">
        <v>67</v>
      </c>
      <c r="G206" s="5" t="s">
        <v>1301</v>
      </c>
      <c r="H206" s="5" t="s">
        <v>1317</v>
      </c>
      <c r="I206" s="5">
        <v>1605</v>
      </c>
      <c r="J206" s="5" t="s">
        <v>22</v>
      </c>
      <c r="K206" s="5" t="s">
        <v>1273</v>
      </c>
    </row>
    <row r="207" spans="1:11" x14ac:dyDescent="0.25">
      <c r="A207" s="6" t="s">
        <v>252</v>
      </c>
      <c r="B207" s="6" t="s">
        <v>1539</v>
      </c>
      <c r="C207" s="6" t="s">
        <v>1288</v>
      </c>
      <c r="D207" s="6" t="s">
        <v>1283</v>
      </c>
      <c r="E207" s="6" t="s">
        <v>27</v>
      </c>
      <c r="F207" s="6" t="s">
        <v>28</v>
      </c>
      <c r="G207" s="6" t="s">
        <v>1337</v>
      </c>
      <c r="H207" s="6" t="s">
        <v>1266</v>
      </c>
      <c r="I207" s="6">
        <v>9078</v>
      </c>
      <c r="J207" s="6" t="s">
        <v>16</v>
      </c>
      <c r="K207" s="6" t="s">
        <v>1286</v>
      </c>
    </row>
    <row r="208" spans="1:11" x14ac:dyDescent="0.25">
      <c r="A208" s="5" t="s">
        <v>253</v>
      </c>
      <c r="B208" s="5" t="s">
        <v>1418</v>
      </c>
      <c r="C208" s="5" t="s">
        <v>1259</v>
      </c>
      <c r="D208" s="5" t="s">
        <v>1270</v>
      </c>
      <c r="E208" s="5" t="s">
        <v>27</v>
      </c>
      <c r="F208" s="5" t="s">
        <v>28</v>
      </c>
      <c r="G208" s="5" t="s">
        <v>1256</v>
      </c>
      <c r="H208" s="5" t="s">
        <v>1266</v>
      </c>
      <c r="I208" s="5">
        <v>8916</v>
      </c>
      <c r="J208" s="5" t="s">
        <v>16</v>
      </c>
      <c r="K208" s="5" t="s">
        <v>1273</v>
      </c>
    </row>
    <row r="209" spans="1:11" x14ac:dyDescent="0.25">
      <c r="A209" s="6" t="s">
        <v>254</v>
      </c>
      <c r="B209" s="6" t="s">
        <v>1540</v>
      </c>
      <c r="C209" s="6" t="s">
        <v>73</v>
      </c>
      <c r="D209" s="6" t="s">
        <v>1255</v>
      </c>
      <c r="E209" s="6" t="s">
        <v>63</v>
      </c>
      <c r="F209" s="6" t="s">
        <v>59</v>
      </c>
      <c r="G209" s="6" t="s">
        <v>1541</v>
      </c>
      <c r="H209" s="6" t="s">
        <v>1320</v>
      </c>
      <c r="I209" s="6">
        <v>3519</v>
      </c>
      <c r="J209" s="6" t="s">
        <v>16</v>
      </c>
      <c r="K209" s="6" t="s">
        <v>46</v>
      </c>
    </row>
    <row r="210" spans="1:11" x14ac:dyDescent="0.25">
      <c r="A210" s="5" t="s">
        <v>255</v>
      </c>
      <c r="B210" s="5" t="s">
        <v>1542</v>
      </c>
      <c r="C210" s="5" t="s">
        <v>1269</v>
      </c>
      <c r="D210" s="5" t="s">
        <v>1270</v>
      </c>
      <c r="E210" s="5" t="s">
        <v>63</v>
      </c>
      <c r="F210" s="5" t="s">
        <v>59</v>
      </c>
      <c r="G210" s="5" t="s">
        <v>1303</v>
      </c>
      <c r="H210" s="5" t="s">
        <v>1308</v>
      </c>
      <c r="I210" s="5">
        <v>3336</v>
      </c>
      <c r="J210" s="5" t="s">
        <v>45</v>
      </c>
      <c r="K210" s="5" t="s">
        <v>1262</v>
      </c>
    </row>
    <row r="211" spans="1:11" x14ac:dyDescent="0.25">
      <c r="A211" s="6" t="s">
        <v>256</v>
      </c>
      <c r="B211" s="6" t="s">
        <v>1543</v>
      </c>
      <c r="C211" s="6" t="s">
        <v>1259</v>
      </c>
      <c r="D211" s="6"/>
      <c r="E211" s="6" t="s">
        <v>1466</v>
      </c>
      <c r="F211" s="6" t="s">
        <v>21</v>
      </c>
      <c r="G211" s="6" t="s">
        <v>1294</v>
      </c>
      <c r="H211" s="6" t="s">
        <v>1454</v>
      </c>
      <c r="I211" s="6">
        <v>6123</v>
      </c>
      <c r="J211" s="6" t="s">
        <v>1267</v>
      </c>
      <c r="K211" s="6" t="s">
        <v>17</v>
      </c>
    </row>
    <row r="212" spans="1:11" x14ac:dyDescent="0.25">
      <c r="A212" s="5" t="s">
        <v>257</v>
      </c>
      <c r="B212" s="5" t="s">
        <v>1534</v>
      </c>
      <c r="C212" s="5" t="s">
        <v>62</v>
      </c>
      <c r="D212" s="5" t="s">
        <v>1296</v>
      </c>
      <c r="E212" s="5" t="s">
        <v>63</v>
      </c>
      <c r="F212" s="5" t="s">
        <v>59</v>
      </c>
      <c r="G212" s="5" t="s">
        <v>1301</v>
      </c>
      <c r="H212" s="5" t="s">
        <v>1308</v>
      </c>
      <c r="I212" s="5">
        <v>3082</v>
      </c>
      <c r="J212" s="5" t="s">
        <v>29</v>
      </c>
      <c r="K212" s="5" t="s">
        <v>1262</v>
      </c>
    </row>
    <row r="213" spans="1:11" x14ac:dyDescent="0.25">
      <c r="A213" s="6" t="s">
        <v>258</v>
      </c>
      <c r="B213" s="6" t="s">
        <v>1544</v>
      </c>
      <c r="C213" s="6" t="s">
        <v>1288</v>
      </c>
      <c r="D213" s="6" t="s">
        <v>36</v>
      </c>
      <c r="E213" s="6" t="s">
        <v>14</v>
      </c>
      <c r="F213" s="6" t="s">
        <v>15</v>
      </c>
      <c r="G213" s="6" t="s">
        <v>1380</v>
      </c>
      <c r="H213" s="6" t="s">
        <v>1272</v>
      </c>
      <c r="I213" s="6">
        <v>7801</v>
      </c>
      <c r="J213" s="6" t="s">
        <v>29</v>
      </c>
      <c r="K213" s="6" t="s">
        <v>46</v>
      </c>
    </row>
    <row r="214" spans="1:11" x14ac:dyDescent="0.25">
      <c r="A214" s="5" t="s">
        <v>259</v>
      </c>
      <c r="B214" s="5" t="s">
        <v>1503</v>
      </c>
      <c r="C214" s="5" t="s">
        <v>1259</v>
      </c>
      <c r="D214" s="5" t="s">
        <v>1275</v>
      </c>
      <c r="E214" s="5" t="s">
        <v>49</v>
      </c>
      <c r="F214" s="5" t="s">
        <v>50</v>
      </c>
      <c r="G214" s="5" t="s">
        <v>1380</v>
      </c>
      <c r="H214" s="5" t="s">
        <v>1291</v>
      </c>
      <c r="I214" s="5">
        <v>49840</v>
      </c>
      <c r="J214" s="5" t="s">
        <v>16</v>
      </c>
      <c r="K214" s="5" t="s">
        <v>1262</v>
      </c>
    </row>
    <row r="215" spans="1:11" x14ac:dyDescent="0.25">
      <c r="A215" s="6" t="s">
        <v>260</v>
      </c>
      <c r="B215" s="6" t="s">
        <v>1545</v>
      </c>
      <c r="C215" s="6" t="s">
        <v>53</v>
      </c>
      <c r="D215" s="6" t="s">
        <v>1270</v>
      </c>
      <c r="E215" s="6" t="s">
        <v>55</v>
      </c>
      <c r="F215" s="6" t="s">
        <v>34</v>
      </c>
      <c r="G215" s="6" t="s">
        <v>1315</v>
      </c>
      <c r="H215" s="6" t="s">
        <v>1278</v>
      </c>
      <c r="I215" s="6">
        <v>26684</v>
      </c>
      <c r="J215" s="6" t="s">
        <v>29</v>
      </c>
      <c r="K215" s="6" t="s">
        <v>1262</v>
      </c>
    </row>
    <row r="216" spans="1:11" x14ac:dyDescent="0.25">
      <c r="A216" s="5" t="s">
        <v>261</v>
      </c>
      <c r="B216" s="5" t="s">
        <v>1546</v>
      </c>
      <c r="C216" s="5" t="s">
        <v>73</v>
      </c>
      <c r="D216" s="5" t="s">
        <v>1296</v>
      </c>
      <c r="E216" s="5" t="s">
        <v>1529</v>
      </c>
      <c r="F216" s="5" t="s">
        <v>67</v>
      </c>
      <c r="G216" s="5" t="s">
        <v>1297</v>
      </c>
      <c r="H216" s="5" t="s">
        <v>1317</v>
      </c>
      <c r="I216" s="5">
        <v>1534</v>
      </c>
      <c r="J216" s="5" t="s">
        <v>29</v>
      </c>
      <c r="K216" s="5" t="s">
        <v>1262</v>
      </c>
    </row>
    <row r="217" spans="1:11" x14ac:dyDescent="0.25">
      <c r="A217" s="6" t="s">
        <v>262</v>
      </c>
      <c r="B217" s="6" t="s">
        <v>1547</v>
      </c>
      <c r="C217" s="6" t="s">
        <v>62</v>
      </c>
      <c r="D217" s="6" t="s">
        <v>1296</v>
      </c>
      <c r="E217" s="6" t="s">
        <v>14</v>
      </c>
      <c r="F217" s="6" t="s">
        <v>15</v>
      </c>
      <c r="G217" s="6" t="s">
        <v>1376</v>
      </c>
      <c r="H217" s="6" t="s">
        <v>1272</v>
      </c>
      <c r="I217" s="6">
        <v>9401</v>
      </c>
      <c r="J217" s="6" t="s">
        <v>1267</v>
      </c>
      <c r="K217" s="6" t="s">
        <v>1262</v>
      </c>
    </row>
    <row r="218" spans="1:11" x14ac:dyDescent="0.25">
      <c r="A218" s="5" t="s">
        <v>263</v>
      </c>
      <c r="B218" s="5" t="s">
        <v>1392</v>
      </c>
      <c r="C218" s="5" t="s">
        <v>73</v>
      </c>
      <c r="D218" s="5" t="s">
        <v>1296</v>
      </c>
      <c r="E218" s="5" t="s">
        <v>20</v>
      </c>
      <c r="F218" s="5" t="s">
        <v>21</v>
      </c>
      <c r="G218" s="5" t="s">
        <v>1284</v>
      </c>
      <c r="H218" s="5" t="s">
        <v>1454</v>
      </c>
      <c r="I218" s="5">
        <v>6373</v>
      </c>
      <c r="J218" s="5" t="s">
        <v>29</v>
      </c>
      <c r="K218" s="5" t="s">
        <v>17</v>
      </c>
    </row>
    <row r="219" spans="1:11" x14ac:dyDescent="0.25">
      <c r="A219" s="6" t="s">
        <v>264</v>
      </c>
      <c r="B219" s="6" t="s">
        <v>1548</v>
      </c>
      <c r="C219" s="6" t="s">
        <v>53</v>
      </c>
      <c r="D219" s="6" t="s">
        <v>1296</v>
      </c>
      <c r="E219" s="6" t="s">
        <v>37</v>
      </c>
      <c r="F219" s="6" t="s">
        <v>38</v>
      </c>
      <c r="G219" s="6" t="s">
        <v>1337</v>
      </c>
      <c r="H219" s="6" t="s">
        <v>1281</v>
      </c>
      <c r="I219" s="6">
        <v>42229</v>
      </c>
      <c r="J219" s="6" t="s">
        <v>16</v>
      </c>
      <c r="K219" s="6" t="s">
        <v>46</v>
      </c>
    </row>
    <row r="220" spans="1:11" x14ac:dyDescent="0.25">
      <c r="A220" s="5" t="s">
        <v>265</v>
      </c>
      <c r="B220" s="5" t="s">
        <v>1549</v>
      </c>
      <c r="C220" s="5" t="s">
        <v>1264</v>
      </c>
      <c r="D220" s="5" t="s">
        <v>1270</v>
      </c>
      <c r="E220" s="5" t="s">
        <v>14</v>
      </c>
      <c r="F220" s="5" t="s">
        <v>15</v>
      </c>
      <c r="G220" s="5" t="s">
        <v>1307</v>
      </c>
      <c r="H220" s="5" t="s">
        <v>1257</v>
      </c>
      <c r="I220" s="5">
        <v>9816</v>
      </c>
      <c r="J220" s="5" t="s">
        <v>16</v>
      </c>
      <c r="K220" s="5" t="s">
        <v>1273</v>
      </c>
    </row>
    <row r="221" spans="1:11" x14ac:dyDescent="0.25">
      <c r="A221" s="6" t="s">
        <v>266</v>
      </c>
      <c r="B221" s="6" t="s">
        <v>1481</v>
      </c>
      <c r="C221" s="6" t="s">
        <v>1288</v>
      </c>
      <c r="D221" s="6" t="s">
        <v>26</v>
      </c>
      <c r="E221" s="6" t="s">
        <v>1524</v>
      </c>
      <c r="F221" s="6" t="s">
        <v>15</v>
      </c>
      <c r="G221" s="6" t="s">
        <v>1301</v>
      </c>
      <c r="H221" s="6" t="s">
        <v>1272</v>
      </c>
      <c r="I221" s="6">
        <v>8172</v>
      </c>
      <c r="J221" s="6" t="s">
        <v>45</v>
      </c>
      <c r="K221" s="6" t="s">
        <v>1273</v>
      </c>
    </row>
    <row r="222" spans="1:11" x14ac:dyDescent="0.25">
      <c r="A222" s="5" t="s">
        <v>267</v>
      </c>
      <c r="B222" s="5" t="s">
        <v>1510</v>
      </c>
      <c r="C222" s="5" t="s">
        <v>1269</v>
      </c>
      <c r="D222" s="5" t="s">
        <v>1255</v>
      </c>
      <c r="E222" s="5" t="s">
        <v>14</v>
      </c>
      <c r="F222" s="5" t="s">
        <v>15</v>
      </c>
      <c r="G222" s="5" t="s">
        <v>1284</v>
      </c>
      <c r="H222" s="5" t="s">
        <v>1257</v>
      </c>
      <c r="I222" s="5">
        <v>8557</v>
      </c>
      <c r="J222" s="5" t="s">
        <v>45</v>
      </c>
      <c r="K222" s="5" t="s">
        <v>1286</v>
      </c>
    </row>
    <row r="223" spans="1:11" x14ac:dyDescent="0.25">
      <c r="A223" s="6" t="s">
        <v>268</v>
      </c>
      <c r="B223" s="6" t="s">
        <v>1550</v>
      </c>
      <c r="C223" s="6" t="s">
        <v>1269</v>
      </c>
      <c r="D223" s="6" t="s">
        <v>26</v>
      </c>
      <c r="E223" s="6" t="s">
        <v>55</v>
      </c>
      <c r="F223" s="6" t="s">
        <v>34</v>
      </c>
      <c r="G223" s="6" t="s">
        <v>1315</v>
      </c>
      <c r="H223" s="6" t="s">
        <v>1278</v>
      </c>
      <c r="I223" s="6">
        <v>24306</v>
      </c>
      <c r="J223" s="6" t="s">
        <v>16</v>
      </c>
      <c r="K223" s="6" t="s">
        <v>46</v>
      </c>
    </row>
    <row r="224" spans="1:11" x14ac:dyDescent="0.25">
      <c r="A224" s="5" t="s">
        <v>269</v>
      </c>
      <c r="B224" s="5" t="s">
        <v>1434</v>
      </c>
      <c r="C224" s="5" t="s">
        <v>1254</v>
      </c>
      <c r="D224" s="5" t="s">
        <v>1296</v>
      </c>
      <c r="E224" s="5" t="s">
        <v>66</v>
      </c>
      <c r="F224" s="5" t="s">
        <v>67</v>
      </c>
      <c r="G224" s="5" t="s">
        <v>1331</v>
      </c>
      <c r="H224" s="5" t="s">
        <v>1317</v>
      </c>
      <c r="I224" s="5">
        <v>1933</v>
      </c>
      <c r="J224" s="5" t="s">
        <v>29</v>
      </c>
      <c r="K224" s="5" t="s">
        <v>17</v>
      </c>
    </row>
    <row r="225" spans="1:11" x14ac:dyDescent="0.25">
      <c r="A225" s="6" t="s">
        <v>270</v>
      </c>
      <c r="B225" s="6" t="s">
        <v>1551</v>
      </c>
      <c r="C225" s="6" t="s">
        <v>62</v>
      </c>
      <c r="D225" s="6" t="s">
        <v>26</v>
      </c>
      <c r="E225" s="6" t="s">
        <v>63</v>
      </c>
      <c r="F225" s="6" t="s">
        <v>59</v>
      </c>
      <c r="G225" s="6" t="s">
        <v>1517</v>
      </c>
      <c r="H225" s="6" t="s">
        <v>1320</v>
      </c>
      <c r="I225" s="6">
        <v>3003</v>
      </c>
      <c r="J225" s="6" t="s">
        <v>16</v>
      </c>
      <c r="K225" s="6" t="s">
        <v>1273</v>
      </c>
    </row>
    <row r="226" spans="1:11" x14ac:dyDescent="0.25">
      <c r="A226" s="5" t="s">
        <v>271</v>
      </c>
      <c r="B226" s="5" t="s">
        <v>1552</v>
      </c>
      <c r="C226" s="5" t="s">
        <v>48</v>
      </c>
      <c r="D226" s="5" t="s">
        <v>1255</v>
      </c>
      <c r="E226" s="5" t="s">
        <v>1361</v>
      </c>
      <c r="F226" s="5" t="s">
        <v>42</v>
      </c>
      <c r="G226" s="5" t="s">
        <v>1313</v>
      </c>
      <c r="H226" s="5" t="s">
        <v>1325</v>
      </c>
      <c r="I226" s="5">
        <v>20991</v>
      </c>
      <c r="J226" s="5" t="s">
        <v>16</v>
      </c>
      <c r="K226" s="5"/>
    </row>
    <row r="227" spans="1:11" x14ac:dyDescent="0.25">
      <c r="A227" s="6" t="s">
        <v>272</v>
      </c>
      <c r="B227" s="6" t="s">
        <v>1553</v>
      </c>
      <c r="C227" s="6" t="s">
        <v>53</v>
      </c>
      <c r="D227" s="6" t="s">
        <v>1296</v>
      </c>
      <c r="E227" s="6" t="s">
        <v>55</v>
      </c>
      <c r="F227" s="6" t="s">
        <v>34</v>
      </c>
      <c r="G227" s="6" t="s">
        <v>1280</v>
      </c>
      <c r="H227" s="6" t="s">
        <v>1278</v>
      </c>
      <c r="I227" s="6">
        <v>22124</v>
      </c>
      <c r="J227" s="6" t="s">
        <v>1267</v>
      </c>
      <c r="K227" s="6" t="s">
        <v>46</v>
      </c>
    </row>
    <row r="228" spans="1:11" x14ac:dyDescent="0.25">
      <c r="A228" s="5" t="s">
        <v>273</v>
      </c>
      <c r="B228" s="5" t="s">
        <v>1554</v>
      </c>
      <c r="C228" s="5" t="s">
        <v>1288</v>
      </c>
      <c r="D228" s="5" t="s">
        <v>1296</v>
      </c>
      <c r="E228" s="5" t="s">
        <v>66</v>
      </c>
      <c r="F228" s="5" t="s">
        <v>67</v>
      </c>
      <c r="G228" s="5" t="s">
        <v>1337</v>
      </c>
      <c r="H228" s="5" t="s">
        <v>1317</v>
      </c>
      <c r="I228" s="5">
        <v>1519</v>
      </c>
      <c r="J228" s="5" t="s">
        <v>1267</v>
      </c>
      <c r="K228" s="5" t="s">
        <v>17</v>
      </c>
    </row>
    <row r="229" spans="1:11" x14ac:dyDescent="0.25">
      <c r="A229" s="6" t="s">
        <v>274</v>
      </c>
      <c r="B229" s="6" t="s">
        <v>1555</v>
      </c>
      <c r="C229" s="6" t="s">
        <v>73</v>
      </c>
      <c r="D229" s="6" t="s">
        <v>1275</v>
      </c>
      <c r="E229" s="6" t="s">
        <v>37</v>
      </c>
      <c r="F229" s="6" t="s">
        <v>38</v>
      </c>
      <c r="G229" s="6" t="s">
        <v>1380</v>
      </c>
      <c r="H229" s="6" t="s">
        <v>1342</v>
      </c>
      <c r="I229" s="6">
        <v>34374</v>
      </c>
      <c r="J229" s="6" t="s">
        <v>29</v>
      </c>
      <c r="K229" s="6" t="s">
        <v>46</v>
      </c>
    </row>
    <row r="230" spans="1:11" x14ac:dyDescent="0.25">
      <c r="A230" s="5" t="s">
        <v>275</v>
      </c>
      <c r="B230" s="5" t="s">
        <v>1556</v>
      </c>
      <c r="C230" s="5" t="s">
        <v>1259</v>
      </c>
      <c r="D230" s="5" t="s">
        <v>36</v>
      </c>
      <c r="E230" s="5" t="s">
        <v>63</v>
      </c>
      <c r="F230" s="5" t="s">
        <v>59</v>
      </c>
      <c r="G230" s="5" t="s">
        <v>1265</v>
      </c>
      <c r="H230" s="5" t="s">
        <v>1308</v>
      </c>
      <c r="I230" s="5">
        <v>2727</v>
      </c>
      <c r="J230" s="5" t="s">
        <v>29</v>
      </c>
      <c r="K230" s="5" t="s">
        <v>1262</v>
      </c>
    </row>
    <row r="231" spans="1:11" x14ac:dyDescent="0.25">
      <c r="A231" s="6" t="s">
        <v>276</v>
      </c>
      <c r="B231" s="6" t="s">
        <v>1557</v>
      </c>
      <c r="C231" s="6" t="s">
        <v>1288</v>
      </c>
      <c r="D231" s="6" t="s">
        <v>1296</v>
      </c>
      <c r="E231" s="6" t="s">
        <v>1529</v>
      </c>
      <c r="F231" s="6" t="s">
        <v>67</v>
      </c>
      <c r="G231" s="6" t="s">
        <v>1284</v>
      </c>
      <c r="H231" s="6" t="s">
        <v>1317</v>
      </c>
      <c r="I231" s="6">
        <v>1509</v>
      </c>
      <c r="J231" s="6" t="s">
        <v>16</v>
      </c>
      <c r="K231" s="6" t="s">
        <v>17</v>
      </c>
    </row>
    <row r="232" spans="1:11" x14ac:dyDescent="0.25">
      <c r="A232" s="5" t="s">
        <v>277</v>
      </c>
      <c r="B232" s="5" t="s">
        <v>1558</v>
      </c>
      <c r="C232" s="5" t="s">
        <v>1288</v>
      </c>
      <c r="D232" s="5" t="s">
        <v>1270</v>
      </c>
      <c r="E232" s="5" t="s">
        <v>14</v>
      </c>
      <c r="F232" s="5" t="s">
        <v>15</v>
      </c>
      <c r="G232" s="5" t="s">
        <v>1294</v>
      </c>
      <c r="H232" s="5" t="s">
        <v>1347</v>
      </c>
      <c r="I232" s="5">
        <v>7532</v>
      </c>
      <c r="J232" s="5" t="s">
        <v>1267</v>
      </c>
      <c r="K232" s="5" t="s">
        <v>1273</v>
      </c>
    </row>
    <row r="233" spans="1:11" x14ac:dyDescent="0.25">
      <c r="A233" s="6" t="s">
        <v>278</v>
      </c>
      <c r="B233" s="6" t="s">
        <v>1559</v>
      </c>
      <c r="C233" s="6" t="s">
        <v>48</v>
      </c>
      <c r="D233" s="6" t="s">
        <v>36</v>
      </c>
      <c r="E233" s="6" t="s">
        <v>49</v>
      </c>
      <c r="F233" s="6" t="s">
        <v>50</v>
      </c>
      <c r="G233" s="6" t="s">
        <v>1560</v>
      </c>
      <c r="H233" s="6" t="s">
        <v>1359</v>
      </c>
      <c r="I233" s="6">
        <v>51412</v>
      </c>
      <c r="J233" s="6" t="s">
        <v>29</v>
      </c>
      <c r="K233" s="6" t="s">
        <v>46</v>
      </c>
    </row>
    <row r="234" spans="1:11" x14ac:dyDescent="0.25">
      <c r="A234" s="5" t="s">
        <v>279</v>
      </c>
      <c r="B234" s="5" t="s">
        <v>1561</v>
      </c>
      <c r="C234" s="5" t="s">
        <v>53</v>
      </c>
      <c r="D234" s="5" t="s">
        <v>1296</v>
      </c>
      <c r="E234" s="5" t="s">
        <v>49</v>
      </c>
      <c r="F234" s="5" t="s">
        <v>50</v>
      </c>
      <c r="G234" s="5" t="s">
        <v>1303</v>
      </c>
      <c r="H234" s="5" t="s">
        <v>1291</v>
      </c>
      <c r="I234" s="5">
        <v>52161</v>
      </c>
      <c r="J234" s="5" t="s">
        <v>16</v>
      </c>
      <c r="K234" s="5" t="s">
        <v>17</v>
      </c>
    </row>
    <row r="235" spans="1:11" x14ac:dyDescent="0.25">
      <c r="A235" s="6" t="s">
        <v>280</v>
      </c>
      <c r="B235" s="6" t="s">
        <v>1562</v>
      </c>
      <c r="C235" s="6" t="s">
        <v>1269</v>
      </c>
      <c r="D235" s="6" t="s">
        <v>1270</v>
      </c>
      <c r="E235" s="6" t="s">
        <v>20</v>
      </c>
      <c r="F235" s="6" t="s">
        <v>21</v>
      </c>
      <c r="G235" s="6" t="s">
        <v>1301</v>
      </c>
      <c r="H235" s="6" t="s">
        <v>1261</v>
      </c>
      <c r="I235" s="6">
        <v>5623</v>
      </c>
      <c r="J235" s="6" t="s">
        <v>16</v>
      </c>
      <c r="K235" s="6" t="s">
        <v>1273</v>
      </c>
    </row>
    <row r="236" spans="1:11" x14ac:dyDescent="0.25">
      <c r="A236" s="5" t="s">
        <v>281</v>
      </c>
      <c r="B236" s="5" t="s">
        <v>1563</v>
      </c>
      <c r="C236" s="5" t="s">
        <v>1254</v>
      </c>
      <c r="D236" s="5" t="s">
        <v>1296</v>
      </c>
      <c r="E236" s="5" t="s">
        <v>1361</v>
      </c>
      <c r="F236" s="5" t="s">
        <v>42</v>
      </c>
      <c r="G236" s="5" t="s">
        <v>1256</v>
      </c>
      <c r="H236" s="5" t="s">
        <v>1325</v>
      </c>
      <c r="I236" s="5">
        <v>19843</v>
      </c>
      <c r="J236" s="5" t="s">
        <v>22</v>
      </c>
      <c r="K236" s="5" t="s">
        <v>1273</v>
      </c>
    </row>
    <row r="237" spans="1:11" x14ac:dyDescent="0.25">
      <c r="A237" s="6" t="s">
        <v>282</v>
      </c>
      <c r="B237" s="6" t="s">
        <v>1564</v>
      </c>
      <c r="C237" s="6" t="s">
        <v>1254</v>
      </c>
      <c r="D237" s="6" t="s">
        <v>36</v>
      </c>
      <c r="E237" s="6" t="s">
        <v>37</v>
      </c>
      <c r="F237" s="6" t="s">
        <v>38</v>
      </c>
      <c r="G237" s="6" t="s">
        <v>1260</v>
      </c>
      <c r="H237" s="6" t="s">
        <v>1342</v>
      </c>
      <c r="I237" s="6">
        <v>36207</v>
      </c>
      <c r="J237" s="6" t="s">
        <v>16</v>
      </c>
      <c r="K237" s="6" t="s">
        <v>1273</v>
      </c>
    </row>
    <row r="238" spans="1:11" x14ac:dyDescent="0.25">
      <c r="A238" s="5" t="s">
        <v>283</v>
      </c>
      <c r="B238" s="5" t="s">
        <v>1565</v>
      </c>
      <c r="C238" s="5" t="s">
        <v>53</v>
      </c>
      <c r="D238" s="5" t="s">
        <v>1275</v>
      </c>
      <c r="E238" s="5" t="s">
        <v>63</v>
      </c>
      <c r="F238" s="5" t="s">
        <v>59</v>
      </c>
      <c r="G238" s="5" t="s">
        <v>1380</v>
      </c>
      <c r="H238" s="5" t="s">
        <v>1308</v>
      </c>
      <c r="I238" s="5">
        <v>2700</v>
      </c>
      <c r="J238" s="5" t="s">
        <v>29</v>
      </c>
      <c r="K238" s="5" t="s">
        <v>1262</v>
      </c>
    </row>
    <row r="239" spans="1:11" x14ac:dyDescent="0.25">
      <c r="A239" s="6" t="s">
        <v>284</v>
      </c>
      <c r="B239" s="6" t="s">
        <v>1445</v>
      </c>
      <c r="C239" s="6" t="s">
        <v>1264</v>
      </c>
      <c r="D239" s="6" t="s">
        <v>1283</v>
      </c>
      <c r="E239" s="6" t="s">
        <v>14</v>
      </c>
      <c r="F239" s="6" t="s">
        <v>15</v>
      </c>
      <c r="G239" s="6" t="s">
        <v>1315</v>
      </c>
      <c r="H239" s="6" t="s">
        <v>1347</v>
      </c>
      <c r="I239" s="6">
        <v>9414</v>
      </c>
      <c r="J239" s="6" t="s">
        <v>45</v>
      </c>
      <c r="K239" s="6" t="s">
        <v>46</v>
      </c>
    </row>
    <row r="240" spans="1:11" x14ac:dyDescent="0.25">
      <c r="A240" s="5" t="s">
        <v>285</v>
      </c>
      <c r="B240" s="5" t="s">
        <v>1566</v>
      </c>
      <c r="C240" s="5" t="s">
        <v>1254</v>
      </c>
      <c r="D240" s="5" t="s">
        <v>1255</v>
      </c>
      <c r="E240" s="5" t="s">
        <v>63</v>
      </c>
      <c r="F240" s="5" t="s">
        <v>59</v>
      </c>
      <c r="G240" s="5" t="s">
        <v>1380</v>
      </c>
      <c r="H240" s="5" t="s">
        <v>1308</v>
      </c>
      <c r="I240" s="5">
        <v>3220</v>
      </c>
      <c r="J240" s="5" t="s">
        <v>29</v>
      </c>
      <c r="K240" s="5" t="s">
        <v>1262</v>
      </c>
    </row>
    <row r="241" spans="1:11" x14ac:dyDescent="0.25">
      <c r="A241" s="6" t="s">
        <v>1567</v>
      </c>
      <c r="B241" s="6" t="s">
        <v>1568</v>
      </c>
      <c r="C241" s="6" t="s">
        <v>1288</v>
      </c>
      <c r="D241" s="6" t="s">
        <v>1270</v>
      </c>
      <c r="E241" s="6" t="s">
        <v>1306</v>
      </c>
      <c r="F241" s="6" t="s">
        <v>59</v>
      </c>
      <c r="G241" s="6" t="s">
        <v>1569</v>
      </c>
      <c r="H241" s="6" t="s">
        <v>1320</v>
      </c>
      <c r="I241" s="6">
        <v>3239</v>
      </c>
      <c r="J241" s="6" t="s">
        <v>45</v>
      </c>
      <c r="K241" s="6" t="s">
        <v>17</v>
      </c>
    </row>
    <row r="242" spans="1:11" x14ac:dyDescent="0.25">
      <c r="A242" s="5" t="s">
        <v>286</v>
      </c>
      <c r="B242" s="5" t="s">
        <v>1393</v>
      </c>
      <c r="C242" s="5" t="s">
        <v>1288</v>
      </c>
      <c r="D242" s="5" t="s">
        <v>1275</v>
      </c>
      <c r="E242" s="5" t="s">
        <v>66</v>
      </c>
      <c r="F242" s="5" t="s">
        <v>67</v>
      </c>
      <c r="G242" s="5" t="s">
        <v>1265</v>
      </c>
      <c r="H242" s="5" t="s">
        <v>1317</v>
      </c>
      <c r="I242" s="5">
        <v>1740</v>
      </c>
      <c r="J242" s="5" t="s">
        <v>16</v>
      </c>
      <c r="K242" s="5" t="s">
        <v>17</v>
      </c>
    </row>
    <row r="243" spans="1:11" x14ac:dyDescent="0.25">
      <c r="A243" s="6" t="s">
        <v>287</v>
      </c>
      <c r="B243" s="6" t="s">
        <v>1570</v>
      </c>
      <c r="C243" s="6" t="s">
        <v>1288</v>
      </c>
      <c r="D243" s="6" t="s">
        <v>26</v>
      </c>
      <c r="E243" s="6" t="s">
        <v>55</v>
      </c>
      <c r="F243" s="6" t="s">
        <v>34</v>
      </c>
      <c r="G243" s="6" t="s">
        <v>1260</v>
      </c>
      <c r="H243" s="6" t="s">
        <v>1278</v>
      </c>
      <c r="I243" s="6">
        <v>26601</v>
      </c>
      <c r="J243" s="6" t="s">
        <v>16</v>
      </c>
      <c r="K243" s="6" t="s">
        <v>1262</v>
      </c>
    </row>
    <row r="244" spans="1:11" x14ac:dyDescent="0.25">
      <c r="A244" s="5" t="s">
        <v>288</v>
      </c>
      <c r="B244" s="5" t="s">
        <v>1571</v>
      </c>
      <c r="C244" s="5" t="s">
        <v>1288</v>
      </c>
      <c r="D244" s="5" t="s">
        <v>1255</v>
      </c>
      <c r="E244" s="5" t="s">
        <v>63</v>
      </c>
      <c r="F244" s="5" t="s">
        <v>59</v>
      </c>
      <c r="G244" s="5" t="s">
        <v>1315</v>
      </c>
      <c r="H244" s="5" t="s">
        <v>1308</v>
      </c>
      <c r="I244" s="5">
        <v>2921</v>
      </c>
      <c r="J244" s="5" t="s">
        <v>22</v>
      </c>
      <c r="K244" s="5" t="s">
        <v>1286</v>
      </c>
    </row>
    <row r="245" spans="1:11" x14ac:dyDescent="0.25">
      <c r="A245" s="6" t="s">
        <v>289</v>
      </c>
      <c r="B245" s="6" t="s">
        <v>1263</v>
      </c>
      <c r="C245" s="6" t="s">
        <v>1288</v>
      </c>
      <c r="D245" s="6" t="s">
        <v>1270</v>
      </c>
      <c r="E245" s="6" t="s">
        <v>14</v>
      </c>
      <c r="F245" s="6" t="s">
        <v>15</v>
      </c>
      <c r="G245" s="6" t="s">
        <v>1284</v>
      </c>
      <c r="H245" s="6" t="s">
        <v>1272</v>
      </c>
      <c r="I245" s="6">
        <v>8493</v>
      </c>
      <c r="J245" s="6" t="s">
        <v>22</v>
      </c>
      <c r="K245" s="6" t="s">
        <v>1286</v>
      </c>
    </row>
    <row r="246" spans="1:11" x14ac:dyDescent="0.25">
      <c r="A246" s="5" t="s">
        <v>290</v>
      </c>
      <c r="B246" s="5" t="s">
        <v>1572</v>
      </c>
      <c r="C246" s="5" t="s">
        <v>1264</v>
      </c>
      <c r="D246" s="5"/>
      <c r="E246" s="5" t="s">
        <v>1401</v>
      </c>
      <c r="F246" s="5" t="s">
        <v>67</v>
      </c>
      <c r="G246" s="5" t="s">
        <v>1307</v>
      </c>
      <c r="H246" s="5" t="s">
        <v>1482</v>
      </c>
      <c r="I246" s="5">
        <v>1690</v>
      </c>
      <c r="J246" s="5" t="s">
        <v>29</v>
      </c>
      <c r="K246" s="5" t="s">
        <v>1286</v>
      </c>
    </row>
    <row r="247" spans="1:11" x14ac:dyDescent="0.25">
      <c r="A247" s="6" t="s">
        <v>291</v>
      </c>
      <c r="B247" s="6" t="s">
        <v>1573</v>
      </c>
      <c r="C247" s="6" t="s">
        <v>1259</v>
      </c>
      <c r="D247" s="6" t="s">
        <v>1275</v>
      </c>
      <c r="E247" s="6" t="s">
        <v>49</v>
      </c>
      <c r="F247" s="6" t="s">
        <v>50</v>
      </c>
      <c r="G247" s="6" t="s">
        <v>1301</v>
      </c>
      <c r="H247" s="6" t="s">
        <v>1291</v>
      </c>
      <c r="I247" s="6">
        <v>54946</v>
      </c>
      <c r="J247" s="6" t="s">
        <v>29</v>
      </c>
      <c r="K247" s="6" t="s">
        <v>1273</v>
      </c>
    </row>
    <row r="248" spans="1:11" x14ac:dyDescent="0.25">
      <c r="A248" s="5" t="s">
        <v>292</v>
      </c>
      <c r="B248" s="5" t="s">
        <v>1574</v>
      </c>
      <c r="C248" s="5" t="s">
        <v>48</v>
      </c>
      <c r="D248" s="5" t="s">
        <v>1270</v>
      </c>
      <c r="E248" s="5" t="s">
        <v>66</v>
      </c>
      <c r="F248" s="5" t="s">
        <v>67</v>
      </c>
      <c r="G248" s="5" t="s">
        <v>1337</v>
      </c>
      <c r="H248" s="5" t="s">
        <v>1317</v>
      </c>
      <c r="I248" s="5">
        <v>1567</v>
      </c>
      <c r="J248" s="5" t="s">
        <v>45</v>
      </c>
      <c r="K248" s="5" t="s">
        <v>17</v>
      </c>
    </row>
    <row r="249" spans="1:11" x14ac:dyDescent="0.25">
      <c r="A249" s="6" t="s">
        <v>293</v>
      </c>
      <c r="B249" s="6" t="s">
        <v>1575</v>
      </c>
      <c r="C249" s="6" t="s">
        <v>1259</v>
      </c>
      <c r="D249" s="6" t="s">
        <v>36</v>
      </c>
      <c r="E249" s="6" t="s">
        <v>37</v>
      </c>
      <c r="F249" s="6" t="s">
        <v>38</v>
      </c>
      <c r="G249" s="6" t="s">
        <v>1576</v>
      </c>
      <c r="H249" s="6" t="s">
        <v>1342</v>
      </c>
      <c r="I249" s="6">
        <v>43259</v>
      </c>
      <c r="J249" s="6" t="s">
        <v>16</v>
      </c>
      <c r="K249" s="6" t="s">
        <v>1286</v>
      </c>
    </row>
    <row r="250" spans="1:11" x14ac:dyDescent="0.25">
      <c r="A250" s="5" t="s">
        <v>294</v>
      </c>
      <c r="B250" s="5" t="s">
        <v>1577</v>
      </c>
      <c r="C250" s="5" t="s">
        <v>1288</v>
      </c>
      <c r="D250" s="5" t="s">
        <v>1255</v>
      </c>
      <c r="E250" s="5" t="s">
        <v>55</v>
      </c>
      <c r="F250" s="5" t="s">
        <v>34</v>
      </c>
      <c r="G250" s="5" t="s">
        <v>1271</v>
      </c>
      <c r="H250" s="5" t="s">
        <v>1278</v>
      </c>
      <c r="I250" s="5">
        <v>25872</v>
      </c>
      <c r="J250" s="5" t="s">
        <v>16</v>
      </c>
      <c r="K250" s="5" t="s">
        <v>17</v>
      </c>
    </row>
    <row r="251" spans="1:11" x14ac:dyDescent="0.25">
      <c r="A251" s="6" t="s">
        <v>295</v>
      </c>
      <c r="B251" s="6" t="s">
        <v>1578</v>
      </c>
      <c r="C251" s="6" t="s">
        <v>62</v>
      </c>
      <c r="D251" s="6" t="s">
        <v>1296</v>
      </c>
      <c r="E251" s="6" t="s">
        <v>1276</v>
      </c>
      <c r="F251" s="6" t="s">
        <v>34</v>
      </c>
      <c r="G251" s="6" t="s">
        <v>1277</v>
      </c>
      <c r="H251" s="6" t="s">
        <v>1278</v>
      </c>
      <c r="I251" s="6">
        <v>22839</v>
      </c>
      <c r="J251" s="6" t="s">
        <v>45</v>
      </c>
      <c r="K251" s="6" t="s">
        <v>1262</v>
      </c>
    </row>
    <row r="252" spans="1:11" x14ac:dyDescent="0.25">
      <c r="A252" s="5" t="s">
        <v>296</v>
      </c>
      <c r="B252" s="5" t="s">
        <v>1579</v>
      </c>
      <c r="C252" s="5" t="s">
        <v>1269</v>
      </c>
      <c r="D252" s="5" t="s">
        <v>1275</v>
      </c>
      <c r="E252" s="5" t="s">
        <v>66</v>
      </c>
      <c r="F252" s="5" t="s">
        <v>67</v>
      </c>
      <c r="G252" s="5" t="s">
        <v>1315</v>
      </c>
      <c r="H252" s="5" t="s">
        <v>1317</v>
      </c>
      <c r="I252" s="5">
        <v>1717</v>
      </c>
      <c r="J252" s="5" t="s">
        <v>16</v>
      </c>
      <c r="K252" s="5" t="s">
        <v>17</v>
      </c>
    </row>
    <row r="253" spans="1:11" x14ac:dyDescent="0.25">
      <c r="A253" s="6" t="s">
        <v>297</v>
      </c>
      <c r="B253" s="6" t="s">
        <v>1580</v>
      </c>
      <c r="C253" s="6" t="s">
        <v>1254</v>
      </c>
      <c r="D253" s="6" t="s">
        <v>1296</v>
      </c>
      <c r="E253" s="6" t="s">
        <v>66</v>
      </c>
      <c r="F253" s="6" t="s">
        <v>67</v>
      </c>
      <c r="G253" s="6" t="s">
        <v>1364</v>
      </c>
      <c r="H253" s="6" t="s">
        <v>1335</v>
      </c>
      <c r="I253" s="6">
        <v>1739</v>
      </c>
      <c r="J253" s="6" t="s">
        <v>45</v>
      </c>
      <c r="K253" s="6" t="s">
        <v>1286</v>
      </c>
    </row>
    <row r="254" spans="1:11" x14ac:dyDescent="0.25">
      <c r="A254" s="5" t="s">
        <v>298</v>
      </c>
      <c r="B254" s="5" t="s">
        <v>1581</v>
      </c>
      <c r="C254" s="5" t="s">
        <v>73</v>
      </c>
      <c r="D254" s="5" t="s">
        <v>1296</v>
      </c>
      <c r="E254" s="5" t="s">
        <v>55</v>
      </c>
      <c r="F254" s="5" t="s">
        <v>34</v>
      </c>
      <c r="G254" s="5" t="s">
        <v>1271</v>
      </c>
      <c r="H254" s="5" t="s">
        <v>1278</v>
      </c>
      <c r="I254" s="5">
        <v>22472</v>
      </c>
      <c r="J254" s="5" t="s">
        <v>45</v>
      </c>
      <c r="K254" s="5" t="s">
        <v>46</v>
      </c>
    </row>
    <row r="255" spans="1:11" x14ac:dyDescent="0.25">
      <c r="A255" s="6" t="s">
        <v>299</v>
      </c>
      <c r="B255" s="6" t="s">
        <v>1434</v>
      </c>
      <c r="C255" s="6" t="s">
        <v>1254</v>
      </c>
      <c r="D255" s="6" t="s">
        <v>1283</v>
      </c>
      <c r="E255" s="6" t="s">
        <v>63</v>
      </c>
      <c r="F255" s="6" t="s">
        <v>59</v>
      </c>
      <c r="G255" s="6" t="s">
        <v>1331</v>
      </c>
      <c r="H255" s="6" t="s">
        <v>1308</v>
      </c>
      <c r="I255" s="6">
        <v>3493</v>
      </c>
      <c r="J255" s="6" t="s">
        <v>1267</v>
      </c>
      <c r="K255" s="6" t="s">
        <v>46</v>
      </c>
    </row>
    <row r="256" spans="1:11" x14ac:dyDescent="0.25">
      <c r="A256" s="5" t="s">
        <v>300</v>
      </c>
      <c r="B256" s="5" t="s">
        <v>1582</v>
      </c>
      <c r="C256" s="5" t="s">
        <v>1264</v>
      </c>
      <c r="D256" s="5" t="s">
        <v>36</v>
      </c>
      <c r="E256" s="5" t="s">
        <v>1583</v>
      </c>
      <c r="F256" s="5" t="s">
        <v>38</v>
      </c>
      <c r="G256" s="5" t="s">
        <v>1284</v>
      </c>
      <c r="H256" s="5" t="s">
        <v>1281</v>
      </c>
      <c r="I256" s="5">
        <v>39006</v>
      </c>
      <c r="J256" s="5" t="s">
        <v>45</v>
      </c>
      <c r="K256" s="5" t="s">
        <v>1273</v>
      </c>
    </row>
    <row r="257" spans="1:11" x14ac:dyDescent="0.25">
      <c r="A257" s="6" t="s">
        <v>301</v>
      </c>
      <c r="B257" s="6" t="s">
        <v>1410</v>
      </c>
      <c r="C257" s="6" t="s">
        <v>62</v>
      </c>
      <c r="D257" s="6" t="s">
        <v>1270</v>
      </c>
      <c r="E257" s="6" t="s">
        <v>41</v>
      </c>
      <c r="F257" s="6" t="s">
        <v>42</v>
      </c>
      <c r="G257" s="6" t="s">
        <v>1408</v>
      </c>
      <c r="H257" s="6" t="s">
        <v>1311</v>
      </c>
      <c r="I257" s="6">
        <v>19591</v>
      </c>
      <c r="J257" s="6" t="s">
        <v>1267</v>
      </c>
      <c r="K257" s="6" t="s">
        <v>1273</v>
      </c>
    </row>
    <row r="258" spans="1:11" x14ac:dyDescent="0.25">
      <c r="A258" s="5" t="s">
        <v>302</v>
      </c>
      <c r="B258" s="5" t="s">
        <v>1465</v>
      </c>
      <c r="C258" s="5" t="s">
        <v>48</v>
      </c>
      <c r="D258" s="5" t="s">
        <v>1283</v>
      </c>
      <c r="E258" s="5" t="s">
        <v>20</v>
      </c>
      <c r="F258" s="5" t="s">
        <v>21</v>
      </c>
      <c r="G258" s="5" t="s">
        <v>1280</v>
      </c>
      <c r="H258" s="5" t="s">
        <v>1261</v>
      </c>
      <c r="I258" s="5">
        <v>6466</v>
      </c>
      <c r="J258" s="5" t="s">
        <v>1267</v>
      </c>
      <c r="K258" s="5" t="s">
        <v>1262</v>
      </c>
    </row>
    <row r="259" spans="1:11" x14ac:dyDescent="0.25">
      <c r="A259" s="6" t="s">
        <v>303</v>
      </c>
      <c r="B259" s="6" t="s">
        <v>1584</v>
      </c>
      <c r="C259" s="6" t="s">
        <v>1288</v>
      </c>
      <c r="D259" s="6" t="s">
        <v>1296</v>
      </c>
      <c r="E259" s="6" t="s">
        <v>49</v>
      </c>
      <c r="F259" s="6" t="s">
        <v>50</v>
      </c>
      <c r="G259" s="6" t="s">
        <v>1313</v>
      </c>
      <c r="H259" s="6" t="s">
        <v>1291</v>
      </c>
      <c r="I259" s="6">
        <v>48240</v>
      </c>
      <c r="J259" s="6" t="s">
        <v>22</v>
      </c>
      <c r="K259" s="6" t="s">
        <v>1262</v>
      </c>
    </row>
    <row r="260" spans="1:11" x14ac:dyDescent="0.25">
      <c r="A260" s="5" t="s">
        <v>304</v>
      </c>
      <c r="B260" s="5" t="s">
        <v>1585</v>
      </c>
      <c r="C260" s="5" t="s">
        <v>1254</v>
      </c>
      <c r="D260" s="5" t="s">
        <v>1270</v>
      </c>
      <c r="E260" s="5" t="s">
        <v>66</v>
      </c>
      <c r="F260" s="5" t="s">
        <v>67</v>
      </c>
      <c r="G260" s="5" t="s">
        <v>1307</v>
      </c>
      <c r="H260" s="5" t="s">
        <v>1482</v>
      </c>
      <c r="I260" s="5">
        <v>1537</v>
      </c>
      <c r="J260" s="5" t="s">
        <v>16</v>
      </c>
      <c r="K260" s="5" t="s">
        <v>1262</v>
      </c>
    </row>
    <row r="261" spans="1:11" x14ac:dyDescent="0.25">
      <c r="A261" s="6" t="s">
        <v>305</v>
      </c>
      <c r="B261" s="6" t="s">
        <v>1586</v>
      </c>
      <c r="C261" s="6" t="s">
        <v>1288</v>
      </c>
      <c r="D261" s="6" t="s">
        <v>1296</v>
      </c>
      <c r="E261" s="6" t="s">
        <v>1587</v>
      </c>
      <c r="F261" s="6" t="s">
        <v>21</v>
      </c>
      <c r="G261" s="6" t="s">
        <v>1313</v>
      </c>
      <c r="H261" s="6" t="s">
        <v>1377</v>
      </c>
      <c r="I261" s="6">
        <v>5465</v>
      </c>
      <c r="J261" s="6" t="s">
        <v>22</v>
      </c>
      <c r="K261" s="6" t="s">
        <v>46</v>
      </c>
    </row>
    <row r="262" spans="1:11" x14ac:dyDescent="0.25">
      <c r="A262" s="5" t="s">
        <v>306</v>
      </c>
      <c r="B262" s="5" t="s">
        <v>1588</v>
      </c>
      <c r="C262" s="5" t="s">
        <v>53</v>
      </c>
      <c r="D262" s="5" t="s">
        <v>36</v>
      </c>
      <c r="E262" s="5" t="s">
        <v>20</v>
      </c>
      <c r="F262" s="5" t="s">
        <v>21</v>
      </c>
      <c r="G262" s="5" t="s">
        <v>1380</v>
      </c>
      <c r="H262" s="5" t="s">
        <v>1261</v>
      </c>
      <c r="I262" s="5">
        <v>6425</v>
      </c>
      <c r="J262" s="5" t="s">
        <v>22</v>
      </c>
      <c r="K262" s="5" t="s">
        <v>17</v>
      </c>
    </row>
    <row r="263" spans="1:11" x14ac:dyDescent="0.25">
      <c r="A263" s="6" t="s">
        <v>307</v>
      </c>
      <c r="B263" s="6" t="s">
        <v>1589</v>
      </c>
      <c r="C263" s="6" t="s">
        <v>53</v>
      </c>
      <c r="D263" s="6" t="s">
        <v>36</v>
      </c>
      <c r="E263" s="6" t="s">
        <v>66</v>
      </c>
      <c r="F263" s="6" t="s">
        <v>67</v>
      </c>
      <c r="G263" s="6" t="s">
        <v>1337</v>
      </c>
      <c r="H263" s="6" t="s">
        <v>1317</v>
      </c>
      <c r="I263" s="6">
        <v>1830</v>
      </c>
      <c r="J263" s="6" t="s">
        <v>29</v>
      </c>
      <c r="K263" s="6" t="s">
        <v>17</v>
      </c>
    </row>
    <row r="264" spans="1:11" x14ac:dyDescent="0.25">
      <c r="A264" s="5" t="s">
        <v>308</v>
      </c>
      <c r="B264" s="5" t="s">
        <v>1590</v>
      </c>
      <c r="C264" s="5" t="s">
        <v>53</v>
      </c>
      <c r="D264" s="5" t="s">
        <v>36</v>
      </c>
      <c r="E264" s="5" t="s">
        <v>66</v>
      </c>
      <c r="F264" s="5" t="s">
        <v>67</v>
      </c>
      <c r="G264" s="5" t="s">
        <v>1301</v>
      </c>
      <c r="H264" s="5" t="s">
        <v>1317</v>
      </c>
      <c r="I264" s="5">
        <v>1978</v>
      </c>
      <c r="J264" s="5" t="s">
        <v>45</v>
      </c>
      <c r="K264" s="5" t="s">
        <v>17</v>
      </c>
    </row>
    <row r="265" spans="1:11" x14ac:dyDescent="0.25">
      <c r="A265" s="6" t="s">
        <v>309</v>
      </c>
      <c r="B265" s="6" t="s">
        <v>1591</v>
      </c>
      <c r="C265" s="6" t="s">
        <v>73</v>
      </c>
      <c r="D265" s="6" t="s">
        <v>1283</v>
      </c>
      <c r="E265" s="6" t="s">
        <v>49</v>
      </c>
      <c r="F265" s="6" t="s">
        <v>50</v>
      </c>
      <c r="G265" s="6" t="s">
        <v>1499</v>
      </c>
      <c r="H265" s="6" t="s">
        <v>1359</v>
      </c>
      <c r="I265" s="6">
        <v>47690</v>
      </c>
      <c r="J265" s="6" t="s">
        <v>45</v>
      </c>
      <c r="K265" s="6" t="s">
        <v>1273</v>
      </c>
    </row>
    <row r="266" spans="1:11" x14ac:dyDescent="0.25">
      <c r="A266" s="5" t="s">
        <v>310</v>
      </c>
      <c r="B266" s="5" t="s">
        <v>1592</v>
      </c>
      <c r="C266" s="5" t="s">
        <v>48</v>
      </c>
      <c r="D266" s="5" t="s">
        <v>1270</v>
      </c>
      <c r="E266" s="5" t="s">
        <v>1512</v>
      </c>
      <c r="F266" s="5" t="s">
        <v>42</v>
      </c>
      <c r="G266" s="5" t="s">
        <v>1380</v>
      </c>
      <c r="H266" s="5" t="s">
        <v>1325</v>
      </c>
      <c r="I266" s="5">
        <v>17497</v>
      </c>
      <c r="J266" s="5" t="s">
        <v>29</v>
      </c>
      <c r="K266" s="5" t="s">
        <v>1262</v>
      </c>
    </row>
    <row r="267" spans="1:11" x14ac:dyDescent="0.25">
      <c r="A267" s="6" t="s">
        <v>311</v>
      </c>
      <c r="B267" s="6" t="s">
        <v>1593</v>
      </c>
      <c r="C267" s="6" t="s">
        <v>48</v>
      </c>
      <c r="D267" s="6" t="s">
        <v>36</v>
      </c>
      <c r="E267" s="6" t="s">
        <v>41</v>
      </c>
      <c r="F267" s="6" t="s">
        <v>42</v>
      </c>
      <c r="G267" s="6" t="s">
        <v>1294</v>
      </c>
      <c r="H267" s="6" t="s">
        <v>1285</v>
      </c>
      <c r="I267" s="6">
        <v>18106</v>
      </c>
      <c r="J267" s="6" t="s">
        <v>22</v>
      </c>
      <c r="K267" s="6" t="s">
        <v>1286</v>
      </c>
    </row>
    <row r="268" spans="1:11" x14ac:dyDescent="0.25">
      <c r="A268" s="5" t="s">
        <v>312</v>
      </c>
      <c r="B268" s="5" t="s">
        <v>1594</v>
      </c>
      <c r="C268" s="5" t="s">
        <v>1269</v>
      </c>
      <c r="D268" s="5" t="s">
        <v>1283</v>
      </c>
      <c r="E268" s="5" t="s">
        <v>20</v>
      </c>
      <c r="F268" s="5" t="s">
        <v>21</v>
      </c>
      <c r="G268" s="5" t="s">
        <v>1380</v>
      </c>
      <c r="H268" s="5" t="s">
        <v>1261</v>
      </c>
      <c r="I268" s="5">
        <v>6740</v>
      </c>
      <c r="J268" s="5" t="s">
        <v>29</v>
      </c>
      <c r="K268" s="5" t="s">
        <v>1273</v>
      </c>
    </row>
    <row r="269" spans="1:11" x14ac:dyDescent="0.25">
      <c r="A269" s="6" t="s">
        <v>313</v>
      </c>
      <c r="B269" s="6" t="s">
        <v>1509</v>
      </c>
      <c r="C269" s="6" t="s">
        <v>1259</v>
      </c>
      <c r="D269" s="6" t="s">
        <v>1255</v>
      </c>
      <c r="E269" s="6" t="s">
        <v>55</v>
      </c>
      <c r="F269" s="6" t="s">
        <v>34</v>
      </c>
      <c r="G269" s="6" t="s">
        <v>1364</v>
      </c>
      <c r="H269" s="6" t="s">
        <v>1299</v>
      </c>
      <c r="I269" s="6">
        <v>26480</v>
      </c>
      <c r="J269" s="6" t="s">
        <v>1267</v>
      </c>
      <c r="K269" s="6" t="s">
        <v>46</v>
      </c>
    </row>
    <row r="270" spans="1:11" x14ac:dyDescent="0.25">
      <c r="A270" s="5" t="s">
        <v>314</v>
      </c>
      <c r="B270" s="5" t="s">
        <v>1595</v>
      </c>
      <c r="C270" s="5" t="s">
        <v>73</v>
      </c>
      <c r="D270" s="5" t="s">
        <v>1283</v>
      </c>
      <c r="E270" s="5" t="s">
        <v>49</v>
      </c>
      <c r="F270" s="5" t="s">
        <v>50</v>
      </c>
      <c r="G270" s="5" t="s">
        <v>1297</v>
      </c>
      <c r="H270" s="5" t="s">
        <v>1291</v>
      </c>
      <c r="I270" s="5">
        <v>51887</v>
      </c>
      <c r="J270" s="5" t="s">
        <v>16</v>
      </c>
      <c r="K270" s="5" t="s">
        <v>46</v>
      </c>
    </row>
    <row r="271" spans="1:11" x14ac:dyDescent="0.25">
      <c r="A271" s="6" t="s">
        <v>315</v>
      </c>
      <c r="B271" s="6" t="s">
        <v>1596</v>
      </c>
      <c r="C271" s="6" t="s">
        <v>53</v>
      </c>
      <c r="D271" s="6" t="s">
        <v>1255</v>
      </c>
      <c r="E271" s="6" t="s">
        <v>1489</v>
      </c>
      <c r="F271" s="6" t="s">
        <v>67</v>
      </c>
      <c r="G271" s="6" t="s">
        <v>1331</v>
      </c>
      <c r="H271" s="6" t="s">
        <v>1317</v>
      </c>
      <c r="I271" s="6">
        <v>1959</v>
      </c>
      <c r="J271" s="6" t="s">
        <v>29</v>
      </c>
      <c r="K271" s="6"/>
    </row>
    <row r="272" spans="1:11" x14ac:dyDescent="0.25">
      <c r="A272" s="5" t="s">
        <v>316</v>
      </c>
      <c r="B272" s="5" t="s">
        <v>1363</v>
      </c>
      <c r="C272" s="5" t="s">
        <v>1288</v>
      </c>
      <c r="D272" s="5" t="s">
        <v>1270</v>
      </c>
      <c r="E272" s="5" t="s">
        <v>20</v>
      </c>
      <c r="F272" s="5" t="s">
        <v>21</v>
      </c>
      <c r="G272" s="5" t="s">
        <v>1284</v>
      </c>
      <c r="H272" s="5" t="s">
        <v>1261</v>
      </c>
      <c r="I272" s="5">
        <v>5243</v>
      </c>
      <c r="J272" s="5" t="s">
        <v>45</v>
      </c>
      <c r="K272" s="5" t="s">
        <v>46</v>
      </c>
    </row>
    <row r="273" spans="1:11" x14ac:dyDescent="0.25">
      <c r="A273" s="6" t="s">
        <v>317</v>
      </c>
      <c r="B273" s="6" t="s">
        <v>1597</v>
      </c>
      <c r="C273" s="6" t="s">
        <v>1254</v>
      </c>
      <c r="D273" s="6" t="s">
        <v>1283</v>
      </c>
      <c r="E273" s="6" t="s">
        <v>27</v>
      </c>
      <c r="F273" s="6" t="s">
        <v>28</v>
      </c>
      <c r="G273" s="6" t="s">
        <v>1499</v>
      </c>
      <c r="H273" s="6" t="s">
        <v>1458</v>
      </c>
      <c r="I273" s="6">
        <v>10606</v>
      </c>
      <c r="J273" s="6" t="s">
        <v>29</v>
      </c>
      <c r="K273" s="6" t="s">
        <v>1286</v>
      </c>
    </row>
    <row r="274" spans="1:11" x14ac:dyDescent="0.25">
      <c r="A274" s="5" t="s">
        <v>318</v>
      </c>
      <c r="B274" s="5" t="s">
        <v>1598</v>
      </c>
      <c r="C274" s="5" t="s">
        <v>73</v>
      </c>
      <c r="D274" s="5" t="s">
        <v>1275</v>
      </c>
      <c r="E274" s="5" t="s">
        <v>41</v>
      </c>
      <c r="F274" s="5" t="s">
        <v>42</v>
      </c>
      <c r="G274" s="5" t="s">
        <v>1337</v>
      </c>
      <c r="H274" s="5" t="s">
        <v>1285</v>
      </c>
      <c r="I274" s="5">
        <v>18503</v>
      </c>
      <c r="J274" s="5" t="s">
        <v>29</v>
      </c>
      <c r="K274" s="5" t="s">
        <v>1262</v>
      </c>
    </row>
    <row r="275" spans="1:11" x14ac:dyDescent="0.25">
      <c r="A275" s="6" t="s">
        <v>319</v>
      </c>
      <c r="B275" s="6" t="s">
        <v>1599</v>
      </c>
      <c r="C275" s="6" t="s">
        <v>73</v>
      </c>
      <c r="D275" s="6" t="s">
        <v>1296</v>
      </c>
      <c r="E275" s="6" t="s">
        <v>20</v>
      </c>
      <c r="F275" s="6" t="s">
        <v>21</v>
      </c>
      <c r="G275" s="6" t="s">
        <v>1294</v>
      </c>
      <c r="H275" s="6" t="s">
        <v>1261</v>
      </c>
      <c r="I275" s="6">
        <v>6385</v>
      </c>
      <c r="J275" s="6" t="s">
        <v>1267</v>
      </c>
      <c r="K275" s="6" t="s">
        <v>17</v>
      </c>
    </row>
    <row r="276" spans="1:11" x14ac:dyDescent="0.25">
      <c r="A276" s="5" t="s">
        <v>320</v>
      </c>
      <c r="B276" s="5" t="s">
        <v>1600</v>
      </c>
      <c r="C276" s="5" t="s">
        <v>1288</v>
      </c>
      <c r="D276" s="5" t="s">
        <v>26</v>
      </c>
      <c r="E276" s="5" t="s">
        <v>1276</v>
      </c>
      <c r="F276" s="5" t="s">
        <v>34</v>
      </c>
      <c r="G276" s="5" t="s">
        <v>1337</v>
      </c>
      <c r="H276" s="5" t="s">
        <v>1278</v>
      </c>
      <c r="I276" s="5">
        <v>23779</v>
      </c>
      <c r="J276" s="5" t="s">
        <v>16</v>
      </c>
      <c r="K276" s="5" t="s">
        <v>17</v>
      </c>
    </row>
    <row r="277" spans="1:11" x14ac:dyDescent="0.25">
      <c r="A277" s="6" t="s">
        <v>321</v>
      </c>
      <c r="B277" s="6" t="s">
        <v>1526</v>
      </c>
      <c r="C277" s="6" t="s">
        <v>53</v>
      </c>
      <c r="D277" s="6" t="s">
        <v>1275</v>
      </c>
      <c r="E277" s="6" t="s">
        <v>49</v>
      </c>
      <c r="F277" s="6" t="s">
        <v>50</v>
      </c>
      <c r="G277" s="6" t="s">
        <v>1271</v>
      </c>
      <c r="H277" s="6" t="s">
        <v>1359</v>
      </c>
      <c r="I277" s="6">
        <v>59638</v>
      </c>
      <c r="J277" s="6" t="s">
        <v>16</v>
      </c>
      <c r="K277" s="6" t="s">
        <v>1262</v>
      </c>
    </row>
    <row r="278" spans="1:11" x14ac:dyDescent="0.25">
      <c r="A278" s="5" t="s">
        <v>322</v>
      </c>
      <c r="B278" s="5" t="s">
        <v>1500</v>
      </c>
      <c r="C278" s="5" t="s">
        <v>53</v>
      </c>
      <c r="D278" s="5" t="s">
        <v>1270</v>
      </c>
      <c r="E278" s="5" t="s">
        <v>63</v>
      </c>
      <c r="F278" s="5" t="s">
        <v>59</v>
      </c>
      <c r="G278" s="5" t="s">
        <v>1364</v>
      </c>
      <c r="H278" s="5" t="s">
        <v>1308</v>
      </c>
      <c r="I278" s="5">
        <v>3216</v>
      </c>
      <c r="J278" s="5" t="s">
        <v>16</v>
      </c>
      <c r="K278" s="5" t="s">
        <v>1286</v>
      </c>
    </row>
    <row r="279" spans="1:11" x14ac:dyDescent="0.25">
      <c r="A279" s="6" t="s">
        <v>323</v>
      </c>
      <c r="B279" s="6" t="s">
        <v>1601</v>
      </c>
      <c r="C279" s="6" t="s">
        <v>62</v>
      </c>
      <c r="D279" s="6" t="s">
        <v>26</v>
      </c>
      <c r="E279" s="6" t="s">
        <v>14</v>
      </c>
      <c r="F279" s="6" t="s">
        <v>15</v>
      </c>
      <c r="G279" s="6" t="s">
        <v>1307</v>
      </c>
      <c r="H279" s="6" t="s">
        <v>1257</v>
      </c>
      <c r="I279" s="6">
        <v>8689</v>
      </c>
      <c r="J279" s="6" t="s">
        <v>22</v>
      </c>
      <c r="K279" s="6" t="s">
        <v>1273</v>
      </c>
    </row>
    <row r="280" spans="1:11" x14ac:dyDescent="0.25">
      <c r="A280" s="5" t="s">
        <v>324</v>
      </c>
      <c r="B280" s="5" t="s">
        <v>1602</v>
      </c>
      <c r="C280" s="5" t="s">
        <v>48</v>
      </c>
      <c r="D280" s="5" t="s">
        <v>1296</v>
      </c>
      <c r="E280" s="5" t="s">
        <v>66</v>
      </c>
      <c r="F280" s="5" t="s">
        <v>67</v>
      </c>
      <c r="G280" s="5" t="s">
        <v>1297</v>
      </c>
      <c r="H280" s="5" t="s">
        <v>1317</v>
      </c>
      <c r="I280" s="5">
        <v>1625</v>
      </c>
      <c r="J280" s="5" t="s">
        <v>22</v>
      </c>
      <c r="K280" s="5" t="s">
        <v>46</v>
      </c>
    </row>
    <row r="281" spans="1:11" x14ac:dyDescent="0.25">
      <c r="A281" s="6" t="s">
        <v>325</v>
      </c>
      <c r="B281" s="6" t="s">
        <v>1586</v>
      </c>
      <c r="C281" s="6" t="s">
        <v>1259</v>
      </c>
      <c r="D281" s="6"/>
      <c r="E281" s="6" t="s">
        <v>1361</v>
      </c>
      <c r="F281" s="6" t="s">
        <v>42</v>
      </c>
      <c r="G281" s="6" t="s">
        <v>1341</v>
      </c>
      <c r="H281" s="6" t="s">
        <v>1311</v>
      </c>
      <c r="I281" s="6">
        <v>17092</v>
      </c>
      <c r="J281" s="6" t="s">
        <v>45</v>
      </c>
      <c r="K281" s="6" t="s">
        <v>1262</v>
      </c>
    </row>
    <row r="282" spans="1:11" x14ac:dyDescent="0.25">
      <c r="A282" s="5" t="s">
        <v>326</v>
      </c>
      <c r="B282" s="5" t="s">
        <v>1603</v>
      </c>
      <c r="C282" s="5" t="s">
        <v>1269</v>
      </c>
      <c r="D282" s="5" t="s">
        <v>1275</v>
      </c>
      <c r="E282" s="5" t="s">
        <v>27</v>
      </c>
      <c r="F282" s="5" t="s">
        <v>28</v>
      </c>
      <c r="G282" s="5" t="s">
        <v>1380</v>
      </c>
      <c r="H282" s="5" t="s">
        <v>1266</v>
      </c>
      <c r="I282" s="5">
        <v>9075</v>
      </c>
      <c r="J282" s="5" t="s">
        <v>45</v>
      </c>
      <c r="K282" s="5" t="s">
        <v>46</v>
      </c>
    </row>
    <row r="283" spans="1:11" x14ac:dyDescent="0.25">
      <c r="A283" s="6" t="s">
        <v>327</v>
      </c>
      <c r="B283" s="6" t="s">
        <v>1604</v>
      </c>
      <c r="C283" s="6" t="s">
        <v>53</v>
      </c>
      <c r="D283" s="6" t="s">
        <v>1275</v>
      </c>
      <c r="E283" s="6" t="s">
        <v>14</v>
      </c>
      <c r="F283" s="6" t="s">
        <v>15</v>
      </c>
      <c r="G283" s="6" t="s">
        <v>1297</v>
      </c>
      <c r="H283" s="6" t="s">
        <v>1257</v>
      </c>
      <c r="I283" s="6">
        <v>9348</v>
      </c>
      <c r="J283" s="6" t="s">
        <v>22</v>
      </c>
      <c r="K283" s="6" t="s">
        <v>1273</v>
      </c>
    </row>
    <row r="284" spans="1:11" x14ac:dyDescent="0.25">
      <c r="A284" s="5" t="s">
        <v>328</v>
      </c>
      <c r="B284" s="5" t="s">
        <v>1605</v>
      </c>
      <c r="C284" s="5" t="s">
        <v>73</v>
      </c>
      <c r="D284" s="5" t="s">
        <v>1270</v>
      </c>
      <c r="E284" s="5" t="s">
        <v>37</v>
      </c>
      <c r="F284" s="5" t="s">
        <v>38</v>
      </c>
      <c r="G284" s="5" t="s">
        <v>1256</v>
      </c>
      <c r="H284" s="5" t="s">
        <v>1281</v>
      </c>
      <c r="I284" s="5">
        <v>41280</v>
      </c>
      <c r="J284" s="5" t="s">
        <v>29</v>
      </c>
      <c r="K284" s="5" t="s">
        <v>1262</v>
      </c>
    </row>
    <row r="285" spans="1:11" x14ac:dyDescent="0.25">
      <c r="A285" s="6" t="s">
        <v>329</v>
      </c>
      <c r="B285" s="6" t="s">
        <v>1332</v>
      </c>
      <c r="C285" s="6" t="s">
        <v>1259</v>
      </c>
      <c r="D285" s="6" t="s">
        <v>26</v>
      </c>
      <c r="E285" s="6" t="s">
        <v>14</v>
      </c>
      <c r="F285" s="6" t="s">
        <v>15</v>
      </c>
      <c r="G285" s="6" t="s">
        <v>1405</v>
      </c>
      <c r="H285" s="6" t="s">
        <v>1272</v>
      </c>
      <c r="I285" s="6">
        <v>8051</v>
      </c>
      <c r="J285" s="6" t="s">
        <v>22</v>
      </c>
      <c r="K285" s="6" t="s">
        <v>1262</v>
      </c>
    </row>
    <row r="286" spans="1:11" x14ac:dyDescent="0.25">
      <c r="A286" s="5" t="s">
        <v>330</v>
      </c>
      <c r="B286" s="5" t="s">
        <v>1606</v>
      </c>
      <c r="C286" s="5" t="s">
        <v>73</v>
      </c>
      <c r="D286" s="5" t="s">
        <v>1255</v>
      </c>
      <c r="E286" s="5" t="s">
        <v>1607</v>
      </c>
      <c r="F286" s="5" t="s">
        <v>28</v>
      </c>
      <c r="G286" s="5" t="s">
        <v>1265</v>
      </c>
      <c r="H286" s="5" t="s">
        <v>1266</v>
      </c>
      <c r="I286" s="5">
        <v>8472</v>
      </c>
      <c r="J286" s="5" t="s">
        <v>22</v>
      </c>
      <c r="K286" s="5" t="s">
        <v>1262</v>
      </c>
    </row>
    <row r="287" spans="1:11" x14ac:dyDescent="0.25">
      <c r="A287" s="6" t="s">
        <v>331</v>
      </c>
      <c r="B287" s="6" t="s">
        <v>1608</v>
      </c>
      <c r="C287" s="6" t="s">
        <v>1288</v>
      </c>
      <c r="D287" s="6" t="s">
        <v>1275</v>
      </c>
      <c r="E287" s="6" t="s">
        <v>63</v>
      </c>
      <c r="F287" s="6" t="s">
        <v>59</v>
      </c>
      <c r="G287" s="6" t="s">
        <v>1256</v>
      </c>
      <c r="H287" s="6" t="s">
        <v>1308</v>
      </c>
      <c r="I287" s="6">
        <v>2731</v>
      </c>
      <c r="J287" s="6" t="s">
        <v>22</v>
      </c>
      <c r="K287" s="6" t="s">
        <v>1262</v>
      </c>
    </row>
    <row r="288" spans="1:11" x14ac:dyDescent="0.25">
      <c r="A288" s="5" t="s">
        <v>332</v>
      </c>
      <c r="B288" s="5" t="s">
        <v>1609</v>
      </c>
      <c r="C288" s="5" t="s">
        <v>73</v>
      </c>
      <c r="D288" s="5" t="s">
        <v>1275</v>
      </c>
      <c r="E288" s="5" t="s">
        <v>37</v>
      </c>
      <c r="F288" s="5" t="s">
        <v>38</v>
      </c>
      <c r="G288" s="5" t="s">
        <v>1405</v>
      </c>
      <c r="H288" s="5" t="s">
        <v>1367</v>
      </c>
      <c r="I288" s="5">
        <v>41126</v>
      </c>
      <c r="J288" s="5" t="s">
        <v>16</v>
      </c>
      <c r="K288" s="5" t="s">
        <v>1262</v>
      </c>
    </row>
    <row r="289" spans="1:11" x14ac:dyDescent="0.25">
      <c r="A289" s="6" t="s">
        <v>333</v>
      </c>
      <c r="B289" s="6" t="s">
        <v>1610</v>
      </c>
      <c r="C289" s="6" t="s">
        <v>1269</v>
      </c>
      <c r="D289" s="6" t="s">
        <v>1255</v>
      </c>
      <c r="E289" s="6" t="s">
        <v>63</v>
      </c>
      <c r="F289" s="6" t="s">
        <v>59</v>
      </c>
      <c r="G289" s="6" t="s">
        <v>1376</v>
      </c>
      <c r="H289" s="6" t="s">
        <v>1320</v>
      </c>
      <c r="I289" s="6">
        <v>2885</v>
      </c>
      <c r="J289" s="6" t="s">
        <v>22</v>
      </c>
      <c r="K289" s="6" t="s">
        <v>1286</v>
      </c>
    </row>
    <row r="290" spans="1:11" x14ac:dyDescent="0.25">
      <c r="A290" s="5" t="s">
        <v>334</v>
      </c>
      <c r="B290" s="5" t="s">
        <v>1611</v>
      </c>
      <c r="C290" s="5" t="s">
        <v>1254</v>
      </c>
      <c r="D290" s="5" t="s">
        <v>1255</v>
      </c>
      <c r="E290" s="5" t="s">
        <v>66</v>
      </c>
      <c r="F290" s="5" t="s">
        <v>67</v>
      </c>
      <c r="G290" s="5" t="s">
        <v>1271</v>
      </c>
      <c r="H290" s="5" t="s">
        <v>1317</v>
      </c>
      <c r="I290" s="5">
        <v>1517</v>
      </c>
      <c r="J290" s="5" t="s">
        <v>16</v>
      </c>
      <c r="K290" s="5" t="s">
        <v>46</v>
      </c>
    </row>
    <row r="291" spans="1:11" x14ac:dyDescent="0.25">
      <c r="A291" s="6" t="s">
        <v>335</v>
      </c>
      <c r="B291" s="6" t="s">
        <v>1612</v>
      </c>
      <c r="C291" s="6" t="s">
        <v>53</v>
      </c>
      <c r="D291" s="6" t="s">
        <v>1283</v>
      </c>
      <c r="E291" s="6" t="s">
        <v>1512</v>
      </c>
      <c r="F291" s="6" t="s">
        <v>42</v>
      </c>
      <c r="G291" s="6" t="s">
        <v>1337</v>
      </c>
      <c r="H291" s="6" t="s">
        <v>1325</v>
      </c>
      <c r="I291" s="6">
        <v>17547</v>
      </c>
      <c r="J291" s="6" t="s">
        <v>45</v>
      </c>
      <c r="K291" s="6" t="s">
        <v>46</v>
      </c>
    </row>
    <row r="292" spans="1:11" x14ac:dyDescent="0.25">
      <c r="A292" s="5" t="s">
        <v>336</v>
      </c>
      <c r="B292" s="5" t="s">
        <v>1613</v>
      </c>
      <c r="C292" s="5" t="s">
        <v>1259</v>
      </c>
      <c r="D292" s="5" t="s">
        <v>26</v>
      </c>
      <c r="E292" s="5" t="s">
        <v>63</v>
      </c>
      <c r="F292" s="5" t="s">
        <v>59</v>
      </c>
      <c r="G292" s="5" t="s">
        <v>1331</v>
      </c>
      <c r="H292" s="5" t="s">
        <v>1308</v>
      </c>
      <c r="I292" s="5">
        <v>3259</v>
      </c>
      <c r="J292" s="5" t="s">
        <v>1267</v>
      </c>
      <c r="K292" s="5" t="s">
        <v>1286</v>
      </c>
    </row>
    <row r="293" spans="1:11" x14ac:dyDescent="0.25">
      <c r="A293" s="6" t="s">
        <v>337</v>
      </c>
      <c r="B293" s="6" t="s">
        <v>1614</v>
      </c>
      <c r="C293" s="6" t="s">
        <v>1269</v>
      </c>
      <c r="D293" s="6" t="s">
        <v>36</v>
      </c>
      <c r="E293" s="6" t="s">
        <v>49</v>
      </c>
      <c r="F293" s="6" t="s">
        <v>50</v>
      </c>
      <c r="G293" s="6" t="s">
        <v>1301</v>
      </c>
      <c r="H293" s="6" t="s">
        <v>1359</v>
      </c>
      <c r="I293" s="6">
        <v>57853</v>
      </c>
      <c r="J293" s="6" t="s">
        <v>1267</v>
      </c>
      <c r="K293" s="6" t="s">
        <v>17</v>
      </c>
    </row>
    <row r="294" spans="1:11" x14ac:dyDescent="0.25">
      <c r="A294" s="5" t="s">
        <v>338</v>
      </c>
      <c r="B294" s="5" t="s">
        <v>1615</v>
      </c>
      <c r="C294" s="5" t="s">
        <v>73</v>
      </c>
      <c r="D294" s="5" t="s">
        <v>26</v>
      </c>
      <c r="E294" s="5" t="s">
        <v>20</v>
      </c>
      <c r="F294" s="5" t="s">
        <v>21</v>
      </c>
      <c r="G294" s="5" t="s">
        <v>1265</v>
      </c>
      <c r="H294" s="5" t="s">
        <v>1261</v>
      </c>
      <c r="I294" s="5">
        <v>5844</v>
      </c>
      <c r="J294" s="5" t="s">
        <v>29</v>
      </c>
      <c r="K294" s="5" t="s">
        <v>1273</v>
      </c>
    </row>
    <row r="295" spans="1:11" x14ac:dyDescent="0.25">
      <c r="A295" s="6" t="s">
        <v>339</v>
      </c>
      <c r="B295" s="6" t="s">
        <v>1616</v>
      </c>
      <c r="C295" s="6" t="s">
        <v>73</v>
      </c>
      <c r="D295" s="6" t="s">
        <v>26</v>
      </c>
      <c r="E295" s="6" t="s">
        <v>63</v>
      </c>
      <c r="F295" s="6" t="s">
        <v>59</v>
      </c>
      <c r="G295" s="6" t="s">
        <v>1260</v>
      </c>
      <c r="H295" s="6" t="s">
        <v>1403</v>
      </c>
      <c r="I295" s="6">
        <v>2831</v>
      </c>
      <c r="J295" s="6" t="s">
        <v>16</v>
      </c>
      <c r="K295" s="6" t="s">
        <v>1262</v>
      </c>
    </row>
    <row r="296" spans="1:11" x14ac:dyDescent="0.25">
      <c r="A296" s="5" t="s">
        <v>340</v>
      </c>
      <c r="B296" s="5" t="s">
        <v>1571</v>
      </c>
      <c r="C296" s="5" t="s">
        <v>48</v>
      </c>
      <c r="D296" s="5" t="s">
        <v>26</v>
      </c>
      <c r="E296" s="5" t="s">
        <v>1401</v>
      </c>
      <c r="F296" s="5" t="s">
        <v>67</v>
      </c>
      <c r="G296" s="5" t="s">
        <v>1260</v>
      </c>
      <c r="H296" s="5" t="s">
        <v>1317</v>
      </c>
      <c r="I296" s="5">
        <v>1589</v>
      </c>
      <c r="J296" s="5" t="s">
        <v>16</v>
      </c>
      <c r="K296" s="5" t="s">
        <v>46</v>
      </c>
    </row>
    <row r="297" spans="1:11" x14ac:dyDescent="0.25">
      <c r="A297" s="6" t="s">
        <v>341</v>
      </c>
      <c r="B297" s="6" t="s">
        <v>1617</v>
      </c>
      <c r="C297" s="6" t="s">
        <v>62</v>
      </c>
      <c r="D297" s="6" t="s">
        <v>26</v>
      </c>
      <c r="E297" s="6" t="s">
        <v>49</v>
      </c>
      <c r="F297" s="6" t="s">
        <v>50</v>
      </c>
      <c r="G297" s="6" t="s">
        <v>1328</v>
      </c>
      <c r="H297" s="6" t="s">
        <v>1359</v>
      </c>
      <c r="I297" s="6">
        <v>45484</v>
      </c>
      <c r="J297" s="6" t="s">
        <v>16</v>
      </c>
      <c r="K297" s="6" t="s">
        <v>1273</v>
      </c>
    </row>
    <row r="298" spans="1:11" x14ac:dyDescent="0.25">
      <c r="A298" s="5" t="s">
        <v>342</v>
      </c>
      <c r="B298" s="5" t="s">
        <v>1618</v>
      </c>
      <c r="C298" s="5" t="s">
        <v>62</v>
      </c>
      <c r="D298" s="5" t="s">
        <v>1255</v>
      </c>
      <c r="E298" s="5" t="s">
        <v>49</v>
      </c>
      <c r="F298" s="5" t="s">
        <v>50</v>
      </c>
      <c r="G298" s="5" t="s">
        <v>1337</v>
      </c>
      <c r="H298" s="5" t="s">
        <v>1291</v>
      </c>
      <c r="I298" s="5">
        <v>54047</v>
      </c>
      <c r="J298" s="5" t="s">
        <v>45</v>
      </c>
      <c r="K298" s="5" t="s">
        <v>46</v>
      </c>
    </row>
    <row r="299" spans="1:11" x14ac:dyDescent="0.25">
      <c r="A299" s="6" t="s">
        <v>343</v>
      </c>
      <c r="B299" s="6" t="s">
        <v>1619</v>
      </c>
      <c r="C299" s="6" t="s">
        <v>1264</v>
      </c>
      <c r="D299" s="6" t="s">
        <v>1296</v>
      </c>
      <c r="E299" s="6" t="s">
        <v>63</v>
      </c>
      <c r="F299" s="6" t="s">
        <v>59</v>
      </c>
      <c r="G299" s="6" t="s">
        <v>1260</v>
      </c>
      <c r="H299" s="6" t="s">
        <v>1308</v>
      </c>
      <c r="I299" s="6">
        <v>2893</v>
      </c>
      <c r="J299" s="6" t="s">
        <v>22</v>
      </c>
      <c r="K299" s="6" t="s">
        <v>46</v>
      </c>
    </row>
    <row r="300" spans="1:11" x14ac:dyDescent="0.25">
      <c r="A300" s="5" t="s">
        <v>344</v>
      </c>
      <c r="B300" s="5" t="s">
        <v>1371</v>
      </c>
      <c r="C300" s="5" t="s">
        <v>1264</v>
      </c>
      <c r="D300" s="5" t="s">
        <v>1296</v>
      </c>
      <c r="E300" s="5" t="s">
        <v>37</v>
      </c>
      <c r="F300" s="5" t="s">
        <v>38</v>
      </c>
      <c r="G300" s="5" t="s">
        <v>1337</v>
      </c>
      <c r="H300" s="5" t="s">
        <v>1281</v>
      </c>
      <c r="I300" s="5">
        <v>42707</v>
      </c>
      <c r="J300" s="5" t="s">
        <v>29</v>
      </c>
      <c r="K300" s="5" t="s">
        <v>17</v>
      </c>
    </row>
    <row r="301" spans="1:11" x14ac:dyDescent="0.25">
      <c r="A301" s="6" t="s">
        <v>345</v>
      </c>
      <c r="B301" s="6" t="s">
        <v>1620</v>
      </c>
      <c r="C301" s="6" t="s">
        <v>53</v>
      </c>
      <c r="D301" s="6" t="s">
        <v>36</v>
      </c>
      <c r="E301" s="6" t="s">
        <v>1374</v>
      </c>
      <c r="F301" s="6" t="s">
        <v>50</v>
      </c>
      <c r="G301" s="6" t="s">
        <v>1307</v>
      </c>
      <c r="H301" s="6" t="s">
        <v>1359</v>
      </c>
      <c r="I301" s="6">
        <v>48637</v>
      </c>
      <c r="J301" s="6" t="s">
        <v>22</v>
      </c>
      <c r="K301" s="6" t="s">
        <v>17</v>
      </c>
    </row>
    <row r="302" spans="1:11" x14ac:dyDescent="0.25">
      <c r="A302" s="5" t="s">
        <v>346</v>
      </c>
      <c r="B302" s="5" t="s">
        <v>1621</v>
      </c>
      <c r="C302" s="5" t="s">
        <v>1288</v>
      </c>
      <c r="D302" s="5" t="s">
        <v>1283</v>
      </c>
      <c r="E302" s="5" t="s">
        <v>41</v>
      </c>
      <c r="F302" s="5" t="s">
        <v>42</v>
      </c>
      <c r="G302" s="5" t="s">
        <v>1260</v>
      </c>
      <c r="H302" s="5" t="s">
        <v>1285</v>
      </c>
      <c r="I302" s="5">
        <v>17600</v>
      </c>
      <c r="J302" s="5" t="s">
        <v>16</v>
      </c>
      <c r="K302" s="5" t="s">
        <v>1262</v>
      </c>
    </row>
    <row r="303" spans="1:11" x14ac:dyDescent="0.25">
      <c r="A303" s="6" t="s">
        <v>347</v>
      </c>
      <c r="B303" s="6" t="s">
        <v>1622</v>
      </c>
      <c r="C303" s="6" t="s">
        <v>53</v>
      </c>
      <c r="D303" s="6" t="s">
        <v>1275</v>
      </c>
      <c r="E303" s="6" t="s">
        <v>14</v>
      </c>
      <c r="F303" s="6" t="s">
        <v>15</v>
      </c>
      <c r="G303" s="6" t="s">
        <v>1303</v>
      </c>
      <c r="H303" s="6" t="s">
        <v>1257</v>
      </c>
      <c r="I303" s="6">
        <v>8307</v>
      </c>
      <c r="J303" s="6" t="s">
        <v>45</v>
      </c>
      <c r="K303" s="6" t="s">
        <v>1286</v>
      </c>
    </row>
    <row r="304" spans="1:11" x14ac:dyDescent="0.25">
      <c r="A304" s="5" t="s">
        <v>348</v>
      </c>
      <c r="B304" s="5" t="s">
        <v>1623</v>
      </c>
      <c r="C304" s="5" t="s">
        <v>1288</v>
      </c>
      <c r="D304" s="5" t="s">
        <v>1283</v>
      </c>
      <c r="E304" s="5" t="s">
        <v>27</v>
      </c>
      <c r="F304" s="5" t="s">
        <v>28</v>
      </c>
      <c r="G304" s="5" t="s">
        <v>1277</v>
      </c>
      <c r="H304" s="5" t="s">
        <v>1266</v>
      </c>
      <c r="I304" s="5">
        <v>10709</v>
      </c>
      <c r="J304" s="5" t="s">
        <v>22</v>
      </c>
      <c r="K304" s="5" t="s">
        <v>46</v>
      </c>
    </row>
    <row r="305" spans="1:11" x14ac:dyDescent="0.25">
      <c r="A305" s="6" t="s">
        <v>349</v>
      </c>
      <c r="B305" s="6" t="s">
        <v>1624</v>
      </c>
      <c r="C305" s="6" t="s">
        <v>53</v>
      </c>
      <c r="D305" s="6" t="s">
        <v>1275</v>
      </c>
      <c r="E305" s="6" t="s">
        <v>55</v>
      </c>
      <c r="F305" s="6" t="s">
        <v>34</v>
      </c>
      <c r="G305" s="6" t="s">
        <v>1625</v>
      </c>
      <c r="H305" s="6" t="s">
        <v>1299</v>
      </c>
      <c r="I305" s="6">
        <v>22407</v>
      </c>
      <c r="J305" s="6" t="s">
        <v>29</v>
      </c>
      <c r="K305" s="6" t="s">
        <v>17</v>
      </c>
    </row>
    <row r="306" spans="1:11" x14ac:dyDescent="0.25">
      <c r="A306" s="5" t="s">
        <v>350</v>
      </c>
      <c r="B306" s="5" t="s">
        <v>1626</v>
      </c>
      <c r="C306" s="5" t="s">
        <v>1269</v>
      </c>
      <c r="D306" s="5" t="s">
        <v>1255</v>
      </c>
      <c r="E306" s="5" t="s">
        <v>1361</v>
      </c>
      <c r="F306" s="5" t="s">
        <v>42</v>
      </c>
      <c r="G306" s="5" t="s">
        <v>1337</v>
      </c>
      <c r="H306" s="5" t="s">
        <v>1325</v>
      </c>
      <c r="I306" s="5">
        <v>20270</v>
      </c>
      <c r="J306" s="5" t="s">
        <v>16</v>
      </c>
      <c r="K306" s="5" t="s">
        <v>1262</v>
      </c>
    </row>
    <row r="307" spans="1:11" x14ac:dyDescent="0.25">
      <c r="A307" s="6" t="s">
        <v>351</v>
      </c>
      <c r="B307" s="6" t="s">
        <v>1627</v>
      </c>
      <c r="C307" s="6" t="s">
        <v>73</v>
      </c>
      <c r="D307" s="6" t="s">
        <v>1255</v>
      </c>
      <c r="E307" s="6" t="s">
        <v>63</v>
      </c>
      <c r="F307" s="6" t="s">
        <v>59</v>
      </c>
      <c r="G307" s="6" t="s">
        <v>1313</v>
      </c>
      <c r="H307" s="6" t="s">
        <v>1308</v>
      </c>
      <c r="I307" s="6">
        <v>3179</v>
      </c>
      <c r="J307" s="6" t="s">
        <v>16</v>
      </c>
      <c r="K307" s="6" t="s">
        <v>1273</v>
      </c>
    </row>
    <row r="308" spans="1:11" x14ac:dyDescent="0.25">
      <c r="A308" s="5" t="s">
        <v>352</v>
      </c>
      <c r="B308" s="5" t="s">
        <v>1628</v>
      </c>
      <c r="C308" s="5" t="s">
        <v>1264</v>
      </c>
      <c r="D308" s="5" t="s">
        <v>1270</v>
      </c>
      <c r="E308" s="5" t="s">
        <v>66</v>
      </c>
      <c r="F308" s="5" t="s">
        <v>67</v>
      </c>
      <c r="G308" s="5" t="s">
        <v>1380</v>
      </c>
      <c r="H308" s="5" t="s">
        <v>1317</v>
      </c>
      <c r="I308" s="5">
        <v>1613</v>
      </c>
      <c r="J308" s="5" t="s">
        <v>45</v>
      </c>
      <c r="K308" s="5" t="s">
        <v>17</v>
      </c>
    </row>
    <row r="309" spans="1:11" x14ac:dyDescent="0.25">
      <c r="A309" s="6" t="s">
        <v>353</v>
      </c>
      <c r="B309" s="6" t="s">
        <v>1629</v>
      </c>
      <c r="C309" s="6" t="s">
        <v>1264</v>
      </c>
      <c r="D309" s="6" t="s">
        <v>1255</v>
      </c>
      <c r="E309" s="6" t="s">
        <v>66</v>
      </c>
      <c r="F309" s="6" t="s">
        <v>67</v>
      </c>
      <c r="G309" s="6" t="s">
        <v>1301</v>
      </c>
      <c r="H309" s="6" t="s">
        <v>1335</v>
      </c>
      <c r="I309" s="6">
        <v>1779</v>
      </c>
      <c r="J309" s="6" t="s">
        <v>29</v>
      </c>
      <c r="K309" s="6" t="s">
        <v>1262</v>
      </c>
    </row>
    <row r="310" spans="1:11" x14ac:dyDescent="0.25">
      <c r="A310" s="5" t="s">
        <v>354</v>
      </c>
      <c r="B310" s="5" t="s">
        <v>1333</v>
      </c>
      <c r="C310" s="5" t="s">
        <v>1259</v>
      </c>
      <c r="D310" s="5" t="s">
        <v>1283</v>
      </c>
      <c r="E310" s="5" t="s">
        <v>63</v>
      </c>
      <c r="F310" s="5" t="s">
        <v>59</v>
      </c>
      <c r="G310" s="5" t="s">
        <v>1280</v>
      </c>
      <c r="H310" s="5" t="s">
        <v>1308</v>
      </c>
      <c r="I310" s="5">
        <v>3280</v>
      </c>
      <c r="J310" s="5" t="s">
        <v>22</v>
      </c>
      <c r="K310" s="5" t="s">
        <v>46</v>
      </c>
    </row>
    <row r="311" spans="1:11" x14ac:dyDescent="0.25">
      <c r="A311" s="6" t="s">
        <v>355</v>
      </c>
      <c r="B311" s="6" t="s">
        <v>1504</v>
      </c>
      <c r="C311" s="6" t="s">
        <v>1259</v>
      </c>
      <c r="D311" s="6" t="s">
        <v>36</v>
      </c>
      <c r="E311" s="6" t="s">
        <v>1587</v>
      </c>
      <c r="F311" s="6" t="s">
        <v>21</v>
      </c>
      <c r="G311" s="6" t="s">
        <v>1271</v>
      </c>
      <c r="H311" s="6" t="s">
        <v>1261</v>
      </c>
      <c r="I311" s="6">
        <v>5927</v>
      </c>
      <c r="J311" s="6" t="s">
        <v>22</v>
      </c>
      <c r="K311" s="6" t="s">
        <v>17</v>
      </c>
    </row>
    <row r="312" spans="1:11" x14ac:dyDescent="0.25">
      <c r="A312" s="5" t="s">
        <v>356</v>
      </c>
      <c r="B312" s="5" t="s">
        <v>1630</v>
      </c>
      <c r="C312" s="5" t="s">
        <v>1288</v>
      </c>
      <c r="D312" s="5" t="s">
        <v>1255</v>
      </c>
      <c r="E312" s="5" t="s">
        <v>27</v>
      </c>
      <c r="F312" s="5" t="s">
        <v>28</v>
      </c>
      <c r="G312" s="5" t="s">
        <v>1303</v>
      </c>
      <c r="H312" s="5" t="s">
        <v>1266</v>
      </c>
      <c r="I312" s="5">
        <v>9150</v>
      </c>
      <c r="J312" s="5" t="s">
        <v>22</v>
      </c>
      <c r="K312" s="5" t="s">
        <v>1273</v>
      </c>
    </row>
    <row r="313" spans="1:11" x14ac:dyDescent="0.25">
      <c r="A313" s="6" t="s">
        <v>357</v>
      </c>
      <c r="B313" s="6" t="s">
        <v>1505</v>
      </c>
      <c r="C313" s="6" t="s">
        <v>1264</v>
      </c>
      <c r="D313" s="6" t="s">
        <v>1283</v>
      </c>
      <c r="E313" s="6" t="s">
        <v>63</v>
      </c>
      <c r="F313" s="6" t="s">
        <v>59</v>
      </c>
      <c r="G313" s="6" t="s">
        <v>1560</v>
      </c>
      <c r="H313" s="6" t="s">
        <v>1320</v>
      </c>
      <c r="I313" s="6">
        <v>2910</v>
      </c>
      <c r="J313" s="6" t="s">
        <v>29</v>
      </c>
      <c r="K313" s="6" t="s">
        <v>17</v>
      </c>
    </row>
    <row r="314" spans="1:11" x14ac:dyDescent="0.25">
      <c r="A314" s="5" t="s">
        <v>358</v>
      </c>
      <c r="B314" s="5" t="s">
        <v>1631</v>
      </c>
      <c r="C314" s="5" t="s">
        <v>53</v>
      </c>
      <c r="D314" s="5" t="s">
        <v>36</v>
      </c>
      <c r="E314" s="5" t="s">
        <v>55</v>
      </c>
      <c r="F314" s="5" t="s">
        <v>34</v>
      </c>
      <c r="G314" s="5" t="s">
        <v>1313</v>
      </c>
      <c r="H314" s="5" t="s">
        <v>1278</v>
      </c>
      <c r="I314" s="5">
        <v>21706</v>
      </c>
      <c r="J314" s="5" t="s">
        <v>1267</v>
      </c>
      <c r="K314" s="5" t="s">
        <v>46</v>
      </c>
    </row>
    <row r="315" spans="1:11" x14ac:dyDescent="0.25">
      <c r="A315" s="6" t="s">
        <v>359</v>
      </c>
      <c r="B315" s="6" t="s">
        <v>1559</v>
      </c>
      <c r="C315" s="6" t="s">
        <v>1254</v>
      </c>
      <c r="D315" s="6" t="s">
        <v>1255</v>
      </c>
      <c r="E315" s="6" t="s">
        <v>41</v>
      </c>
      <c r="F315" s="6" t="s">
        <v>42</v>
      </c>
      <c r="G315" s="6" t="s">
        <v>1315</v>
      </c>
      <c r="H315" s="6" t="s">
        <v>1325</v>
      </c>
      <c r="I315" s="6">
        <v>18594</v>
      </c>
      <c r="J315" s="6" t="s">
        <v>22</v>
      </c>
      <c r="K315" s="6" t="s">
        <v>17</v>
      </c>
    </row>
    <row r="316" spans="1:11" x14ac:dyDescent="0.25">
      <c r="A316" s="5" t="s">
        <v>360</v>
      </c>
      <c r="B316" s="5" t="s">
        <v>1368</v>
      </c>
      <c r="C316" s="5" t="s">
        <v>73</v>
      </c>
      <c r="D316" s="5"/>
      <c r="E316" s="5" t="s">
        <v>1519</v>
      </c>
      <c r="F316" s="5" t="s">
        <v>21</v>
      </c>
      <c r="G316" s="5" t="s">
        <v>1271</v>
      </c>
      <c r="H316" s="5" t="s">
        <v>1454</v>
      </c>
      <c r="I316" s="5">
        <v>5414</v>
      </c>
      <c r="J316" s="5" t="s">
        <v>16</v>
      </c>
      <c r="K316" s="5"/>
    </row>
    <row r="317" spans="1:11" x14ac:dyDescent="0.25">
      <c r="A317" s="6" t="s">
        <v>361</v>
      </c>
      <c r="B317" s="6" t="s">
        <v>1632</v>
      </c>
      <c r="C317" s="6" t="s">
        <v>53</v>
      </c>
      <c r="D317" s="6" t="s">
        <v>1296</v>
      </c>
      <c r="E317" s="6" t="s">
        <v>20</v>
      </c>
      <c r="F317" s="6" t="s">
        <v>21</v>
      </c>
      <c r="G317" s="6" t="s">
        <v>1405</v>
      </c>
      <c r="H317" s="6" t="s">
        <v>1377</v>
      </c>
      <c r="I317" s="6">
        <v>6386</v>
      </c>
      <c r="J317" s="6" t="s">
        <v>1267</v>
      </c>
      <c r="K317" s="6" t="s">
        <v>1273</v>
      </c>
    </row>
    <row r="318" spans="1:11" x14ac:dyDescent="0.25">
      <c r="A318" s="5" t="s">
        <v>362</v>
      </c>
      <c r="B318" s="5" t="s">
        <v>1633</v>
      </c>
      <c r="C318" s="5" t="s">
        <v>73</v>
      </c>
      <c r="D318" s="5" t="s">
        <v>1283</v>
      </c>
      <c r="E318" s="5" t="s">
        <v>27</v>
      </c>
      <c r="F318" s="5" t="s">
        <v>28</v>
      </c>
      <c r="G318" s="5" t="s">
        <v>1315</v>
      </c>
      <c r="H318" s="5" t="s">
        <v>1266</v>
      </c>
      <c r="I318" s="5">
        <v>9168</v>
      </c>
      <c r="J318" s="5" t="s">
        <v>29</v>
      </c>
      <c r="K318" s="5" t="s">
        <v>46</v>
      </c>
    </row>
    <row r="319" spans="1:11" x14ac:dyDescent="0.25">
      <c r="A319" s="6" t="s">
        <v>363</v>
      </c>
      <c r="B319" s="6" t="s">
        <v>1634</v>
      </c>
      <c r="C319" s="6" t="s">
        <v>1259</v>
      </c>
      <c r="D319" s="6" t="s">
        <v>26</v>
      </c>
      <c r="E319" s="6" t="s">
        <v>20</v>
      </c>
      <c r="F319" s="6" t="s">
        <v>21</v>
      </c>
      <c r="G319" s="6" t="s">
        <v>1364</v>
      </c>
      <c r="H319" s="6" t="s">
        <v>1261</v>
      </c>
      <c r="I319" s="6">
        <v>6033</v>
      </c>
      <c r="J319" s="6" t="s">
        <v>45</v>
      </c>
      <c r="K319" s="6" t="s">
        <v>1286</v>
      </c>
    </row>
    <row r="320" spans="1:11" x14ac:dyDescent="0.25">
      <c r="A320" s="5" t="s">
        <v>364</v>
      </c>
      <c r="B320" s="5" t="s">
        <v>1635</v>
      </c>
      <c r="C320" s="5" t="s">
        <v>1259</v>
      </c>
      <c r="D320" s="5" t="s">
        <v>1255</v>
      </c>
      <c r="E320" s="5" t="s">
        <v>27</v>
      </c>
      <c r="F320" s="5" t="s">
        <v>28</v>
      </c>
      <c r="G320" s="5" t="s">
        <v>1284</v>
      </c>
      <c r="H320" s="5" t="s">
        <v>1266</v>
      </c>
      <c r="I320" s="5">
        <v>10941</v>
      </c>
      <c r="J320" s="5" t="s">
        <v>29</v>
      </c>
      <c r="K320" s="5" t="s">
        <v>1286</v>
      </c>
    </row>
    <row r="321" spans="1:11" x14ac:dyDescent="0.25">
      <c r="A321" s="6" t="s">
        <v>355</v>
      </c>
      <c r="B321" s="6" t="s">
        <v>1593</v>
      </c>
      <c r="C321" s="6" t="s">
        <v>48</v>
      </c>
      <c r="D321" s="6" t="s">
        <v>1283</v>
      </c>
      <c r="E321" s="6" t="s">
        <v>1636</v>
      </c>
      <c r="F321" s="6" t="s">
        <v>50</v>
      </c>
      <c r="G321" s="6" t="s">
        <v>1637</v>
      </c>
      <c r="H321" s="6" t="s">
        <v>1359</v>
      </c>
      <c r="I321" s="6">
        <v>45897</v>
      </c>
      <c r="J321" s="6" t="s">
        <v>22</v>
      </c>
      <c r="K321" s="6" t="s">
        <v>1286</v>
      </c>
    </row>
    <row r="322" spans="1:11" x14ac:dyDescent="0.25">
      <c r="A322" s="5" t="s">
        <v>365</v>
      </c>
      <c r="B322" s="5" t="s">
        <v>1612</v>
      </c>
      <c r="C322" s="5" t="s">
        <v>1288</v>
      </c>
      <c r="D322" s="5" t="s">
        <v>1296</v>
      </c>
      <c r="E322" s="5" t="s">
        <v>49</v>
      </c>
      <c r="F322" s="5" t="s">
        <v>50</v>
      </c>
      <c r="G322" s="5" t="s">
        <v>1313</v>
      </c>
      <c r="H322" s="5" t="s">
        <v>1291</v>
      </c>
      <c r="I322" s="5">
        <v>51211</v>
      </c>
      <c r="J322" s="5" t="s">
        <v>22</v>
      </c>
      <c r="K322" s="5" t="s">
        <v>1273</v>
      </c>
    </row>
    <row r="323" spans="1:11" x14ac:dyDescent="0.25">
      <c r="A323" s="6" t="s">
        <v>366</v>
      </c>
      <c r="B323" s="6" t="s">
        <v>1638</v>
      </c>
      <c r="C323" s="6" t="s">
        <v>1269</v>
      </c>
      <c r="D323" s="6" t="s">
        <v>1275</v>
      </c>
      <c r="E323" s="6" t="s">
        <v>66</v>
      </c>
      <c r="F323" s="6" t="s">
        <v>67</v>
      </c>
      <c r="G323" s="6" t="s">
        <v>1260</v>
      </c>
      <c r="H323" s="6" t="s">
        <v>1482</v>
      </c>
      <c r="I323" s="6">
        <v>1502</v>
      </c>
      <c r="J323" s="6" t="s">
        <v>16</v>
      </c>
      <c r="K323" s="6" t="s">
        <v>1273</v>
      </c>
    </row>
    <row r="324" spans="1:11" x14ac:dyDescent="0.25">
      <c r="A324" s="5" t="s">
        <v>367</v>
      </c>
      <c r="B324" s="5" t="s">
        <v>1639</v>
      </c>
      <c r="C324" s="5" t="s">
        <v>73</v>
      </c>
      <c r="D324" s="5" t="s">
        <v>1255</v>
      </c>
      <c r="E324" s="5" t="s">
        <v>14</v>
      </c>
      <c r="F324" s="5" t="s">
        <v>15</v>
      </c>
      <c r="G324" s="5" t="s">
        <v>1265</v>
      </c>
      <c r="H324" s="5" t="s">
        <v>1257</v>
      </c>
      <c r="I324" s="5">
        <v>8037</v>
      </c>
      <c r="J324" s="5" t="s">
        <v>1267</v>
      </c>
      <c r="K324" s="5" t="s">
        <v>1273</v>
      </c>
    </row>
    <row r="325" spans="1:11" x14ac:dyDescent="0.25">
      <c r="A325" s="6" t="s">
        <v>368</v>
      </c>
      <c r="B325" s="6" t="s">
        <v>1640</v>
      </c>
      <c r="C325" s="6" t="s">
        <v>1254</v>
      </c>
      <c r="D325" s="6" t="s">
        <v>1270</v>
      </c>
      <c r="E325" s="6" t="s">
        <v>14</v>
      </c>
      <c r="F325" s="6" t="s">
        <v>15</v>
      </c>
      <c r="G325" s="6" t="s">
        <v>1256</v>
      </c>
      <c r="H325" s="6" t="s">
        <v>1272</v>
      </c>
      <c r="I325" s="6">
        <v>9966</v>
      </c>
      <c r="J325" s="6" t="s">
        <v>22</v>
      </c>
      <c r="K325" s="6" t="s">
        <v>1262</v>
      </c>
    </row>
    <row r="326" spans="1:11" x14ac:dyDescent="0.25">
      <c r="A326" s="5" t="s">
        <v>369</v>
      </c>
      <c r="B326" s="5" t="s">
        <v>1396</v>
      </c>
      <c r="C326" s="5" t="s">
        <v>73</v>
      </c>
      <c r="D326" s="5" t="s">
        <v>1275</v>
      </c>
      <c r="E326" s="5" t="s">
        <v>1361</v>
      </c>
      <c r="F326" s="5" t="s">
        <v>42</v>
      </c>
      <c r="G326" s="5" t="s">
        <v>1297</v>
      </c>
      <c r="H326" s="5" t="s">
        <v>1325</v>
      </c>
      <c r="I326" s="5">
        <v>20263</v>
      </c>
      <c r="J326" s="5" t="s">
        <v>16</v>
      </c>
      <c r="K326" s="5" t="s">
        <v>1262</v>
      </c>
    </row>
    <row r="327" spans="1:11" x14ac:dyDescent="0.25">
      <c r="A327" s="6" t="s">
        <v>370</v>
      </c>
      <c r="B327" s="6" t="s">
        <v>1641</v>
      </c>
      <c r="C327" s="6" t="s">
        <v>1254</v>
      </c>
      <c r="D327" s="6" t="s">
        <v>1283</v>
      </c>
      <c r="E327" s="6" t="s">
        <v>14</v>
      </c>
      <c r="F327" s="6" t="s">
        <v>15</v>
      </c>
      <c r="G327" s="6" t="s">
        <v>1297</v>
      </c>
      <c r="H327" s="6" t="s">
        <v>1257</v>
      </c>
      <c r="I327" s="6">
        <v>8153</v>
      </c>
      <c r="J327" s="6" t="s">
        <v>22</v>
      </c>
      <c r="K327" s="6" t="s">
        <v>17</v>
      </c>
    </row>
    <row r="328" spans="1:11" x14ac:dyDescent="0.25">
      <c r="A328" s="5" t="s">
        <v>371</v>
      </c>
      <c r="B328" s="5" t="s">
        <v>1642</v>
      </c>
      <c r="C328" s="5" t="s">
        <v>53</v>
      </c>
      <c r="D328" s="5" t="s">
        <v>1283</v>
      </c>
      <c r="E328" s="5" t="s">
        <v>55</v>
      </c>
      <c r="F328" s="5" t="s">
        <v>34</v>
      </c>
      <c r="G328" s="5" t="s">
        <v>1301</v>
      </c>
      <c r="H328" s="5" t="s">
        <v>1278</v>
      </c>
      <c r="I328" s="5">
        <v>25770</v>
      </c>
      <c r="J328" s="5" t="s">
        <v>29</v>
      </c>
      <c r="K328" s="5" t="s">
        <v>17</v>
      </c>
    </row>
    <row r="329" spans="1:11" x14ac:dyDescent="0.25">
      <c r="A329" s="6" t="s">
        <v>372</v>
      </c>
      <c r="B329" s="6" t="s">
        <v>1318</v>
      </c>
      <c r="C329" s="6" t="s">
        <v>48</v>
      </c>
      <c r="D329" s="6" t="s">
        <v>1270</v>
      </c>
      <c r="E329" s="6" t="s">
        <v>37</v>
      </c>
      <c r="F329" s="6" t="s">
        <v>38</v>
      </c>
      <c r="G329" s="6" t="s">
        <v>1457</v>
      </c>
      <c r="H329" s="6" t="s">
        <v>1342</v>
      </c>
      <c r="I329" s="6">
        <v>40338</v>
      </c>
      <c r="J329" s="6" t="s">
        <v>22</v>
      </c>
      <c r="K329" s="6" t="s">
        <v>46</v>
      </c>
    </row>
    <row r="330" spans="1:11" x14ac:dyDescent="0.25">
      <c r="A330" s="5" t="s">
        <v>373</v>
      </c>
      <c r="B330" s="5" t="s">
        <v>1548</v>
      </c>
      <c r="C330" s="5" t="s">
        <v>1288</v>
      </c>
      <c r="D330" s="5" t="s">
        <v>1255</v>
      </c>
      <c r="E330" s="5" t="s">
        <v>55</v>
      </c>
      <c r="F330" s="5" t="s">
        <v>34</v>
      </c>
      <c r="G330" s="5" t="s">
        <v>1301</v>
      </c>
      <c r="H330" s="5" t="s">
        <v>1395</v>
      </c>
      <c r="I330" s="5">
        <v>27424</v>
      </c>
      <c r="J330" s="5" t="s">
        <v>45</v>
      </c>
      <c r="K330" s="5" t="s">
        <v>1286</v>
      </c>
    </row>
    <row r="331" spans="1:11" x14ac:dyDescent="0.25">
      <c r="A331" s="6" t="s">
        <v>374</v>
      </c>
      <c r="B331" s="6" t="s">
        <v>1643</v>
      </c>
      <c r="C331" s="6" t="s">
        <v>62</v>
      </c>
      <c r="D331" s="6" t="s">
        <v>1270</v>
      </c>
      <c r="E331" s="6" t="s">
        <v>1401</v>
      </c>
      <c r="F331" s="6" t="s">
        <v>67</v>
      </c>
      <c r="G331" s="6" t="s">
        <v>1337</v>
      </c>
      <c r="H331" s="6" t="s">
        <v>1317</v>
      </c>
      <c r="I331" s="6">
        <v>1845</v>
      </c>
      <c r="J331" s="6" t="s">
        <v>22</v>
      </c>
      <c r="K331" s="6" t="s">
        <v>1273</v>
      </c>
    </row>
    <row r="332" spans="1:11" x14ac:dyDescent="0.25">
      <c r="A332" s="5" t="s">
        <v>375</v>
      </c>
      <c r="B332" s="5" t="s">
        <v>1644</v>
      </c>
      <c r="C332" s="5" t="s">
        <v>1264</v>
      </c>
      <c r="D332" s="5" t="s">
        <v>1296</v>
      </c>
      <c r="E332" s="5" t="s">
        <v>66</v>
      </c>
      <c r="F332" s="5" t="s">
        <v>67</v>
      </c>
      <c r="G332" s="5" t="s">
        <v>1280</v>
      </c>
      <c r="H332" s="5" t="s">
        <v>1317</v>
      </c>
      <c r="I332" s="5">
        <v>1602</v>
      </c>
      <c r="J332" s="5" t="s">
        <v>45</v>
      </c>
      <c r="K332" s="5" t="s">
        <v>46</v>
      </c>
    </row>
    <row r="333" spans="1:11" x14ac:dyDescent="0.25">
      <c r="A333" s="6" t="s">
        <v>376</v>
      </c>
      <c r="B333" s="6" t="s">
        <v>1645</v>
      </c>
      <c r="C333" s="6" t="s">
        <v>62</v>
      </c>
      <c r="D333" s="6" t="s">
        <v>1296</v>
      </c>
      <c r="E333" s="6" t="s">
        <v>55</v>
      </c>
      <c r="F333" s="6" t="s">
        <v>34</v>
      </c>
      <c r="G333" s="6" t="s">
        <v>1303</v>
      </c>
      <c r="H333" s="6" t="s">
        <v>1299</v>
      </c>
      <c r="I333" s="6">
        <v>25689</v>
      </c>
      <c r="J333" s="6" t="s">
        <v>1267</v>
      </c>
      <c r="K333" s="6" t="s">
        <v>1286</v>
      </c>
    </row>
    <row r="334" spans="1:11" x14ac:dyDescent="0.25">
      <c r="A334" s="5" t="s">
        <v>377</v>
      </c>
      <c r="B334" s="5" t="s">
        <v>1399</v>
      </c>
      <c r="C334" s="5" t="s">
        <v>73</v>
      </c>
      <c r="D334" s="5" t="s">
        <v>1255</v>
      </c>
      <c r="E334" s="5" t="s">
        <v>37</v>
      </c>
      <c r="F334" s="5" t="s">
        <v>38</v>
      </c>
      <c r="G334" s="5" t="s">
        <v>1297</v>
      </c>
      <c r="H334" s="5" t="s">
        <v>1281</v>
      </c>
      <c r="I334" s="5">
        <v>40121</v>
      </c>
      <c r="J334" s="5" t="s">
        <v>1267</v>
      </c>
      <c r="K334" s="5" t="s">
        <v>1262</v>
      </c>
    </row>
    <row r="335" spans="1:11" x14ac:dyDescent="0.25">
      <c r="A335" s="6" t="s">
        <v>378</v>
      </c>
      <c r="B335" s="6" t="s">
        <v>1598</v>
      </c>
      <c r="C335" s="6" t="s">
        <v>62</v>
      </c>
      <c r="D335" s="6" t="s">
        <v>1296</v>
      </c>
      <c r="E335" s="6" t="s">
        <v>14</v>
      </c>
      <c r="F335" s="6" t="s">
        <v>15</v>
      </c>
      <c r="G335" s="6" t="s">
        <v>1405</v>
      </c>
      <c r="H335" s="6" t="s">
        <v>1257</v>
      </c>
      <c r="I335" s="6">
        <v>7781</v>
      </c>
      <c r="J335" s="6" t="s">
        <v>16</v>
      </c>
      <c r="K335" s="6" t="s">
        <v>1273</v>
      </c>
    </row>
    <row r="336" spans="1:11" x14ac:dyDescent="0.25">
      <c r="A336" s="5" t="s">
        <v>379</v>
      </c>
      <c r="B336" s="5" t="s">
        <v>1574</v>
      </c>
      <c r="C336" s="5" t="s">
        <v>1264</v>
      </c>
      <c r="D336" s="5" t="s">
        <v>1255</v>
      </c>
      <c r="E336" s="5" t="s">
        <v>1276</v>
      </c>
      <c r="F336" s="5" t="s">
        <v>34</v>
      </c>
      <c r="G336" s="5" t="s">
        <v>1280</v>
      </c>
      <c r="H336" s="5" t="s">
        <v>1278</v>
      </c>
      <c r="I336" s="5">
        <v>27851</v>
      </c>
      <c r="J336" s="5" t="s">
        <v>16</v>
      </c>
      <c r="K336" s="5" t="s">
        <v>17</v>
      </c>
    </row>
    <row r="337" spans="1:11" x14ac:dyDescent="0.25">
      <c r="A337" s="6" t="s">
        <v>380</v>
      </c>
      <c r="B337" s="6" t="s">
        <v>1646</v>
      </c>
      <c r="C337" s="6" t="s">
        <v>1264</v>
      </c>
      <c r="D337" s="6" t="s">
        <v>1296</v>
      </c>
      <c r="E337" s="6" t="s">
        <v>27</v>
      </c>
      <c r="F337" s="6" t="s">
        <v>28</v>
      </c>
      <c r="G337" s="6" t="s">
        <v>1341</v>
      </c>
      <c r="H337" s="6" t="s">
        <v>1458</v>
      </c>
      <c r="I337" s="6">
        <v>9253</v>
      </c>
      <c r="J337" s="6" t="s">
        <v>29</v>
      </c>
      <c r="K337" s="6" t="s">
        <v>1273</v>
      </c>
    </row>
    <row r="338" spans="1:11" x14ac:dyDescent="0.25">
      <c r="A338" s="5" t="s">
        <v>381</v>
      </c>
      <c r="B338" s="5" t="s">
        <v>1615</v>
      </c>
      <c r="C338" s="5" t="s">
        <v>1259</v>
      </c>
      <c r="D338" s="5" t="s">
        <v>1255</v>
      </c>
      <c r="E338" s="5" t="s">
        <v>66</v>
      </c>
      <c r="F338" s="5" t="s">
        <v>67</v>
      </c>
      <c r="G338" s="5" t="s">
        <v>1301</v>
      </c>
      <c r="H338" s="5" t="s">
        <v>1317</v>
      </c>
      <c r="I338" s="5">
        <v>1504</v>
      </c>
      <c r="J338" s="5" t="s">
        <v>1267</v>
      </c>
      <c r="K338" s="5" t="s">
        <v>1262</v>
      </c>
    </row>
    <row r="339" spans="1:11" x14ac:dyDescent="0.25">
      <c r="A339" s="6" t="s">
        <v>382</v>
      </c>
      <c r="B339" s="6" t="s">
        <v>1349</v>
      </c>
      <c r="C339" s="6" t="s">
        <v>1264</v>
      </c>
      <c r="D339" s="6" t="s">
        <v>1275</v>
      </c>
      <c r="E339" s="6" t="s">
        <v>27</v>
      </c>
      <c r="F339" s="6" t="s">
        <v>28</v>
      </c>
      <c r="G339" s="6" t="s">
        <v>1301</v>
      </c>
      <c r="H339" s="6" t="s">
        <v>1266</v>
      </c>
      <c r="I339" s="6">
        <v>10944</v>
      </c>
      <c r="J339" s="6" t="s">
        <v>1267</v>
      </c>
      <c r="K339" s="6" t="s">
        <v>1286</v>
      </c>
    </row>
    <row r="340" spans="1:11" x14ac:dyDescent="0.25">
      <c r="A340" s="5" t="s">
        <v>383</v>
      </c>
      <c r="B340" s="5" t="s">
        <v>1536</v>
      </c>
      <c r="C340" s="5" t="s">
        <v>1259</v>
      </c>
      <c r="D340" s="5" t="s">
        <v>1255</v>
      </c>
      <c r="E340" s="5" t="s">
        <v>14</v>
      </c>
      <c r="F340" s="5" t="s">
        <v>15</v>
      </c>
      <c r="G340" s="5" t="s">
        <v>1307</v>
      </c>
      <c r="H340" s="5" t="s">
        <v>1257</v>
      </c>
      <c r="I340" s="5">
        <v>8007</v>
      </c>
      <c r="J340" s="5" t="s">
        <v>16</v>
      </c>
      <c r="K340" s="5" t="s">
        <v>1262</v>
      </c>
    </row>
    <row r="341" spans="1:11" x14ac:dyDescent="0.25">
      <c r="A341" s="6" t="s">
        <v>384</v>
      </c>
      <c r="B341" s="6" t="s">
        <v>1647</v>
      </c>
      <c r="C341" s="6" t="s">
        <v>1288</v>
      </c>
      <c r="D341" s="6" t="s">
        <v>1255</v>
      </c>
      <c r="E341" s="6" t="s">
        <v>1524</v>
      </c>
      <c r="F341" s="6" t="s">
        <v>15</v>
      </c>
      <c r="G341" s="6" t="s">
        <v>1280</v>
      </c>
      <c r="H341" s="6" t="s">
        <v>1272</v>
      </c>
      <c r="I341" s="6">
        <v>9369</v>
      </c>
      <c r="J341" s="6" t="s">
        <v>22</v>
      </c>
      <c r="K341" s="6" t="s">
        <v>46</v>
      </c>
    </row>
    <row r="342" spans="1:11" x14ac:dyDescent="0.25">
      <c r="A342" s="5" t="s">
        <v>385</v>
      </c>
      <c r="B342" s="5" t="s">
        <v>1648</v>
      </c>
      <c r="C342" s="5" t="s">
        <v>73</v>
      </c>
      <c r="D342" s="5" t="s">
        <v>1283</v>
      </c>
      <c r="E342" s="5" t="s">
        <v>66</v>
      </c>
      <c r="F342" s="5" t="s">
        <v>67</v>
      </c>
      <c r="G342" s="5" t="s">
        <v>1284</v>
      </c>
      <c r="H342" s="5" t="s">
        <v>1317</v>
      </c>
      <c r="I342" s="5">
        <v>1552</v>
      </c>
      <c r="J342" s="5" t="s">
        <v>1267</v>
      </c>
      <c r="K342" s="5" t="s">
        <v>1262</v>
      </c>
    </row>
    <row r="343" spans="1:11" x14ac:dyDescent="0.25">
      <c r="A343" s="6" t="s">
        <v>386</v>
      </c>
      <c r="B343" s="6" t="s">
        <v>1649</v>
      </c>
      <c r="C343" s="6" t="s">
        <v>1264</v>
      </c>
      <c r="D343" s="6" t="s">
        <v>26</v>
      </c>
      <c r="E343" s="6" t="s">
        <v>20</v>
      </c>
      <c r="F343" s="6" t="s">
        <v>21</v>
      </c>
      <c r="G343" s="6" t="s">
        <v>1315</v>
      </c>
      <c r="H343" s="6" t="s">
        <v>1261</v>
      </c>
      <c r="I343" s="6">
        <v>5919</v>
      </c>
      <c r="J343" s="6" t="s">
        <v>1267</v>
      </c>
      <c r="K343" s="6" t="s">
        <v>46</v>
      </c>
    </row>
    <row r="344" spans="1:11" x14ac:dyDescent="0.25">
      <c r="A344" s="5" t="s">
        <v>387</v>
      </c>
      <c r="B344" s="5" t="s">
        <v>1650</v>
      </c>
      <c r="C344" s="5" t="s">
        <v>1259</v>
      </c>
      <c r="D344" s="5" t="s">
        <v>1283</v>
      </c>
      <c r="E344" s="5" t="s">
        <v>66</v>
      </c>
      <c r="F344" s="5" t="s">
        <v>67</v>
      </c>
      <c r="G344" s="5" t="s">
        <v>1294</v>
      </c>
      <c r="H344" s="5" t="s">
        <v>1482</v>
      </c>
      <c r="I344" s="5">
        <v>1752</v>
      </c>
      <c r="J344" s="5" t="s">
        <v>1267</v>
      </c>
      <c r="K344" s="5" t="s">
        <v>1286</v>
      </c>
    </row>
    <row r="345" spans="1:11" x14ac:dyDescent="0.25">
      <c r="A345" s="6" t="s">
        <v>388</v>
      </c>
      <c r="B345" s="6" t="s">
        <v>1651</v>
      </c>
      <c r="C345" s="6" t="s">
        <v>1259</v>
      </c>
      <c r="D345" s="6" t="s">
        <v>36</v>
      </c>
      <c r="E345" s="6" t="s">
        <v>63</v>
      </c>
      <c r="F345" s="6" t="s">
        <v>59</v>
      </c>
      <c r="G345" s="6" t="s">
        <v>1289</v>
      </c>
      <c r="H345" s="6" t="s">
        <v>1320</v>
      </c>
      <c r="I345" s="6">
        <v>2867</v>
      </c>
      <c r="J345" s="6" t="s">
        <v>45</v>
      </c>
      <c r="K345" s="6" t="s">
        <v>1262</v>
      </c>
    </row>
    <row r="346" spans="1:11" x14ac:dyDescent="0.25">
      <c r="A346" s="5" t="s">
        <v>389</v>
      </c>
      <c r="B346" s="5" t="s">
        <v>1438</v>
      </c>
      <c r="C346" s="5" t="s">
        <v>48</v>
      </c>
      <c r="D346" s="5" t="s">
        <v>26</v>
      </c>
      <c r="E346" s="5" t="s">
        <v>1444</v>
      </c>
      <c r="F346" s="5" t="s">
        <v>38</v>
      </c>
      <c r="G346" s="5" t="s">
        <v>1331</v>
      </c>
      <c r="H346" s="5" t="s">
        <v>1281</v>
      </c>
      <c r="I346" s="5">
        <v>33836</v>
      </c>
      <c r="J346" s="5" t="s">
        <v>22</v>
      </c>
      <c r="K346" s="5" t="s">
        <v>1273</v>
      </c>
    </row>
    <row r="347" spans="1:11" x14ac:dyDescent="0.25">
      <c r="A347" s="6" t="s">
        <v>390</v>
      </c>
      <c r="B347" s="6" t="s">
        <v>1652</v>
      </c>
      <c r="C347" s="6" t="s">
        <v>1259</v>
      </c>
      <c r="D347" s="6" t="s">
        <v>36</v>
      </c>
      <c r="E347" s="6" t="s">
        <v>55</v>
      </c>
      <c r="F347" s="6" t="s">
        <v>34</v>
      </c>
      <c r="G347" s="6" t="s">
        <v>1303</v>
      </c>
      <c r="H347" s="6" t="s">
        <v>1278</v>
      </c>
      <c r="I347" s="6">
        <v>24713</v>
      </c>
      <c r="J347" s="6" t="s">
        <v>1267</v>
      </c>
      <c r="K347" s="6" t="s">
        <v>1262</v>
      </c>
    </row>
    <row r="348" spans="1:11" x14ac:dyDescent="0.25">
      <c r="A348" s="5" t="s">
        <v>391</v>
      </c>
      <c r="B348" s="5" t="s">
        <v>1653</v>
      </c>
      <c r="C348" s="5" t="s">
        <v>73</v>
      </c>
      <c r="D348" s="5" t="s">
        <v>1283</v>
      </c>
      <c r="E348" s="5" t="s">
        <v>55</v>
      </c>
      <c r="F348" s="5" t="s">
        <v>34</v>
      </c>
      <c r="G348" s="5" t="s">
        <v>1260</v>
      </c>
      <c r="H348" s="5" t="s">
        <v>1278</v>
      </c>
      <c r="I348" s="5">
        <v>23289</v>
      </c>
      <c r="J348" s="5" t="s">
        <v>22</v>
      </c>
      <c r="K348" s="5" t="s">
        <v>1273</v>
      </c>
    </row>
    <row r="349" spans="1:11" x14ac:dyDescent="0.25">
      <c r="A349" s="6" t="s">
        <v>392</v>
      </c>
      <c r="B349" s="6" t="s">
        <v>1654</v>
      </c>
      <c r="C349" s="6" t="s">
        <v>62</v>
      </c>
      <c r="D349" s="6" t="s">
        <v>1283</v>
      </c>
      <c r="E349" s="6" t="s">
        <v>49</v>
      </c>
      <c r="F349" s="6" t="s">
        <v>50</v>
      </c>
      <c r="G349" s="6" t="s">
        <v>1315</v>
      </c>
      <c r="H349" s="6" t="s">
        <v>1359</v>
      </c>
      <c r="I349" s="6">
        <v>49080</v>
      </c>
      <c r="J349" s="6" t="s">
        <v>22</v>
      </c>
      <c r="K349" s="6" t="s">
        <v>1262</v>
      </c>
    </row>
    <row r="350" spans="1:11" x14ac:dyDescent="0.25">
      <c r="A350" s="5" t="s">
        <v>393</v>
      </c>
      <c r="B350" s="5" t="s">
        <v>1655</v>
      </c>
      <c r="C350" s="5" t="s">
        <v>53</v>
      </c>
      <c r="D350" s="5" t="s">
        <v>1255</v>
      </c>
      <c r="E350" s="5" t="s">
        <v>55</v>
      </c>
      <c r="F350" s="5" t="s">
        <v>34</v>
      </c>
      <c r="G350" s="5" t="s">
        <v>1303</v>
      </c>
      <c r="H350" s="5" t="s">
        <v>1278</v>
      </c>
      <c r="I350" s="5">
        <v>27729</v>
      </c>
      <c r="J350" s="5" t="s">
        <v>16</v>
      </c>
      <c r="K350" s="5" t="s">
        <v>46</v>
      </c>
    </row>
    <row r="351" spans="1:11" x14ac:dyDescent="0.25">
      <c r="A351" s="6" t="s">
        <v>394</v>
      </c>
      <c r="B351" s="6" t="s">
        <v>1656</v>
      </c>
      <c r="C351" s="6" t="s">
        <v>1264</v>
      </c>
      <c r="D351" s="6"/>
      <c r="E351" s="6" t="s">
        <v>1489</v>
      </c>
      <c r="F351" s="6" t="s">
        <v>67</v>
      </c>
      <c r="G351" s="6" t="s">
        <v>1405</v>
      </c>
      <c r="H351" s="6" t="s">
        <v>1482</v>
      </c>
      <c r="I351" s="6">
        <v>1986</v>
      </c>
      <c r="J351" s="6" t="s">
        <v>22</v>
      </c>
      <c r="K351" s="6" t="s">
        <v>1262</v>
      </c>
    </row>
    <row r="352" spans="1:11" x14ac:dyDescent="0.25">
      <c r="A352" s="5" t="s">
        <v>395</v>
      </c>
      <c r="B352" s="5" t="s">
        <v>1657</v>
      </c>
      <c r="C352" s="5" t="s">
        <v>53</v>
      </c>
      <c r="D352" s="5" t="s">
        <v>36</v>
      </c>
      <c r="E352" s="5" t="s">
        <v>27</v>
      </c>
      <c r="F352" s="5" t="s">
        <v>28</v>
      </c>
      <c r="G352" s="5" t="s">
        <v>1307</v>
      </c>
      <c r="H352" s="5" t="s">
        <v>1266</v>
      </c>
      <c r="I352" s="5">
        <v>8998</v>
      </c>
      <c r="J352" s="5" t="s">
        <v>45</v>
      </c>
      <c r="K352" s="5" t="s">
        <v>46</v>
      </c>
    </row>
    <row r="353" spans="1:11" x14ac:dyDescent="0.25">
      <c r="A353" s="6" t="s">
        <v>396</v>
      </c>
      <c r="B353" s="6" t="s">
        <v>1658</v>
      </c>
      <c r="C353" s="6" t="s">
        <v>73</v>
      </c>
      <c r="D353" s="6" t="s">
        <v>26</v>
      </c>
      <c r="E353" s="6" t="s">
        <v>20</v>
      </c>
      <c r="F353" s="6" t="s">
        <v>21</v>
      </c>
      <c r="G353" s="6" t="s">
        <v>1341</v>
      </c>
      <c r="H353" s="6" t="s">
        <v>1377</v>
      </c>
      <c r="I353" s="6">
        <v>6571</v>
      </c>
      <c r="J353" s="6" t="s">
        <v>16</v>
      </c>
      <c r="K353" s="6" t="s">
        <v>46</v>
      </c>
    </row>
    <row r="354" spans="1:11" x14ac:dyDescent="0.25">
      <c r="A354" s="5" t="s">
        <v>397</v>
      </c>
      <c r="B354" s="5" t="s">
        <v>1485</v>
      </c>
      <c r="C354" s="5" t="s">
        <v>73</v>
      </c>
      <c r="D354" s="5" t="s">
        <v>1275</v>
      </c>
      <c r="E354" s="5" t="s">
        <v>37</v>
      </c>
      <c r="F354" s="5" t="s">
        <v>38</v>
      </c>
      <c r="G354" s="5" t="s">
        <v>1331</v>
      </c>
      <c r="H354" s="5" t="s">
        <v>1281</v>
      </c>
      <c r="I354" s="5">
        <v>38457</v>
      </c>
      <c r="J354" s="5" t="s">
        <v>22</v>
      </c>
      <c r="K354" s="5" t="s">
        <v>1273</v>
      </c>
    </row>
    <row r="355" spans="1:11" x14ac:dyDescent="0.25">
      <c r="A355" s="6" t="s">
        <v>398</v>
      </c>
      <c r="B355" s="6" t="s">
        <v>1659</v>
      </c>
      <c r="C355" s="6" t="s">
        <v>1254</v>
      </c>
      <c r="D355" s="6" t="s">
        <v>1255</v>
      </c>
      <c r="E355" s="6" t="s">
        <v>41</v>
      </c>
      <c r="F355" s="6" t="s">
        <v>42</v>
      </c>
      <c r="G355" s="6" t="s">
        <v>1380</v>
      </c>
      <c r="H355" s="6" t="s">
        <v>1325</v>
      </c>
      <c r="I355" s="6">
        <v>17846</v>
      </c>
      <c r="J355" s="6" t="s">
        <v>22</v>
      </c>
      <c r="K355" s="6" t="s">
        <v>1273</v>
      </c>
    </row>
    <row r="356" spans="1:11" x14ac:dyDescent="0.25">
      <c r="A356" s="5" t="s">
        <v>399</v>
      </c>
      <c r="B356" s="5" t="s">
        <v>1455</v>
      </c>
      <c r="C356" s="5" t="s">
        <v>1264</v>
      </c>
      <c r="D356" s="5" t="s">
        <v>1275</v>
      </c>
      <c r="E356" s="5" t="s">
        <v>1293</v>
      </c>
      <c r="F356" s="5" t="s">
        <v>28</v>
      </c>
      <c r="G356" s="5" t="s">
        <v>1301</v>
      </c>
      <c r="H356" s="5" t="s">
        <v>1266</v>
      </c>
      <c r="I356" s="5">
        <v>10021</v>
      </c>
      <c r="J356" s="5" t="s">
        <v>29</v>
      </c>
      <c r="K356" s="5" t="s">
        <v>1286</v>
      </c>
    </row>
    <row r="357" spans="1:11" x14ac:dyDescent="0.25">
      <c r="A357" s="6" t="s">
        <v>400</v>
      </c>
      <c r="B357" s="6" t="s">
        <v>1363</v>
      </c>
      <c r="C357" s="6" t="s">
        <v>53</v>
      </c>
      <c r="D357" s="6" t="s">
        <v>1283</v>
      </c>
      <c r="E357" s="6" t="s">
        <v>20</v>
      </c>
      <c r="F357" s="6" t="s">
        <v>21</v>
      </c>
      <c r="G357" s="6" t="s">
        <v>1405</v>
      </c>
      <c r="H357" s="6" t="s">
        <v>1377</v>
      </c>
      <c r="I357" s="6">
        <v>6542</v>
      </c>
      <c r="J357" s="6" t="s">
        <v>45</v>
      </c>
      <c r="K357" s="6" t="s">
        <v>1286</v>
      </c>
    </row>
    <row r="358" spans="1:11" x14ac:dyDescent="0.25">
      <c r="A358" s="5" t="s">
        <v>401</v>
      </c>
      <c r="B358" s="5" t="s">
        <v>1660</v>
      </c>
      <c r="C358" s="5" t="s">
        <v>1269</v>
      </c>
      <c r="D358" s="5" t="s">
        <v>1275</v>
      </c>
      <c r="E358" s="5" t="s">
        <v>14</v>
      </c>
      <c r="F358" s="5" t="s">
        <v>15</v>
      </c>
      <c r="G358" s="5" t="s">
        <v>1405</v>
      </c>
      <c r="H358" s="5" t="s">
        <v>1347</v>
      </c>
      <c r="I358" s="5">
        <v>8438</v>
      </c>
      <c r="J358" s="5" t="s">
        <v>45</v>
      </c>
      <c r="K358" s="5" t="s">
        <v>17</v>
      </c>
    </row>
    <row r="359" spans="1:11" x14ac:dyDescent="0.25">
      <c r="A359" s="6" t="s">
        <v>402</v>
      </c>
      <c r="B359" s="6" t="s">
        <v>1661</v>
      </c>
      <c r="C359" s="6" t="s">
        <v>73</v>
      </c>
      <c r="D359" s="6" t="s">
        <v>1296</v>
      </c>
      <c r="E359" s="6" t="s">
        <v>20</v>
      </c>
      <c r="F359" s="6" t="s">
        <v>21</v>
      </c>
      <c r="G359" s="6" t="s">
        <v>1256</v>
      </c>
      <c r="H359" s="6" t="s">
        <v>1261</v>
      </c>
      <c r="I359" s="6">
        <v>6180</v>
      </c>
      <c r="J359" s="6" t="s">
        <v>1267</v>
      </c>
      <c r="K359" s="6" t="s">
        <v>1273</v>
      </c>
    </row>
    <row r="360" spans="1:11" x14ac:dyDescent="0.25">
      <c r="A360" s="5" t="s">
        <v>403</v>
      </c>
      <c r="B360" s="5" t="s">
        <v>1662</v>
      </c>
      <c r="C360" s="5" t="s">
        <v>1288</v>
      </c>
      <c r="D360" s="5" t="s">
        <v>26</v>
      </c>
      <c r="E360" s="5" t="s">
        <v>41</v>
      </c>
      <c r="F360" s="5" t="s">
        <v>42</v>
      </c>
      <c r="G360" s="5" t="s">
        <v>1297</v>
      </c>
      <c r="H360" s="5" t="s">
        <v>1325</v>
      </c>
      <c r="I360" s="5">
        <v>19338</v>
      </c>
      <c r="J360" s="5" t="s">
        <v>45</v>
      </c>
      <c r="K360" s="5" t="s">
        <v>17</v>
      </c>
    </row>
    <row r="361" spans="1:11" x14ac:dyDescent="0.25">
      <c r="A361" s="6" t="s">
        <v>404</v>
      </c>
      <c r="B361" s="6" t="s">
        <v>1663</v>
      </c>
      <c r="C361" s="6" t="s">
        <v>73</v>
      </c>
      <c r="D361" s="6" t="s">
        <v>1283</v>
      </c>
      <c r="E361" s="6" t="s">
        <v>1330</v>
      </c>
      <c r="F361" s="6" t="s">
        <v>28</v>
      </c>
      <c r="G361" s="6" t="s">
        <v>1541</v>
      </c>
      <c r="H361" s="6" t="s">
        <v>1458</v>
      </c>
      <c r="I361" s="6">
        <v>9584</v>
      </c>
      <c r="J361" s="6" t="s">
        <v>22</v>
      </c>
      <c r="K361" s="6"/>
    </row>
    <row r="362" spans="1:11" x14ac:dyDescent="0.25">
      <c r="A362" s="5" t="s">
        <v>405</v>
      </c>
      <c r="B362" s="5" t="s">
        <v>1462</v>
      </c>
      <c r="C362" s="5" t="s">
        <v>53</v>
      </c>
      <c r="D362" s="5" t="s">
        <v>1255</v>
      </c>
      <c r="E362" s="5" t="s">
        <v>37</v>
      </c>
      <c r="F362" s="5" t="s">
        <v>38</v>
      </c>
      <c r="G362" s="5" t="s">
        <v>1265</v>
      </c>
      <c r="H362" s="5" t="s">
        <v>1281</v>
      </c>
      <c r="I362" s="5">
        <v>35600</v>
      </c>
      <c r="J362" s="5" t="s">
        <v>16</v>
      </c>
      <c r="K362" s="5" t="s">
        <v>1286</v>
      </c>
    </row>
    <row r="363" spans="1:11" x14ac:dyDescent="0.25">
      <c r="A363" s="6" t="s">
        <v>406</v>
      </c>
      <c r="B363" s="6" t="s">
        <v>1263</v>
      </c>
      <c r="C363" s="6" t="s">
        <v>1259</v>
      </c>
      <c r="D363" s="6" t="s">
        <v>1275</v>
      </c>
      <c r="E363" s="6" t="s">
        <v>66</v>
      </c>
      <c r="F363" s="6" t="s">
        <v>67</v>
      </c>
      <c r="G363" s="6" t="s">
        <v>1280</v>
      </c>
      <c r="H363" s="6" t="s">
        <v>1317</v>
      </c>
      <c r="I363" s="6">
        <v>1924</v>
      </c>
      <c r="J363" s="6" t="s">
        <v>45</v>
      </c>
      <c r="K363" s="6" t="s">
        <v>46</v>
      </c>
    </row>
    <row r="364" spans="1:11" x14ac:dyDescent="0.25">
      <c r="A364" s="5" t="s">
        <v>407</v>
      </c>
      <c r="B364" s="5" t="s">
        <v>1664</v>
      </c>
      <c r="C364" s="5" t="s">
        <v>1269</v>
      </c>
      <c r="D364" s="5" t="s">
        <v>1270</v>
      </c>
      <c r="E364" s="5" t="s">
        <v>63</v>
      </c>
      <c r="F364" s="5" t="s">
        <v>59</v>
      </c>
      <c r="G364" s="5" t="s">
        <v>1313</v>
      </c>
      <c r="H364" s="5" t="s">
        <v>1308</v>
      </c>
      <c r="I364" s="5">
        <v>3030</v>
      </c>
      <c r="J364" s="5" t="s">
        <v>1267</v>
      </c>
      <c r="K364" s="5" t="s">
        <v>1262</v>
      </c>
    </row>
    <row r="365" spans="1:11" x14ac:dyDescent="0.25">
      <c r="A365" s="6" t="s">
        <v>408</v>
      </c>
      <c r="B365" s="6" t="s">
        <v>1665</v>
      </c>
      <c r="C365" s="6" t="s">
        <v>53</v>
      </c>
      <c r="D365" s="6" t="s">
        <v>1275</v>
      </c>
      <c r="E365" s="6" t="s">
        <v>27</v>
      </c>
      <c r="F365" s="6" t="s">
        <v>28</v>
      </c>
      <c r="G365" s="6" t="s">
        <v>1256</v>
      </c>
      <c r="H365" s="6" t="s">
        <v>1458</v>
      </c>
      <c r="I365" s="6">
        <v>9544</v>
      </c>
      <c r="J365" s="6" t="s">
        <v>29</v>
      </c>
      <c r="K365" s="6" t="s">
        <v>1286</v>
      </c>
    </row>
    <row r="366" spans="1:11" x14ac:dyDescent="0.25">
      <c r="A366" s="5" t="s">
        <v>409</v>
      </c>
      <c r="B366" s="5" t="s">
        <v>1666</v>
      </c>
      <c r="C366" s="5" t="s">
        <v>62</v>
      </c>
      <c r="D366" s="5" t="s">
        <v>1270</v>
      </c>
      <c r="E366" s="5" t="s">
        <v>1512</v>
      </c>
      <c r="F366" s="5" t="s">
        <v>42</v>
      </c>
      <c r="G366" s="5" t="s">
        <v>1297</v>
      </c>
      <c r="H366" s="5" t="s">
        <v>1325</v>
      </c>
      <c r="I366" s="5">
        <v>18594</v>
      </c>
      <c r="J366" s="5" t="s">
        <v>22</v>
      </c>
      <c r="K366" s="5" t="s">
        <v>1262</v>
      </c>
    </row>
    <row r="367" spans="1:11" x14ac:dyDescent="0.25">
      <c r="A367" s="6" t="s">
        <v>410</v>
      </c>
      <c r="B367" s="6" t="s">
        <v>1667</v>
      </c>
      <c r="C367" s="6" t="s">
        <v>1264</v>
      </c>
      <c r="D367" s="6" t="s">
        <v>1270</v>
      </c>
      <c r="E367" s="6" t="s">
        <v>14</v>
      </c>
      <c r="F367" s="6" t="s">
        <v>15</v>
      </c>
      <c r="G367" s="6" t="s">
        <v>1294</v>
      </c>
      <c r="H367" s="6" t="s">
        <v>1257</v>
      </c>
      <c r="I367" s="6">
        <v>8556</v>
      </c>
      <c r="J367" s="6" t="s">
        <v>16</v>
      </c>
      <c r="K367" s="6" t="s">
        <v>1273</v>
      </c>
    </row>
    <row r="368" spans="1:11" x14ac:dyDescent="0.25">
      <c r="A368" s="5" t="s">
        <v>411</v>
      </c>
      <c r="B368" s="5" t="s">
        <v>1595</v>
      </c>
      <c r="C368" s="5" t="s">
        <v>62</v>
      </c>
      <c r="D368" s="5" t="s">
        <v>1255</v>
      </c>
      <c r="E368" s="5" t="s">
        <v>41</v>
      </c>
      <c r="F368" s="5" t="s">
        <v>42</v>
      </c>
      <c r="G368" s="5" t="s">
        <v>1297</v>
      </c>
      <c r="H368" s="5" t="s">
        <v>1325</v>
      </c>
      <c r="I368" s="5">
        <v>21465</v>
      </c>
      <c r="J368" s="5" t="s">
        <v>1267</v>
      </c>
      <c r="K368" s="5" t="s">
        <v>1262</v>
      </c>
    </row>
    <row r="369" spans="1:11" x14ac:dyDescent="0.25">
      <c r="A369" s="6" t="s">
        <v>412</v>
      </c>
      <c r="B369" s="6" t="s">
        <v>1381</v>
      </c>
      <c r="C369" s="6" t="s">
        <v>48</v>
      </c>
      <c r="D369" s="6" t="s">
        <v>1275</v>
      </c>
      <c r="E369" s="6" t="s">
        <v>63</v>
      </c>
      <c r="F369" s="6" t="s">
        <v>59</v>
      </c>
      <c r="G369" s="6" t="s">
        <v>1440</v>
      </c>
      <c r="H369" s="6" t="s">
        <v>1320</v>
      </c>
      <c r="I369" s="6">
        <v>3445</v>
      </c>
      <c r="J369" s="6" t="s">
        <v>16</v>
      </c>
      <c r="K369" s="6" t="s">
        <v>1273</v>
      </c>
    </row>
    <row r="370" spans="1:11" x14ac:dyDescent="0.25">
      <c r="A370" s="5" t="s">
        <v>413</v>
      </c>
      <c r="B370" s="5" t="s">
        <v>1392</v>
      </c>
      <c r="C370" s="5" t="s">
        <v>1259</v>
      </c>
      <c r="D370" s="5" t="s">
        <v>26</v>
      </c>
      <c r="E370" s="5" t="s">
        <v>14</v>
      </c>
      <c r="F370" s="5" t="s">
        <v>15</v>
      </c>
      <c r="G370" s="5" t="s">
        <v>1271</v>
      </c>
      <c r="H370" s="5" t="s">
        <v>1257</v>
      </c>
      <c r="I370" s="5">
        <v>9255</v>
      </c>
      <c r="J370" s="5" t="s">
        <v>45</v>
      </c>
      <c r="K370" s="5" t="s">
        <v>1262</v>
      </c>
    </row>
    <row r="371" spans="1:11" x14ac:dyDescent="0.25">
      <c r="A371" s="6" t="s">
        <v>414</v>
      </c>
      <c r="B371" s="6" t="s">
        <v>1668</v>
      </c>
      <c r="C371" s="6" t="s">
        <v>48</v>
      </c>
      <c r="D371" s="6" t="s">
        <v>36</v>
      </c>
      <c r="E371" s="6" t="s">
        <v>1346</v>
      </c>
      <c r="F371" s="6" t="s">
        <v>15</v>
      </c>
      <c r="G371" s="6" t="s">
        <v>1265</v>
      </c>
      <c r="H371" s="6" t="s">
        <v>1257</v>
      </c>
      <c r="I371" s="6">
        <v>9588</v>
      </c>
      <c r="J371" s="6" t="s">
        <v>1267</v>
      </c>
      <c r="K371" s="6" t="s">
        <v>1262</v>
      </c>
    </row>
    <row r="372" spans="1:11" x14ac:dyDescent="0.25">
      <c r="A372" s="5" t="s">
        <v>415</v>
      </c>
      <c r="B372" s="5" t="s">
        <v>1669</v>
      </c>
      <c r="C372" s="5" t="s">
        <v>53</v>
      </c>
      <c r="D372" s="5" t="s">
        <v>1283</v>
      </c>
      <c r="E372" s="5" t="s">
        <v>27</v>
      </c>
      <c r="F372" s="5" t="s">
        <v>28</v>
      </c>
      <c r="G372" s="5" t="s">
        <v>1284</v>
      </c>
      <c r="H372" s="5" t="s">
        <v>1356</v>
      </c>
      <c r="I372" s="5">
        <v>10720</v>
      </c>
      <c r="J372" s="5" t="s">
        <v>22</v>
      </c>
      <c r="K372" s="5" t="s">
        <v>46</v>
      </c>
    </row>
    <row r="373" spans="1:11" x14ac:dyDescent="0.25">
      <c r="A373" s="6" t="s">
        <v>416</v>
      </c>
      <c r="B373" s="6" t="s">
        <v>1670</v>
      </c>
      <c r="C373" s="6" t="s">
        <v>1269</v>
      </c>
      <c r="D373" s="6" t="s">
        <v>1255</v>
      </c>
      <c r="E373" s="6" t="s">
        <v>63</v>
      </c>
      <c r="F373" s="6" t="s">
        <v>59</v>
      </c>
      <c r="G373" s="6" t="s">
        <v>1405</v>
      </c>
      <c r="H373" s="6" t="s">
        <v>1320</v>
      </c>
      <c r="I373" s="6">
        <v>2803</v>
      </c>
      <c r="J373" s="6" t="s">
        <v>45</v>
      </c>
      <c r="K373" s="6" t="s">
        <v>17</v>
      </c>
    </row>
    <row r="374" spans="1:11" x14ac:dyDescent="0.25">
      <c r="A374" s="5" t="s">
        <v>417</v>
      </c>
      <c r="B374" s="5" t="s">
        <v>1384</v>
      </c>
      <c r="C374" s="5" t="s">
        <v>1254</v>
      </c>
      <c r="D374" s="5" t="s">
        <v>1255</v>
      </c>
      <c r="E374" s="5" t="s">
        <v>41</v>
      </c>
      <c r="F374" s="5" t="s">
        <v>42</v>
      </c>
      <c r="G374" s="5" t="s">
        <v>1265</v>
      </c>
      <c r="H374" s="5" t="s">
        <v>1325</v>
      </c>
      <c r="I374" s="5">
        <v>22130</v>
      </c>
      <c r="J374" s="5" t="s">
        <v>29</v>
      </c>
      <c r="K374" s="5" t="s">
        <v>1286</v>
      </c>
    </row>
    <row r="375" spans="1:11" x14ac:dyDescent="0.25">
      <c r="A375" s="6" t="s">
        <v>418</v>
      </c>
      <c r="B375" s="6" t="s">
        <v>1671</v>
      </c>
      <c r="C375" s="6" t="s">
        <v>73</v>
      </c>
      <c r="D375" s="6" t="s">
        <v>1275</v>
      </c>
      <c r="E375" s="6" t="s">
        <v>20</v>
      </c>
      <c r="F375" s="6" t="s">
        <v>21</v>
      </c>
      <c r="G375" s="6" t="s">
        <v>1315</v>
      </c>
      <c r="H375" s="6" t="s">
        <v>1261</v>
      </c>
      <c r="I375" s="6">
        <v>6206</v>
      </c>
      <c r="J375" s="6" t="s">
        <v>29</v>
      </c>
      <c r="K375" s="6" t="s">
        <v>1273</v>
      </c>
    </row>
    <row r="376" spans="1:11" x14ac:dyDescent="0.25">
      <c r="A376" s="5" t="s">
        <v>419</v>
      </c>
      <c r="B376" s="5" t="s">
        <v>1672</v>
      </c>
      <c r="C376" s="5" t="s">
        <v>1254</v>
      </c>
      <c r="D376" s="5" t="s">
        <v>1296</v>
      </c>
      <c r="E376" s="5" t="s">
        <v>1389</v>
      </c>
      <c r="F376" s="5" t="s">
        <v>34</v>
      </c>
      <c r="G376" s="5" t="s">
        <v>1265</v>
      </c>
      <c r="H376" s="5" t="s">
        <v>1278</v>
      </c>
      <c r="I376" s="5">
        <v>24869</v>
      </c>
      <c r="J376" s="5" t="s">
        <v>16</v>
      </c>
      <c r="K376" s="5" t="s">
        <v>17</v>
      </c>
    </row>
    <row r="377" spans="1:11" x14ac:dyDescent="0.25">
      <c r="A377" s="6" t="s">
        <v>420</v>
      </c>
      <c r="B377" s="6" t="s">
        <v>1673</v>
      </c>
      <c r="C377" s="6" t="s">
        <v>1269</v>
      </c>
      <c r="D377" s="6" t="s">
        <v>1270</v>
      </c>
      <c r="E377" s="6" t="s">
        <v>14</v>
      </c>
      <c r="F377" s="6" t="s">
        <v>15</v>
      </c>
      <c r="G377" s="6" t="s">
        <v>1440</v>
      </c>
      <c r="H377" s="6" t="s">
        <v>1272</v>
      </c>
      <c r="I377" s="6">
        <v>8676</v>
      </c>
      <c r="J377" s="6" t="s">
        <v>29</v>
      </c>
      <c r="K377" s="6" t="s">
        <v>1286</v>
      </c>
    </row>
    <row r="378" spans="1:11" x14ac:dyDescent="0.25">
      <c r="A378" s="5" t="s">
        <v>421</v>
      </c>
      <c r="B378" s="5" t="s">
        <v>1349</v>
      </c>
      <c r="C378" s="5" t="s">
        <v>62</v>
      </c>
      <c r="D378" s="5" t="s">
        <v>36</v>
      </c>
      <c r="E378" s="5" t="s">
        <v>37</v>
      </c>
      <c r="F378" s="5" t="s">
        <v>38</v>
      </c>
      <c r="G378" s="5" t="s">
        <v>1294</v>
      </c>
      <c r="H378" s="5" t="s">
        <v>1281</v>
      </c>
      <c r="I378" s="5">
        <v>38163</v>
      </c>
      <c r="J378" s="5" t="s">
        <v>1267</v>
      </c>
      <c r="K378" s="5" t="s">
        <v>17</v>
      </c>
    </row>
    <row r="379" spans="1:11" x14ac:dyDescent="0.25">
      <c r="A379" s="6" t="s">
        <v>422</v>
      </c>
      <c r="B379" s="6" t="s">
        <v>1674</v>
      </c>
      <c r="C379" s="6" t="s">
        <v>1269</v>
      </c>
      <c r="D379" s="6" t="s">
        <v>1270</v>
      </c>
      <c r="E379" s="6" t="s">
        <v>49</v>
      </c>
      <c r="F379" s="6" t="s">
        <v>50</v>
      </c>
      <c r="G379" s="6" t="s">
        <v>1303</v>
      </c>
      <c r="H379" s="6" t="s">
        <v>1304</v>
      </c>
      <c r="I379" s="6">
        <v>54797</v>
      </c>
      <c r="J379" s="6" t="s">
        <v>45</v>
      </c>
      <c r="K379" s="6" t="s">
        <v>46</v>
      </c>
    </row>
    <row r="380" spans="1:11" x14ac:dyDescent="0.25">
      <c r="A380" s="5" t="s">
        <v>423</v>
      </c>
      <c r="B380" s="5" t="s">
        <v>1675</v>
      </c>
      <c r="C380" s="5" t="s">
        <v>1269</v>
      </c>
      <c r="D380" s="5" t="s">
        <v>1275</v>
      </c>
      <c r="E380" s="5" t="s">
        <v>14</v>
      </c>
      <c r="F380" s="5" t="s">
        <v>15</v>
      </c>
      <c r="G380" s="5" t="s">
        <v>1337</v>
      </c>
      <c r="H380" s="5" t="s">
        <v>1257</v>
      </c>
      <c r="I380" s="5">
        <v>9935</v>
      </c>
      <c r="J380" s="5" t="s">
        <v>29</v>
      </c>
      <c r="K380" s="5" t="s">
        <v>1262</v>
      </c>
    </row>
    <row r="381" spans="1:11" x14ac:dyDescent="0.25">
      <c r="A381" s="6" t="s">
        <v>424</v>
      </c>
      <c r="B381" s="6" t="s">
        <v>1344</v>
      </c>
      <c r="C381" s="6" t="s">
        <v>1288</v>
      </c>
      <c r="D381" s="6" t="s">
        <v>1255</v>
      </c>
      <c r="E381" s="6" t="s">
        <v>1437</v>
      </c>
      <c r="F381" s="6" t="s">
        <v>38</v>
      </c>
      <c r="G381" s="6" t="s">
        <v>1364</v>
      </c>
      <c r="H381" s="6" t="s">
        <v>1342</v>
      </c>
      <c r="I381" s="6">
        <v>33936</v>
      </c>
      <c r="J381" s="6" t="s">
        <v>45</v>
      </c>
      <c r="K381" s="6" t="s">
        <v>1273</v>
      </c>
    </row>
    <row r="382" spans="1:11" x14ac:dyDescent="0.25">
      <c r="A382" s="5" t="s">
        <v>425</v>
      </c>
      <c r="B382" s="5" t="s">
        <v>1676</v>
      </c>
      <c r="C382" s="5" t="s">
        <v>1264</v>
      </c>
      <c r="D382" s="5" t="s">
        <v>1270</v>
      </c>
      <c r="E382" s="5" t="s">
        <v>41</v>
      </c>
      <c r="F382" s="5" t="s">
        <v>42</v>
      </c>
      <c r="G382" s="5" t="s">
        <v>1265</v>
      </c>
      <c r="H382" s="5" t="s">
        <v>1325</v>
      </c>
      <c r="I382" s="5">
        <v>17501</v>
      </c>
      <c r="J382" s="5" t="s">
        <v>22</v>
      </c>
      <c r="K382" s="5" t="s">
        <v>17</v>
      </c>
    </row>
    <row r="383" spans="1:11" x14ac:dyDescent="0.25">
      <c r="A383" s="6" t="s">
        <v>426</v>
      </c>
      <c r="B383" s="6" t="s">
        <v>1527</v>
      </c>
      <c r="C383" s="6" t="s">
        <v>1259</v>
      </c>
      <c r="D383" s="6" t="s">
        <v>1275</v>
      </c>
      <c r="E383" s="6" t="s">
        <v>66</v>
      </c>
      <c r="F383" s="6" t="s">
        <v>67</v>
      </c>
      <c r="G383" s="6" t="s">
        <v>1313</v>
      </c>
      <c r="H383" s="6" t="s">
        <v>1317</v>
      </c>
      <c r="I383" s="6">
        <v>1789</v>
      </c>
      <c r="J383" s="6" t="s">
        <v>16</v>
      </c>
      <c r="K383" s="6" t="s">
        <v>17</v>
      </c>
    </row>
    <row r="384" spans="1:11" x14ac:dyDescent="0.25">
      <c r="A384" s="5" t="s">
        <v>427</v>
      </c>
      <c r="B384" s="5" t="s">
        <v>1677</v>
      </c>
      <c r="C384" s="5" t="s">
        <v>1259</v>
      </c>
      <c r="D384" s="5" t="s">
        <v>36</v>
      </c>
      <c r="E384" s="5" t="s">
        <v>37</v>
      </c>
      <c r="F384" s="5" t="s">
        <v>38</v>
      </c>
      <c r="G384" s="5" t="s">
        <v>1277</v>
      </c>
      <c r="H384" s="5" t="s">
        <v>1281</v>
      </c>
      <c r="I384" s="5">
        <v>38299</v>
      </c>
      <c r="J384" s="5" t="s">
        <v>1267</v>
      </c>
      <c r="K384" s="5" t="s">
        <v>17</v>
      </c>
    </row>
    <row r="385" spans="1:11" x14ac:dyDescent="0.25">
      <c r="A385" s="6" t="s">
        <v>428</v>
      </c>
      <c r="B385" s="6" t="s">
        <v>1678</v>
      </c>
      <c r="C385" s="6" t="s">
        <v>1259</v>
      </c>
      <c r="D385" s="6" t="s">
        <v>1275</v>
      </c>
      <c r="E385" s="6" t="s">
        <v>37</v>
      </c>
      <c r="F385" s="6" t="s">
        <v>38</v>
      </c>
      <c r="G385" s="6" t="s">
        <v>1576</v>
      </c>
      <c r="H385" s="6" t="s">
        <v>1342</v>
      </c>
      <c r="I385" s="6">
        <v>35204</v>
      </c>
      <c r="J385" s="6" t="s">
        <v>22</v>
      </c>
      <c r="K385" s="6" t="s">
        <v>46</v>
      </c>
    </row>
    <row r="386" spans="1:11" x14ac:dyDescent="0.25">
      <c r="A386" s="5" t="s">
        <v>429</v>
      </c>
      <c r="B386" s="5" t="s">
        <v>1648</v>
      </c>
      <c r="C386" s="5" t="s">
        <v>62</v>
      </c>
      <c r="D386" s="5"/>
      <c r="E386" s="5" t="s">
        <v>1524</v>
      </c>
      <c r="F386" s="5" t="s">
        <v>15</v>
      </c>
      <c r="G386" s="5" t="s">
        <v>1277</v>
      </c>
      <c r="H386" s="5" t="s">
        <v>1347</v>
      </c>
      <c r="I386" s="5">
        <v>8983</v>
      </c>
      <c r="J386" s="5" t="s">
        <v>1267</v>
      </c>
      <c r="K386" s="5" t="s">
        <v>17</v>
      </c>
    </row>
    <row r="387" spans="1:11" x14ac:dyDescent="0.25">
      <c r="A387" s="6" t="s">
        <v>430</v>
      </c>
      <c r="B387" s="6" t="s">
        <v>1679</v>
      </c>
      <c r="C387" s="6" t="s">
        <v>73</v>
      </c>
      <c r="D387" s="6" t="s">
        <v>1283</v>
      </c>
      <c r="E387" s="6" t="s">
        <v>37</v>
      </c>
      <c r="F387" s="6" t="s">
        <v>38</v>
      </c>
      <c r="G387" s="6" t="s">
        <v>1303</v>
      </c>
      <c r="H387" s="6" t="s">
        <v>1281</v>
      </c>
      <c r="I387" s="6">
        <v>33672</v>
      </c>
      <c r="J387" s="6" t="s">
        <v>22</v>
      </c>
      <c r="K387" s="6" t="s">
        <v>1286</v>
      </c>
    </row>
    <row r="388" spans="1:11" x14ac:dyDescent="0.25">
      <c r="A388" s="5" t="s">
        <v>431</v>
      </c>
      <c r="B388" s="5" t="s">
        <v>1638</v>
      </c>
      <c r="C388" s="5" t="s">
        <v>48</v>
      </c>
      <c r="D388" s="5" t="s">
        <v>26</v>
      </c>
      <c r="E388" s="5" t="s">
        <v>63</v>
      </c>
      <c r="F388" s="5" t="s">
        <v>59</v>
      </c>
      <c r="G388" s="5" t="s">
        <v>1337</v>
      </c>
      <c r="H388" s="5" t="s">
        <v>1308</v>
      </c>
      <c r="I388" s="5">
        <v>2985</v>
      </c>
      <c r="J388" s="5" t="s">
        <v>29</v>
      </c>
      <c r="K388" s="5" t="s">
        <v>1286</v>
      </c>
    </row>
    <row r="389" spans="1:11" x14ac:dyDescent="0.25">
      <c r="A389" s="6" t="s">
        <v>432</v>
      </c>
      <c r="B389" s="6" t="s">
        <v>1680</v>
      </c>
      <c r="C389" s="6" t="s">
        <v>1254</v>
      </c>
      <c r="D389" s="6" t="s">
        <v>1275</v>
      </c>
      <c r="E389" s="6" t="s">
        <v>55</v>
      </c>
      <c r="F389" s="6" t="s">
        <v>34</v>
      </c>
      <c r="G389" s="6" t="s">
        <v>1337</v>
      </c>
      <c r="H389" s="6" t="s">
        <v>1299</v>
      </c>
      <c r="I389" s="6">
        <v>22329</v>
      </c>
      <c r="J389" s="6" t="s">
        <v>1267</v>
      </c>
      <c r="K389" s="6" t="s">
        <v>1262</v>
      </c>
    </row>
    <row r="390" spans="1:11" x14ac:dyDescent="0.25">
      <c r="A390" s="5" t="s">
        <v>433</v>
      </c>
      <c r="B390" s="5" t="s">
        <v>1681</v>
      </c>
      <c r="C390" s="5" t="s">
        <v>53</v>
      </c>
      <c r="D390" s="5" t="s">
        <v>1270</v>
      </c>
      <c r="E390" s="5" t="s">
        <v>27</v>
      </c>
      <c r="F390" s="5" t="s">
        <v>28</v>
      </c>
      <c r="G390" s="5" t="s">
        <v>1280</v>
      </c>
      <c r="H390" s="5" t="s">
        <v>1266</v>
      </c>
      <c r="I390" s="5">
        <v>10279</v>
      </c>
      <c r="J390" s="5" t="s">
        <v>1267</v>
      </c>
      <c r="K390" s="5" t="s">
        <v>1286</v>
      </c>
    </row>
    <row r="391" spans="1:11" x14ac:dyDescent="0.25">
      <c r="A391" s="6" t="s">
        <v>434</v>
      </c>
      <c r="B391" s="6" t="s">
        <v>1469</v>
      </c>
      <c r="C391" s="6" t="s">
        <v>1288</v>
      </c>
      <c r="D391" s="6" t="s">
        <v>1255</v>
      </c>
      <c r="E391" s="6" t="s">
        <v>1587</v>
      </c>
      <c r="F391" s="6" t="s">
        <v>21</v>
      </c>
      <c r="G391" s="6" t="s">
        <v>1301</v>
      </c>
      <c r="H391" s="6" t="s">
        <v>1261</v>
      </c>
      <c r="I391" s="6">
        <v>6623</v>
      </c>
      <c r="J391" s="6" t="s">
        <v>45</v>
      </c>
      <c r="K391" s="6" t="s">
        <v>1262</v>
      </c>
    </row>
    <row r="392" spans="1:11" x14ac:dyDescent="0.25">
      <c r="A392" s="5" t="s">
        <v>435</v>
      </c>
      <c r="B392" s="5" t="s">
        <v>1682</v>
      </c>
      <c r="C392" s="5" t="s">
        <v>73</v>
      </c>
      <c r="D392" s="5" t="s">
        <v>26</v>
      </c>
      <c r="E392" s="5" t="s">
        <v>66</v>
      </c>
      <c r="F392" s="5" t="s">
        <v>67</v>
      </c>
      <c r="G392" s="5" t="s">
        <v>1280</v>
      </c>
      <c r="H392" s="5" t="s">
        <v>1317</v>
      </c>
      <c r="I392" s="5">
        <v>1996</v>
      </c>
      <c r="J392" s="5" t="s">
        <v>1267</v>
      </c>
      <c r="K392" s="5" t="s">
        <v>46</v>
      </c>
    </row>
    <row r="393" spans="1:11" x14ac:dyDescent="0.25">
      <c r="A393" s="6" t="s">
        <v>436</v>
      </c>
      <c r="B393" s="6" t="s">
        <v>1683</v>
      </c>
      <c r="C393" s="6" t="s">
        <v>1259</v>
      </c>
      <c r="D393" s="6" t="s">
        <v>1255</v>
      </c>
      <c r="E393" s="6" t="s">
        <v>20</v>
      </c>
      <c r="F393" s="6" t="s">
        <v>21</v>
      </c>
      <c r="G393" s="6" t="s">
        <v>1684</v>
      </c>
      <c r="H393" s="6" t="s">
        <v>1377</v>
      </c>
      <c r="I393" s="6">
        <v>5516</v>
      </c>
      <c r="J393" s="6" t="s">
        <v>16</v>
      </c>
      <c r="K393" s="6" t="s">
        <v>17</v>
      </c>
    </row>
    <row r="394" spans="1:11" x14ac:dyDescent="0.25">
      <c r="A394" s="5" t="s">
        <v>437</v>
      </c>
      <c r="B394" s="5" t="s">
        <v>1603</v>
      </c>
      <c r="C394" s="5" t="s">
        <v>62</v>
      </c>
      <c r="D394" s="5" t="s">
        <v>1275</v>
      </c>
      <c r="E394" s="5" t="s">
        <v>49</v>
      </c>
      <c r="F394" s="5" t="s">
        <v>50</v>
      </c>
      <c r="G394" s="5" t="s">
        <v>1271</v>
      </c>
      <c r="H394" s="5" t="s">
        <v>1291</v>
      </c>
      <c r="I394" s="5">
        <v>51183</v>
      </c>
      <c r="J394" s="5" t="s">
        <v>22</v>
      </c>
      <c r="K394" s="5" t="s">
        <v>17</v>
      </c>
    </row>
    <row r="395" spans="1:11" x14ac:dyDescent="0.25">
      <c r="A395" s="6" t="s">
        <v>438</v>
      </c>
      <c r="B395" s="6" t="s">
        <v>1685</v>
      </c>
      <c r="C395" s="6" t="s">
        <v>1269</v>
      </c>
      <c r="D395" s="6" t="s">
        <v>1255</v>
      </c>
      <c r="E395" s="6" t="s">
        <v>41</v>
      </c>
      <c r="F395" s="6" t="s">
        <v>42</v>
      </c>
      <c r="G395" s="6" t="s">
        <v>1307</v>
      </c>
      <c r="H395" s="6" t="s">
        <v>1325</v>
      </c>
      <c r="I395" s="6">
        <v>17015</v>
      </c>
      <c r="J395" s="6" t="s">
        <v>45</v>
      </c>
      <c r="K395" s="6" t="s">
        <v>46</v>
      </c>
    </row>
    <row r="396" spans="1:11" x14ac:dyDescent="0.25">
      <c r="A396" s="5" t="s">
        <v>439</v>
      </c>
      <c r="B396" s="5" t="s">
        <v>1686</v>
      </c>
      <c r="C396" s="5" t="s">
        <v>1288</v>
      </c>
      <c r="D396" s="5" t="s">
        <v>1270</v>
      </c>
      <c r="E396" s="5" t="s">
        <v>1519</v>
      </c>
      <c r="F396" s="5" t="s">
        <v>21</v>
      </c>
      <c r="G396" s="5" t="s">
        <v>1405</v>
      </c>
      <c r="H396" s="5" t="s">
        <v>1261</v>
      </c>
      <c r="I396" s="5">
        <v>6791</v>
      </c>
      <c r="J396" s="5" t="s">
        <v>16</v>
      </c>
      <c r="K396" s="5" t="s">
        <v>1286</v>
      </c>
    </row>
    <row r="397" spans="1:11" x14ac:dyDescent="0.25">
      <c r="A397" s="6" t="s">
        <v>440</v>
      </c>
      <c r="B397" s="6" t="s">
        <v>1687</v>
      </c>
      <c r="C397" s="6" t="s">
        <v>73</v>
      </c>
      <c r="D397" s="6" t="s">
        <v>1283</v>
      </c>
      <c r="E397" s="6" t="s">
        <v>41</v>
      </c>
      <c r="F397" s="6" t="s">
        <v>42</v>
      </c>
      <c r="G397" s="6" t="s">
        <v>1294</v>
      </c>
      <c r="H397" s="6" t="s">
        <v>1311</v>
      </c>
      <c r="I397" s="6">
        <v>19673</v>
      </c>
      <c r="J397" s="6" t="s">
        <v>16</v>
      </c>
      <c r="K397" s="6" t="s">
        <v>17</v>
      </c>
    </row>
    <row r="398" spans="1:11" x14ac:dyDescent="0.25">
      <c r="A398" s="5" t="s">
        <v>441</v>
      </c>
      <c r="B398" s="5" t="s">
        <v>1688</v>
      </c>
      <c r="C398" s="5" t="s">
        <v>48</v>
      </c>
      <c r="D398" s="5" t="s">
        <v>1283</v>
      </c>
      <c r="E398" s="5" t="s">
        <v>20</v>
      </c>
      <c r="F398" s="5" t="s">
        <v>21</v>
      </c>
      <c r="G398" s="5" t="s">
        <v>1297</v>
      </c>
      <c r="H398" s="5" t="s">
        <v>1261</v>
      </c>
      <c r="I398" s="5">
        <v>6593</v>
      </c>
      <c r="J398" s="5" t="s">
        <v>45</v>
      </c>
      <c r="K398" s="5" t="s">
        <v>1262</v>
      </c>
    </row>
    <row r="399" spans="1:11" x14ac:dyDescent="0.25">
      <c r="A399" s="6" t="s">
        <v>442</v>
      </c>
      <c r="B399" s="6" t="s">
        <v>1689</v>
      </c>
      <c r="C399" s="6" t="s">
        <v>1264</v>
      </c>
      <c r="D399" s="6" t="s">
        <v>26</v>
      </c>
      <c r="E399" s="6" t="s">
        <v>63</v>
      </c>
      <c r="F399" s="6" t="s">
        <v>59</v>
      </c>
      <c r="G399" s="6" t="s">
        <v>1297</v>
      </c>
      <c r="H399" s="6" t="s">
        <v>1308</v>
      </c>
      <c r="I399" s="6">
        <v>3250</v>
      </c>
      <c r="J399" s="6" t="s">
        <v>22</v>
      </c>
      <c r="K399" s="6" t="s">
        <v>1273</v>
      </c>
    </row>
    <row r="400" spans="1:11" x14ac:dyDescent="0.25">
      <c r="A400" s="5" t="s">
        <v>443</v>
      </c>
      <c r="B400" s="5" t="s">
        <v>1467</v>
      </c>
      <c r="C400" s="5" t="s">
        <v>53</v>
      </c>
      <c r="D400" s="5" t="s">
        <v>1270</v>
      </c>
      <c r="E400" s="5" t="s">
        <v>37</v>
      </c>
      <c r="F400" s="5" t="s">
        <v>38</v>
      </c>
      <c r="G400" s="5" t="s">
        <v>1260</v>
      </c>
      <c r="H400" s="5" t="s">
        <v>1367</v>
      </c>
      <c r="I400" s="5">
        <v>41528</v>
      </c>
      <c r="J400" s="5" t="s">
        <v>22</v>
      </c>
      <c r="K400" s="5" t="s">
        <v>46</v>
      </c>
    </row>
    <row r="401" spans="1:11" x14ac:dyDescent="0.25">
      <c r="A401" s="6" t="s">
        <v>444</v>
      </c>
      <c r="B401" s="6" t="s">
        <v>1540</v>
      </c>
      <c r="C401" s="6" t="s">
        <v>1254</v>
      </c>
      <c r="D401" s="6" t="s">
        <v>1255</v>
      </c>
      <c r="E401" s="6" t="s">
        <v>1587</v>
      </c>
      <c r="F401" s="6" t="s">
        <v>21</v>
      </c>
      <c r="G401" s="6" t="s">
        <v>1475</v>
      </c>
      <c r="H401" s="6" t="s">
        <v>1377</v>
      </c>
      <c r="I401" s="6">
        <v>6768</v>
      </c>
      <c r="J401" s="6" t="s">
        <v>16</v>
      </c>
      <c r="K401" s="6" t="s">
        <v>17</v>
      </c>
    </row>
    <row r="402" spans="1:11" x14ac:dyDescent="0.25">
      <c r="A402" s="5" t="s">
        <v>445</v>
      </c>
      <c r="B402" s="5" t="s">
        <v>1465</v>
      </c>
      <c r="C402" s="5" t="s">
        <v>62</v>
      </c>
      <c r="D402" s="5" t="s">
        <v>1296</v>
      </c>
      <c r="E402" s="5" t="s">
        <v>27</v>
      </c>
      <c r="F402" s="5" t="s">
        <v>28</v>
      </c>
      <c r="G402" s="5" t="s">
        <v>1331</v>
      </c>
      <c r="H402" s="5" t="s">
        <v>1266</v>
      </c>
      <c r="I402" s="5">
        <v>9025</v>
      </c>
      <c r="J402" s="5" t="s">
        <v>16</v>
      </c>
      <c r="K402" s="5" t="s">
        <v>17</v>
      </c>
    </row>
    <row r="403" spans="1:11" x14ac:dyDescent="0.25">
      <c r="A403" s="6" t="s">
        <v>446</v>
      </c>
      <c r="B403" s="6" t="s">
        <v>1690</v>
      </c>
      <c r="C403" s="6" t="s">
        <v>1288</v>
      </c>
      <c r="D403" s="6" t="s">
        <v>1275</v>
      </c>
      <c r="E403" s="6" t="s">
        <v>27</v>
      </c>
      <c r="F403" s="6" t="s">
        <v>28</v>
      </c>
      <c r="G403" s="6" t="s">
        <v>1256</v>
      </c>
      <c r="H403" s="6" t="s">
        <v>1266</v>
      </c>
      <c r="I403" s="6">
        <v>9443</v>
      </c>
      <c r="J403" s="6" t="s">
        <v>22</v>
      </c>
      <c r="K403" s="6" t="s">
        <v>1262</v>
      </c>
    </row>
    <row r="404" spans="1:11" x14ac:dyDescent="0.25">
      <c r="A404" s="5" t="s">
        <v>447</v>
      </c>
      <c r="B404" s="5" t="s">
        <v>1691</v>
      </c>
      <c r="C404" s="5" t="s">
        <v>1269</v>
      </c>
      <c r="D404" s="5" t="s">
        <v>1270</v>
      </c>
      <c r="E404" s="5" t="s">
        <v>66</v>
      </c>
      <c r="F404" s="5" t="s">
        <v>67</v>
      </c>
      <c r="G404" s="5" t="s">
        <v>1271</v>
      </c>
      <c r="H404" s="5" t="s">
        <v>1317</v>
      </c>
      <c r="I404" s="5">
        <v>1819</v>
      </c>
      <c r="J404" s="5" t="s">
        <v>29</v>
      </c>
      <c r="K404" s="5" t="s">
        <v>1262</v>
      </c>
    </row>
    <row r="405" spans="1:11" x14ac:dyDescent="0.25">
      <c r="A405" s="6" t="s">
        <v>448</v>
      </c>
      <c r="B405" s="6" t="s">
        <v>1599</v>
      </c>
      <c r="C405" s="6" t="s">
        <v>1269</v>
      </c>
      <c r="D405" s="6" t="s">
        <v>1275</v>
      </c>
      <c r="E405" s="6" t="s">
        <v>37</v>
      </c>
      <c r="F405" s="6" t="s">
        <v>38</v>
      </c>
      <c r="G405" s="6" t="s">
        <v>1260</v>
      </c>
      <c r="H405" s="6" t="s">
        <v>1342</v>
      </c>
      <c r="I405" s="6">
        <v>40675</v>
      </c>
      <c r="J405" s="6" t="s">
        <v>1267</v>
      </c>
      <c r="K405" s="6" t="s">
        <v>46</v>
      </c>
    </row>
    <row r="406" spans="1:11" x14ac:dyDescent="0.25">
      <c r="A406" s="5" t="s">
        <v>449</v>
      </c>
      <c r="B406" s="5" t="s">
        <v>1692</v>
      </c>
      <c r="C406" s="5" t="s">
        <v>62</v>
      </c>
      <c r="D406" s="5" t="s">
        <v>1283</v>
      </c>
      <c r="E406" s="5" t="s">
        <v>1353</v>
      </c>
      <c r="F406" s="5" t="s">
        <v>59</v>
      </c>
      <c r="G406" s="5" t="s">
        <v>1265</v>
      </c>
      <c r="H406" s="5" t="s">
        <v>1308</v>
      </c>
      <c r="I406" s="5">
        <v>2971</v>
      </c>
      <c r="J406" s="5" t="s">
        <v>1267</v>
      </c>
      <c r="K406" s="5"/>
    </row>
    <row r="407" spans="1:11" x14ac:dyDescent="0.25">
      <c r="A407" s="6" t="s">
        <v>450</v>
      </c>
      <c r="B407" s="6" t="s">
        <v>1559</v>
      </c>
      <c r="C407" s="6" t="s">
        <v>1288</v>
      </c>
      <c r="D407" s="6" t="s">
        <v>26</v>
      </c>
      <c r="E407" s="6" t="s">
        <v>49</v>
      </c>
      <c r="F407" s="6" t="s">
        <v>50</v>
      </c>
      <c r="G407" s="6" t="s">
        <v>1337</v>
      </c>
      <c r="H407" s="6" t="s">
        <v>1304</v>
      </c>
      <c r="I407" s="6">
        <v>45332</v>
      </c>
      <c r="J407" s="6" t="s">
        <v>45</v>
      </c>
      <c r="K407" s="6" t="s">
        <v>1286</v>
      </c>
    </row>
    <row r="408" spans="1:11" x14ac:dyDescent="0.25">
      <c r="A408" s="5" t="s">
        <v>451</v>
      </c>
      <c r="B408" s="5" t="s">
        <v>1693</v>
      </c>
      <c r="C408" s="5" t="s">
        <v>73</v>
      </c>
      <c r="D408" s="5" t="s">
        <v>1296</v>
      </c>
      <c r="E408" s="5" t="s">
        <v>66</v>
      </c>
      <c r="F408" s="5" t="s">
        <v>67</v>
      </c>
      <c r="G408" s="5" t="s">
        <v>1307</v>
      </c>
      <c r="H408" s="5" t="s">
        <v>1317</v>
      </c>
      <c r="I408" s="5">
        <v>1996</v>
      </c>
      <c r="J408" s="5" t="s">
        <v>1267</v>
      </c>
      <c r="K408" s="5" t="s">
        <v>46</v>
      </c>
    </row>
    <row r="409" spans="1:11" x14ac:dyDescent="0.25">
      <c r="A409" s="6" t="s">
        <v>452</v>
      </c>
      <c r="B409" s="6" t="s">
        <v>1694</v>
      </c>
      <c r="C409" s="6" t="s">
        <v>48</v>
      </c>
      <c r="D409" s="6" t="s">
        <v>26</v>
      </c>
      <c r="E409" s="6" t="s">
        <v>55</v>
      </c>
      <c r="F409" s="6" t="s">
        <v>34</v>
      </c>
      <c r="G409" s="6" t="s">
        <v>1408</v>
      </c>
      <c r="H409" s="6" t="s">
        <v>1299</v>
      </c>
      <c r="I409" s="6">
        <v>21132</v>
      </c>
      <c r="J409" s="6" t="s">
        <v>45</v>
      </c>
      <c r="K409" s="6" t="s">
        <v>1262</v>
      </c>
    </row>
    <row r="410" spans="1:11" x14ac:dyDescent="0.25">
      <c r="A410" s="5" t="s">
        <v>453</v>
      </c>
      <c r="B410" s="5" t="s">
        <v>1561</v>
      </c>
      <c r="C410" s="5" t="s">
        <v>48</v>
      </c>
      <c r="D410" s="5" t="s">
        <v>36</v>
      </c>
      <c r="E410" s="5" t="s">
        <v>14</v>
      </c>
      <c r="F410" s="5" t="s">
        <v>15</v>
      </c>
      <c r="G410" s="5" t="s">
        <v>1271</v>
      </c>
      <c r="H410" s="5" t="s">
        <v>1257</v>
      </c>
      <c r="I410" s="5">
        <v>8337</v>
      </c>
      <c r="J410" s="5" t="s">
        <v>22</v>
      </c>
      <c r="K410" s="5" t="s">
        <v>46</v>
      </c>
    </row>
    <row r="411" spans="1:11" x14ac:dyDescent="0.25">
      <c r="A411" s="6" t="s">
        <v>454</v>
      </c>
      <c r="B411" s="6" t="s">
        <v>1695</v>
      </c>
      <c r="C411" s="6" t="s">
        <v>1259</v>
      </c>
      <c r="D411" s="6" t="s">
        <v>36</v>
      </c>
      <c r="E411" s="6" t="s">
        <v>1529</v>
      </c>
      <c r="F411" s="6" t="s">
        <v>67</v>
      </c>
      <c r="G411" s="6" t="s">
        <v>1337</v>
      </c>
      <c r="H411" s="6" t="s">
        <v>1317</v>
      </c>
      <c r="I411" s="6">
        <v>1668</v>
      </c>
      <c r="J411" s="6" t="s">
        <v>22</v>
      </c>
      <c r="K411" s="6" t="s">
        <v>1273</v>
      </c>
    </row>
    <row r="412" spans="1:11" x14ac:dyDescent="0.25">
      <c r="A412" s="5" t="s">
        <v>455</v>
      </c>
      <c r="B412" s="5" t="s">
        <v>1544</v>
      </c>
      <c r="C412" s="5" t="s">
        <v>1259</v>
      </c>
      <c r="D412" s="5" t="s">
        <v>26</v>
      </c>
      <c r="E412" s="5" t="s">
        <v>20</v>
      </c>
      <c r="F412" s="5" t="s">
        <v>21</v>
      </c>
      <c r="G412" s="5" t="s">
        <v>1260</v>
      </c>
      <c r="H412" s="5" t="s">
        <v>1261</v>
      </c>
      <c r="I412" s="5">
        <v>5389</v>
      </c>
      <c r="J412" s="5" t="s">
        <v>1267</v>
      </c>
      <c r="K412" s="5" t="s">
        <v>1273</v>
      </c>
    </row>
    <row r="413" spans="1:11" x14ac:dyDescent="0.25">
      <c r="A413" s="6" t="s">
        <v>456</v>
      </c>
      <c r="B413" s="6" t="s">
        <v>1696</v>
      </c>
      <c r="C413" s="6" t="s">
        <v>1288</v>
      </c>
      <c r="D413" s="6" t="s">
        <v>1270</v>
      </c>
      <c r="E413" s="6" t="s">
        <v>49</v>
      </c>
      <c r="F413" s="6" t="s">
        <v>50</v>
      </c>
      <c r="G413" s="6" t="s">
        <v>1307</v>
      </c>
      <c r="H413" s="6" t="s">
        <v>1359</v>
      </c>
      <c r="I413" s="6">
        <v>53973</v>
      </c>
      <c r="J413" s="6" t="s">
        <v>1267</v>
      </c>
      <c r="K413" s="6" t="s">
        <v>1262</v>
      </c>
    </row>
    <row r="414" spans="1:11" x14ac:dyDescent="0.25">
      <c r="A414" s="5" t="s">
        <v>457</v>
      </c>
      <c r="B414" s="5" t="s">
        <v>1697</v>
      </c>
      <c r="C414" s="5" t="s">
        <v>1264</v>
      </c>
      <c r="D414" s="5" t="s">
        <v>1270</v>
      </c>
      <c r="E414" s="5" t="s">
        <v>20</v>
      </c>
      <c r="F414" s="5" t="s">
        <v>21</v>
      </c>
      <c r="G414" s="5" t="s">
        <v>1271</v>
      </c>
      <c r="H414" s="5" t="s">
        <v>1454</v>
      </c>
      <c r="I414" s="5">
        <v>5759</v>
      </c>
      <c r="J414" s="5" t="s">
        <v>16</v>
      </c>
      <c r="K414" s="5" t="s">
        <v>1286</v>
      </c>
    </row>
    <row r="415" spans="1:11" x14ac:dyDescent="0.25">
      <c r="A415" s="6" t="s">
        <v>458</v>
      </c>
      <c r="B415" s="6" t="s">
        <v>1698</v>
      </c>
      <c r="C415" s="6" t="s">
        <v>1288</v>
      </c>
      <c r="D415" s="6" t="s">
        <v>1270</v>
      </c>
      <c r="E415" s="6" t="s">
        <v>55</v>
      </c>
      <c r="F415" s="6" t="s">
        <v>34</v>
      </c>
      <c r="G415" s="6" t="s">
        <v>1256</v>
      </c>
      <c r="H415" s="6" t="s">
        <v>1278</v>
      </c>
      <c r="I415" s="6">
        <v>26842</v>
      </c>
      <c r="J415" s="6" t="s">
        <v>22</v>
      </c>
      <c r="K415" s="6" t="s">
        <v>1286</v>
      </c>
    </row>
    <row r="416" spans="1:11" x14ac:dyDescent="0.25">
      <c r="A416" s="5" t="s">
        <v>459</v>
      </c>
      <c r="B416" s="5" t="s">
        <v>1699</v>
      </c>
      <c r="C416" s="5" t="s">
        <v>1288</v>
      </c>
      <c r="D416" s="5" t="s">
        <v>26</v>
      </c>
      <c r="E416" s="5" t="s">
        <v>1276</v>
      </c>
      <c r="F416" s="5" t="s">
        <v>34</v>
      </c>
      <c r="G416" s="5" t="s">
        <v>1284</v>
      </c>
      <c r="H416" s="5" t="s">
        <v>1278</v>
      </c>
      <c r="I416" s="5">
        <v>24637</v>
      </c>
      <c r="J416" s="5" t="s">
        <v>29</v>
      </c>
      <c r="K416" s="5" t="s">
        <v>1262</v>
      </c>
    </row>
    <row r="417" spans="1:11" x14ac:dyDescent="0.25">
      <c r="A417" s="6" t="s">
        <v>460</v>
      </c>
      <c r="B417" s="6" t="s">
        <v>1592</v>
      </c>
      <c r="C417" s="6" t="s">
        <v>53</v>
      </c>
      <c r="D417" s="6" t="s">
        <v>1275</v>
      </c>
      <c r="E417" s="6" t="s">
        <v>37</v>
      </c>
      <c r="F417" s="6" t="s">
        <v>38</v>
      </c>
      <c r="G417" s="6" t="s">
        <v>1328</v>
      </c>
      <c r="H417" s="6" t="s">
        <v>1342</v>
      </c>
      <c r="I417" s="6">
        <v>35132</v>
      </c>
      <c r="J417" s="6" t="s">
        <v>22</v>
      </c>
      <c r="K417" s="6" t="s">
        <v>46</v>
      </c>
    </row>
    <row r="418" spans="1:11" x14ac:dyDescent="0.25">
      <c r="A418" s="5" t="s">
        <v>461</v>
      </c>
      <c r="B418" s="5" t="s">
        <v>1700</v>
      </c>
      <c r="C418" s="5" t="s">
        <v>1254</v>
      </c>
      <c r="D418" s="5" t="s">
        <v>1283</v>
      </c>
      <c r="E418" s="5" t="s">
        <v>27</v>
      </c>
      <c r="F418" s="5" t="s">
        <v>28</v>
      </c>
      <c r="G418" s="5" t="s">
        <v>1337</v>
      </c>
      <c r="H418" s="5" t="s">
        <v>1266</v>
      </c>
      <c r="I418" s="5">
        <v>8829</v>
      </c>
      <c r="J418" s="5" t="s">
        <v>16</v>
      </c>
      <c r="K418" s="5" t="s">
        <v>1286</v>
      </c>
    </row>
    <row r="419" spans="1:11" x14ac:dyDescent="0.25">
      <c r="A419" s="6" t="s">
        <v>462</v>
      </c>
      <c r="B419" s="6" t="s">
        <v>1701</v>
      </c>
      <c r="C419" s="6" t="s">
        <v>1264</v>
      </c>
      <c r="D419" s="6" t="s">
        <v>1255</v>
      </c>
      <c r="E419" s="6" t="s">
        <v>41</v>
      </c>
      <c r="F419" s="6" t="s">
        <v>42</v>
      </c>
      <c r="G419" s="6" t="s">
        <v>1271</v>
      </c>
      <c r="H419" s="6" t="s">
        <v>1325</v>
      </c>
      <c r="I419" s="6">
        <v>17843</v>
      </c>
      <c r="J419" s="6" t="s">
        <v>29</v>
      </c>
      <c r="K419" s="6" t="s">
        <v>1273</v>
      </c>
    </row>
    <row r="420" spans="1:11" x14ac:dyDescent="0.25">
      <c r="A420" s="5" t="s">
        <v>463</v>
      </c>
      <c r="B420" s="5" t="s">
        <v>1399</v>
      </c>
      <c r="C420" s="5" t="s">
        <v>73</v>
      </c>
      <c r="D420" s="5" t="s">
        <v>1255</v>
      </c>
      <c r="E420" s="5" t="s">
        <v>66</v>
      </c>
      <c r="F420" s="5" t="s">
        <v>67</v>
      </c>
      <c r="G420" s="5" t="s">
        <v>1277</v>
      </c>
      <c r="H420" s="5" t="s">
        <v>1317</v>
      </c>
      <c r="I420" s="5">
        <v>1917</v>
      </c>
      <c r="J420" s="5" t="s">
        <v>1267</v>
      </c>
      <c r="K420" s="5" t="s">
        <v>1273</v>
      </c>
    </row>
    <row r="421" spans="1:11" x14ac:dyDescent="0.25">
      <c r="A421" s="6" t="s">
        <v>464</v>
      </c>
      <c r="B421" s="6" t="s">
        <v>1702</v>
      </c>
      <c r="C421" s="6" t="s">
        <v>73</v>
      </c>
      <c r="D421" s="6"/>
      <c r="E421" s="6" t="s">
        <v>1401</v>
      </c>
      <c r="F421" s="6" t="s">
        <v>67</v>
      </c>
      <c r="G421" s="6" t="s">
        <v>1331</v>
      </c>
      <c r="H421" s="6" t="s">
        <v>1335</v>
      </c>
      <c r="I421" s="6">
        <v>1879</v>
      </c>
      <c r="J421" s="6" t="s">
        <v>29</v>
      </c>
      <c r="K421" s="6" t="s">
        <v>1286</v>
      </c>
    </row>
    <row r="422" spans="1:11" x14ac:dyDescent="0.25">
      <c r="A422" s="5" t="s">
        <v>465</v>
      </c>
      <c r="B422" s="5" t="s">
        <v>1594</v>
      </c>
      <c r="C422" s="5" t="s">
        <v>1254</v>
      </c>
      <c r="D422" s="5" t="s">
        <v>1283</v>
      </c>
      <c r="E422" s="5" t="s">
        <v>27</v>
      </c>
      <c r="F422" s="5" t="s">
        <v>28</v>
      </c>
      <c r="G422" s="5" t="s">
        <v>1260</v>
      </c>
      <c r="H422" s="5" t="s">
        <v>1266</v>
      </c>
      <c r="I422" s="5">
        <v>9991</v>
      </c>
      <c r="J422" s="5" t="s">
        <v>29</v>
      </c>
      <c r="K422" s="5" t="s">
        <v>1286</v>
      </c>
    </row>
    <row r="423" spans="1:11" x14ac:dyDescent="0.25">
      <c r="A423" s="6" t="s">
        <v>466</v>
      </c>
      <c r="B423" s="6" t="s">
        <v>1556</v>
      </c>
      <c r="C423" s="6" t="s">
        <v>73</v>
      </c>
      <c r="D423" s="6" t="s">
        <v>1296</v>
      </c>
      <c r="E423" s="6" t="s">
        <v>27</v>
      </c>
      <c r="F423" s="6" t="s">
        <v>28</v>
      </c>
      <c r="G423" s="6" t="s">
        <v>1315</v>
      </c>
      <c r="H423" s="6" t="s">
        <v>1266</v>
      </c>
      <c r="I423" s="6">
        <v>10063</v>
      </c>
      <c r="J423" s="6" t="s">
        <v>16</v>
      </c>
      <c r="K423" s="6" t="s">
        <v>17</v>
      </c>
    </row>
    <row r="424" spans="1:11" x14ac:dyDescent="0.25">
      <c r="A424" s="5" t="s">
        <v>467</v>
      </c>
      <c r="B424" s="5" t="s">
        <v>1642</v>
      </c>
      <c r="C424" s="5" t="s">
        <v>1269</v>
      </c>
      <c r="D424" s="5" t="s">
        <v>1275</v>
      </c>
      <c r="E424" s="5" t="s">
        <v>55</v>
      </c>
      <c r="F424" s="5" t="s">
        <v>34</v>
      </c>
      <c r="G424" s="5" t="s">
        <v>1313</v>
      </c>
      <c r="H424" s="5" t="s">
        <v>1278</v>
      </c>
      <c r="I424" s="5">
        <v>21711</v>
      </c>
      <c r="J424" s="5" t="s">
        <v>22</v>
      </c>
      <c r="K424" s="5" t="s">
        <v>1286</v>
      </c>
    </row>
    <row r="425" spans="1:11" x14ac:dyDescent="0.25">
      <c r="A425" s="6" t="s">
        <v>468</v>
      </c>
      <c r="B425" s="6" t="s">
        <v>1703</v>
      </c>
      <c r="C425" s="6" t="s">
        <v>62</v>
      </c>
      <c r="D425" s="6" t="s">
        <v>1255</v>
      </c>
      <c r="E425" s="6" t="s">
        <v>63</v>
      </c>
      <c r="F425" s="6" t="s">
        <v>59</v>
      </c>
      <c r="G425" s="6" t="s">
        <v>1289</v>
      </c>
      <c r="H425" s="6" t="s">
        <v>1320</v>
      </c>
      <c r="I425" s="6">
        <v>3145</v>
      </c>
      <c r="J425" s="6" t="s">
        <v>1267</v>
      </c>
      <c r="K425" s="6" t="s">
        <v>1286</v>
      </c>
    </row>
    <row r="426" spans="1:11" x14ac:dyDescent="0.25">
      <c r="A426" s="5" t="s">
        <v>469</v>
      </c>
      <c r="B426" s="5" t="s">
        <v>1704</v>
      </c>
      <c r="C426" s="5" t="s">
        <v>48</v>
      </c>
      <c r="D426" s="5" t="s">
        <v>36</v>
      </c>
      <c r="E426" s="5" t="s">
        <v>1587</v>
      </c>
      <c r="F426" s="5" t="s">
        <v>21</v>
      </c>
      <c r="G426" s="5" t="s">
        <v>1307</v>
      </c>
      <c r="H426" s="5" t="s">
        <v>1261</v>
      </c>
      <c r="I426" s="5">
        <v>6165</v>
      </c>
      <c r="J426" s="5" t="s">
        <v>22</v>
      </c>
      <c r="K426" s="5" t="s">
        <v>1286</v>
      </c>
    </row>
    <row r="427" spans="1:11" x14ac:dyDescent="0.25">
      <c r="A427" s="6" t="s">
        <v>470</v>
      </c>
      <c r="B427" s="6" t="s">
        <v>1705</v>
      </c>
      <c r="C427" s="6" t="s">
        <v>1264</v>
      </c>
      <c r="D427" s="6" t="s">
        <v>1275</v>
      </c>
      <c r="E427" s="6" t="s">
        <v>55</v>
      </c>
      <c r="F427" s="6" t="s">
        <v>34</v>
      </c>
      <c r="G427" s="6" t="s">
        <v>1256</v>
      </c>
      <c r="H427" s="6" t="s">
        <v>1278</v>
      </c>
      <c r="I427" s="6">
        <v>24692</v>
      </c>
      <c r="J427" s="6" t="s">
        <v>16</v>
      </c>
      <c r="K427" s="6" t="s">
        <v>17</v>
      </c>
    </row>
    <row r="428" spans="1:11" x14ac:dyDescent="0.25">
      <c r="A428" s="5" t="s">
        <v>471</v>
      </c>
      <c r="B428" s="5" t="s">
        <v>1513</v>
      </c>
      <c r="C428" s="5" t="s">
        <v>62</v>
      </c>
      <c r="D428" s="5" t="s">
        <v>1296</v>
      </c>
      <c r="E428" s="5" t="s">
        <v>37</v>
      </c>
      <c r="F428" s="5" t="s">
        <v>38</v>
      </c>
      <c r="G428" s="5" t="s">
        <v>1280</v>
      </c>
      <c r="H428" s="5" t="s">
        <v>1367</v>
      </c>
      <c r="I428" s="5">
        <v>34585</v>
      </c>
      <c r="J428" s="5" t="s">
        <v>22</v>
      </c>
      <c r="K428" s="5" t="s">
        <v>1273</v>
      </c>
    </row>
    <row r="429" spans="1:11" x14ac:dyDescent="0.25">
      <c r="A429" s="6" t="s">
        <v>472</v>
      </c>
      <c r="B429" s="6" t="s">
        <v>1360</v>
      </c>
      <c r="C429" s="6" t="s">
        <v>62</v>
      </c>
      <c r="D429" s="6" t="s">
        <v>36</v>
      </c>
      <c r="E429" s="6" t="s">
        <v>55</v>
      </c>
      <c r="F429" s="6" t="s">
        <v>34</v>
      </c>
      <c r="G429" s="6" t="s">
        <v>1331</v>
      </c>
      <c r="H429" s="6" t="s">
        <v>1299</v>
      </c>
      <c r="I429" s="6">
        <v>27684</v>
      </c>
      <c r="J429" s="6" t="s">
        <v>45</v>
      </c>
      <c r="K429" s="6" t="s">
        <v>17</v>
      </c>
    </row>
    <row r="430" spans="1:11" x14ac:dyDescent="0.25">
      <c r="A430" s="5" t="s">
        <v>473</v>
      </c>
      <c r="B430" s="5" t="s">
        <v>1706</v>
      </c>
      <c r="C430" s="5" t="s">
        <v>1264</v>
      </c>
      <c r="D430" s="5" t="s">
        <v>36</v>
      </c>
      <c r="E430" s="5" t="s">
        <v>14</v>
      </c>
      <c r="F430" s="5" t="s">
        <v>15</v>
      </c>
      <c r="G430" s="5" t="s">
        <v>1331</v>
      </c>
      <c r="H430" s="5" t="s">
        <v>1257</v>
      </c>
      <c r="I430" s="5">
        <v>9952</v>
      </c>
      <c r="J430" s="5" t="s">
        <v>45</v>
      </c>
      <c r="K430" s="5" t="s">
        <v>46</v>
      </c>
    </row>
    <row r="431" spans="1:11" x14ac:dyDescent="0.25">
      <c r="A431" s="6" t="s">
        <v>474</v>
      </c>
      <c r="B431" s="6" t="s">
        <v>1707</v>
      </c>
      <c r="C431" s="6" t="s">
        <v>1269</v>
      </c>
      <c r="D431" s="6" t="s">
        <v>1255</v>
      </c>
      <c r="E431" s="6" t="s">
        <v>1524</v>
      </c>
      <c r="F431" s="6" t="s">
        <v>15</v>
      </c>
      <c r="G431" s="6" t="s">
        <v>1405</v>
      </c>
      <c r="H431" s="6" t="s">
        <v>1257</v>
      </c>
      <c r="I431" s="6">
        <v>8244</v>
      </c>
      <c r="J431" s="6" t="s">
        <v>16</v>
      </c>
      <c r="K431" s="6" t="s">
        <v>1273</v>
      </c>
    </row>
    <row r="432" spans="1:11" x14ac:dyDescent="0.25">
      <c r="A432" s="5" t="s">
        <v>475</v>
      </c>
      <c r="B432" s="5" t="s">
        <v>1316</v>
      </c>
      <c r="C432" s="5" t="s">
        <v>73</v>
      </c>
      <c r="D432" s="5" t="s">
        <v>26</v>
      </c>
      <c r="E432" s="5" t="s">
        <v>27</v>
      </c>
      <c r="F432" s="5" t="s">
        <v>28</v>
      </c>
      <c r="G432" s="5" t="s">
        <v>1271</v>
      </c>
      <c r="H432" s="5" t="s">
        <v>1266</v>
      </c>
      <c r="I432" s="5">
        <v>10167</v>
      </c>
      <c r="J432" s="5" t="s">
        <v>1267</v>
      </c>
      <c r="K432" s="5" t="s">
        <v>46</v>
      </c>
    </row>
    <row r="433" spans="1:11" x14ac:dyDescent="0.25">
      <c r="A433" s="6" t="s">
        <v>476</v>
      </c>
      <c r="B433" s="6" t="s">
        <v>1708</v>
      </c>
      <c r="C433" s="6" t="s">
        <v>48</v>
      </c>
      <c r="D433" s="6" t="s">
        <v>1296</v>
      </c>
      <c r="E433" s="6" t="s">
        <v>63</v>
      </c>
      <c r="F433" s="6" t="s">
        <v>59</v>
      </c>
      <c r="G433" s="6" t="s">
        <v>1408</v>
      </c>
      <c r="H433" s="6" t="s">
        <v>1320</v>
      </c>
      <c r="I433" s="6">
        <v>2791</v>
      </c>
      <c r="J433" s="6" t="s">
        <v>1267</v>
      </c>
      <c r="K433" s="6" t="s">
        <v>46</v>
      </c>
    </row>
    <row r="434" spans="1:11" x14ac:dyDescent="0.25">
      <c r="A434" s="5" t="s">
        <v>477</v>
      </c>
      <c r="B434" s="5" t="s">
        <v>1709</v>
      </c>
      <c r="C434" s="5" t="s">
        <v>1254</v>
      </c>
      <c r="D434" s="5" t="s">
        <v>1255</v>
      </c>
      <c r="E434" s="5" t="s">
        <v>41</v>
      </c>
      <c r="F434" s="5" t="s">
        <v>42</v>
      </c>
      <c r="G434" s="5" t="s">
        <v>1303</v>
      </c>
      <c r="H434" s="5" t="s">
        <v>1325</v>
      </c>
      <c r="I434" s="5">
        <v>18789</v>
      </c>
      <c r="J434" s="5" t="s">
        <v>22</v>
      </c>
      <c r="K434" s="5" t="s">
        <v>46</v>
      </c>
    </row>
    <row r="435" spans="1:11" x14ac:dyDescent="0.25">
      <c r="A435" s="6" t="s">
        <v>478</v>
      </c>
      <c r="B435" s="6" t="s">
        <v>1710</v>
      </c>
      <c r="C435" s="6" t="s">
        <v>1254</v>
      </c>
      <c r="D435" s="6" t="s">
        <v>1296</v>
      </c>
      <c r="E435" s="6" t="s">
        <v>14</v>
      </c>
      <c r="F435" s="6" t="s">
        <v>15</v>
      </c>
      <c r="G435" s="6" t="s">
        <v>1313</v>
      </c>
      <c r="H435" s="6" t="s">
        <v>1347</v>
      </c>
      <c r="I435" s="6">
        <v>9147</v>
      </c>
      <c r="J435" s="6" t="s">
        <v>16</v>
      </c>
      <c r="K435" s="6" t="s">
        <v>1286</v>
      </c>
    </row>
    <row r="436" spans="1:11" x14ac:dyDescent="0.25">
      <c r="A436" s="5" t="s">
        <v>479</v>
      </c>
      <c r="B436" s="5" t="s">
        <v>1486</v>
      </c>
      <c r="C436" s="5" t="s">
        <v>62</v>
      </c>
      <c r="D436" s="5" t="s">
        <v>26</v>
      </c>
      <c r="E436" s="5" t="s">
        <v>1389</v>
      </c>
      <c r="F436" s="5" t="s">
        <v>34</v>
      </c>
      <c r="G436" s="5" t="s">
        <v>1265</v>
      </c>
      <c r="H436" s="5" t="s">
        <v>1278</v>
      </c>
      <c r="I436" s="5">
        <v>21106</v>
      </c>
      <c r="J436" s="5" t="s">
        <v>16</v>
      </c>
      <c r="K436" s="5" t="s">
        <v>1286</v>
      </c>
    </row>
    <row r="437" spans="1:11" x14ac:dyDescent="0.25">
      <c r="A437" s="6" t="s">
        <v>480</v>
      </c>
      <c r="B437" s="6" t="s">
        <v>1711</v>
      </c>
      <c r="C437" s="6" t="s">
        <v>53</v>
      </c>
      <c r="D437" s="6" t="s">
        <v>26</v>
      </c>
      <c r="E437" s="6" t="s">
        <v>14</v>
      </c>
      <c r="F437" s="6" t="s">
        <v>15</v>
      </c>
      <c r="G437" s="6" t="s">
        <v>1380</v>
      </c>
      <c r="H437" s="6" t="s">
        <v>1272</v>
      </c>
      <c r="I437" s="6">
        <v>7998</v>
      </c>
      <c r="J437" s="6" t="s">
        <v>29</v>
      </c>
      <c r="K437" s="6" t="s">
        <v>1286</v>
      </c>
    </row>
    <row r="438" spans="1:11" x14ac:dyDescent="0.25">
      <c r="A438" s="5" t="s">
        <v>481</v>
      </c>
      <c r="B438" s="5" t="s">
        <v>1429</v>
      </c>
      <c r="C438" s="5" t="s">
        <v>62</v>
      </c>
      <c r="D438" s="5" t="s">
        <v>1275</v>
      </c>
      <c r="E438" s="5" t="s">
        <v>14</v>
      </c>
      <c r="F438" s="5" t="s">
        <v>15</v>
      </c>
      <c r="G438" s="5" t="s">
        <v>1405</v>
      </c>
      <c r="H438" s="5" t="s">
        <v>1257</v>
      </c>
      <c r="I438" s="5">
        <v>8684</v>
      </c>
      <c r="J438" s="5" t="s">
        <v>45</v>
      </c>
      <c r="K438" s="5" t="s">
        <v>1286</v>
      </c>
    </row>
    <row r="439" spans="1:11" x14ac:dyDescent="0.25">
      <c r="A439" s="6" t="s">
        <v>482</v>
      </c>
      <c r="B439" s="6" t="s">
        <v>1712</v>
      </c>
      <c r="C439" s="6" t="s">
        <v>1288</v>
      </c>
      <c r="D439" s="6" t="s">
        <v>26</v>
      </c>
      <c r="E439" s="6" t="s">
        <v>41</v>
      </c>
      <c r="F439" s="6" t="s">
        <v>42</v>
      </c>
      <c r="G439" s="6" t="s">
        <v>1280</v>
      </c>
      <c r="H439" s="6" t="s">
        <v>1325</v>
      </c>
      <c r="I439" s="6">
        <v>17996</v>
      </c>
      <c r="J439" s="6" t="s">
        <v>29</v>
      </c>
      <c r="K439" s="6" t="s">
        <v>17</v>
      </c>
    </row>
    <row r="440" spans="1:11" x14ac:dyDescent="0.25">
      <c r="A440" s="5" t="s">
        <v>483</v>
      </c>
      <c r="B440" s="5" t="s">
        <v>1557</v>
      </c>
      <c r="C440" s="5" t="s">
        <v>1259</v>
      </c>
      <c r="D440" s="5" t="s">
        <v>1275</v>
      </c>
      <c r="E440" s="5" t="s">
        <v>41</v>
      </c>
      <c r="F440" s="5" t="s">
        <v>42</v>
      </c>
      <c r="G440" s="5" t="s">
        <v>1260</v>
      </c>
      <c r="H440" s="5" t="s">
        <v>1325</v>
      </c>
      <c r="I440" s="5">
        <v>19386</v>
      </c>
      <c r="J440" s="5" t="s">
        <v>45</v>
      </c>
      <c r="K440" s="5" t="s">
        <v>1286</v>
      </c>
    </row>
    <row r="441" spans="1:11" x14ac:dyDescent="0.25">
      <c r="A441" s="6" t="s">
        <v>484</v>
      </c>
      <c r="B441" s="6" t="s">
        <v>1713</v>
      </c>
      <c r="C441" s="6" t="s">
        <v>1259</v>
      </c>
      <c r="D441" s="6" t="s">
        <v>1270</v>
      </c>
      <c r="E441" s="6" t="s">
        <v>1636</v>
      </c>
      <c r="F441" s="6" t="s">
        <v>50</v>
      </c>
      <c r="G441" s="6" t="s">
        <v>1576</v>
      </c>
      <c r="H441" s="6" t="s">
        <v>1359</v>
      </c>
      <c r="I441" s="6">
        <v>51192</v>
      </c>
      <c r="J441" s="6" t="s">
        <v>45</v>
      </c>
      <c r="K441" s="6" t="s">
        <v>1286</v>
      </c>
    </row>
    <row r="442" spans="1:11" x14ac:dyDescent="0.25">
      <c r="A442" s="5" t="s">
        <v>485</v>
      </c>
      <c r="B442" s="5" t="s">
        <v>1714</v>
      </c>
      <c r="C442" s="5" t="s">
        <v>1259</v>
      </c>
      <c r="D442" s="5" t="s">
        <v>1275</v>
      </c>
      <c r="E442" s="5" t="s">
        <v>20</v>
      </c>
      <c r="F442" s="5" t="s">
        <v>21</v>
      </c>
      <c r="G442" s="5" t="s">
        <v>1313</v>
      </c>
      <c r="H442" s="5" t="s">
        <v>1454</v>
      </c>
      <c r="I442" s="5">
        <v>5716</v>
      </c>
      <c r="J442" s="5" t="s">
        <v>16</v>
      </c>
      <c r="K442" s="5" t="s">
        <v>17</v>
      </c>
    </row>
    <row r="443" spans="1:11" x14ac:dyDescent="0.25">
      <c r="A443" s="6" t="s">
        <v>486</v>
      </c>
      <c r="B443" s="6" t="s">
        <v>1715</v>
      </c>
      <c r="C443" s="6" t="s">
        <v>1254</v>
      </c>
      <c r="D443" s="6" t="s">
        <v>26</v>
      </c>
      <c r="E443" s="6" t="s">
        <v>49</v>
      </c>
      <c r="F443" s="6" t="s">
        <v>50</v>
      </c>
      <c r="G443" s="6" t="s">
        <v>1307</v>
      </c>
      <c r="H443" s="6" t="s">
        <v>1291</v>
      </c>
      <c r="I443" s="6">
        <v>48887</v>
      </c>
      <c r="J443" s="6" t="s">
        <v>1267</v>
      </c>
      <c r="K443" s="6" t="s">
        <v>1262</v>
      </c>
    </row>
    <row r="444" spans="1:11" x14ac:dyDescent="0.25">
      <c r="A444" s="5" t="s">
        <v>487</v>
      </c>
      <c r="B444" s="5" t="s">
        <v>1368</v>
      </c>
      <c r="C444" s="5" t="s">
        <v>73</v>
      </c>
      <c r="D444" s="5" t="s">
        <v>1270</v>
      </c>
      <c r="E444" s="5" t="s">
        <v>27</v>
      </c>
      <c r="F444" s="5" t="s">
        <v>28</v>
      </c>
      <c r="G444" s="5" t="s">
        <v>1307</v>
      </c>
      <c r="H444" s="5" t="s">
        <v>1266</v>
      </c>
      <c r="I444" s="5">
        <v>10338</v>
      </c>
      <c r="J444" s="5" t="s">
        <v>1267</v>
      </c>
      <c r="K444" s="5" t="s">
        <v>1286</v>
      </c>
    </row>
    <row r="445" spans="1:11" x14ac:dyDescent="0.25">
      <c r="A445" s="6" t="s">
        <v>488</v>
      </c>
      <c r="B445" s="6" t="s">
        <v>1716</v>
      </c>
      <c r="C445" s="6" t="s">
        <v>1288</v>
      </c>
      <c r="D445" s="6" t="s">
        <v>26</v>
      </c>
      <c r="E445" s="6" t="s">
        <v>55</v>
      </c>
      <c r="F445" s="6" t="s">
        <v>34</v>
      </c>
      <c r="G445" s="6" t="s">
        <v>1297</v>
      </c>
      <c r="H445" s="6" t="s">
        <v>1299</v>
      </c>
      <c r="I445" s="6">
        <v>26625</v>
      </c>
      <c r="J445" s="6" t="s">
        <v>45</v>
      </c>
      <c r="K445" s="6" t="s">
        <v>1273</v>
      </c>
    </row>
    <row r="446" spans="1:11" x14ac:dyDescent="0.25">
      <c r="A446" s="5" t="s">
        <v>489</v>
      </c>
      <c r="B446" s="5" t="s">
        <v>1717</v>
      </c>
      <c r="C446" s="5" t="s">
        <v>1288</v>
      </c>
      <c r="D446" s="5" t="s">
        <v>1296</v>
      </c>
      <c r="E446" s="5" t="s">
        <v>1524</v>
      </c>
      <c r="F446" s="5" t="s">
        <v>15</v>
      </c>
      <c r="G446" s="5" t="s">
        <v>1256</v>
      </c>
      <c r="H446" s="5" t="s">
        <v>1257</v>
      </c>
      <c r="I446" s="5">
        <v>8754</v>
      </c>
      <c r="J446" s="5" t="s">
        <v>29</v>
      </c>
      <c r="K446" s="5" t="s">
        <v>1273</v>
      </c>
    </row>
    <row r="447" spans="1:11" x14ac:dyDescent="0.25">
      <c r="A447" s="6" t="s">
        <v>490</v>
      </c>
      <c r="B447" s="6" t="s">
        <v>1546</v>
      </c>
      <c r="C447" s="6" t="s">
        <v>1264</v>
      </c>
      <c r="D447" s="6" t="s">
        <v>1283</v>
      </c>
      <c r="E447" s="6" t="s">
        <v>14</v>
      </c>
      <c r="F447" s="6" t="s">
        <v>15</v>
      </c>
      <c r="G447" s="6" t="s">
        <v>1315</v>
      </c>
      <c r="H447" s="6" t="s">
        <v>1257</v>
      </c>
      <c r="I447" s="6">
        <v>8252</v>
      </c>
      <c r="J447" s="6" t="s">
        <v>22</v>
      </c>
      <c r="K447" s="6" t="s">
        <v>1262</v>
      </c>
    </row>
    <row r="448" spans="1:11" x14ac:dyDescent="0.25">
      <c r="A448" s="5" t="s">
        <v>491</v>
      </c>
      <c r="B448" s="5" t="s">
        <v>1718</v>
      </c>
      <c r="C448" s="5" t="s">
        <v>62</v>
      </c>
      <c r="D448" s="5" t="s">
        <v>1296</v>
      </c>
      <c r="E448" s="5" t="s">
        <v>27</v>
      </c>
      <c r="F448" s="5" t="s">
        <v>28</v>
      </c>
      <c r="G448" s="5" t="s">
        <v>1337</v>
      </c>
      <c r="H448" s="5" t="s">
        <v>1266</v>
      </c>
      <c r="I448" s="5">
        <v>8817</v>
      </c>
      <c r="J448" s="5" t="s">
        <v>16</v>
      </c>
      <c r="K448" s="5" t="s">
        <v>1286</v>
      </c>
    </row>
    <row r="449" spans="1:11" x14ac:dyDescent="0.25">
      <c r="A449" s="6" t="s">
        <v>492</v>
      </c>
      <c r="B449" s="6" t="s">
        <v>1719</v>
      </c>
      <c r="C449" s="6" t="s">
        <v>73</v>
      </c>
      <c r="D449" s="6" t="s">
        <v>1283</v>
      </c>
      <c r="E449" s="6" t="s">
        <v>49</v>
      </c>
      <c r="F449" s="6" t="s">
        <v>50</v>
      </c>
      <c r="G449" s="6" t="s">
        <v>1560</v>
      </c>
      <c r="H449" s="6" t="s">
        <v>1359</v>
      </c>
      <c r="I449" s="6">
        <v>49830</v>
      </c>
      <c r="J449" s="6" t="s">
        <v>22</v>
      </c>
      <c r="K449" s="6" t="s">
        <v>1262</v>
      </c>
    </row>
    <row r="450" spans="1:11" x14ac:dyDescent="0.25">
      <c r="A450" s="5" t="s">
        <v>493</v>
      </c>
      <c r="B450" s="5" t="s">
        <v>1714</v>
      </c>
      <c r="C450" s="5" t="s">
        <v>62</v>
      </c>
      <c r="D450" s="5" t="s">
        <v>26</v>
      </c>
      <c r="E450" s="5" t="s">
        <v>66</v>
      </c>
      <c r="F450" s="5" t="s">
        <v>67</v>
      </c>
      <c r="G450" s="5" t="s">
        <v>1331</v>
      </c>
      <c r="H450" s="5" t="s">
        <v>1317</v>
      </c>
      <c r="I450" s="5">
        <v>1625</v>
      </c>
      <c r="J450" s="5" t="s">
        <v>45</v>
      </c>
      <c r="K450" s="5" t="s">
        <v>1286</v>
      </c>
    </row>
    <row r="451" spans="1:11" x14ac:dyDescent="0.25">
      <c r="A451" s="6" t="s">
        <v>494</v>
      </c>
      <c r="B451" s="6" t="s">
        <v>1720</v>
      </c>
      <c r="C451" s="6" t="s">
        <v>1288</v>
      </c>
      <c r="D451" s="6" t="s">
        <v>1283</v>
      </c>
      <c r="E451" s="6" t="s">
        <v>1529</v>
      </c>
      <c r="F451" s="6" t="s">
        <v>67</v>
      </c>
      <c r="G451" s="6" t="s">
        <v>1313</v>
      </c>
      <c r="H451" s="6" t="s">
        <v>1317</v>
      </c>
      <c r="I451" s="6">
        <v>1530</v>
      </c>
      <c r="J451" s="6" t="s">
        <v>45</v>
      </c>
      <c r="K451" s="6"/>
    </row>
    <row r="452" spans="1:11" x14ac:dyDescent="0.25">
      <c r="A452" s="5" t="s">
        <v>495</v>
      </c>
      <c r="B452" s="5" t="s">
        <v>1721</v>
      </c>
      <c r="C452" s="5" t="s">
        <v>53</v>
      </c>
      <c r="D452" s="5" t="s">
        <v>1275</v>
      </c>
      <c r="E452" s="5" t="s">
        <v>14</v>
      </c>
      <c r="F452" s="5" t="s">
        <v>15</v>
      </c>
      <c r="G452" s="5" t="s">
        <v>1337</v>
      </c>
      <c r="H452" s="5" t="s">
        <v>1257</v>
      </c>
      <c r="I452" s="5">
        <v>7515</v>
      </c>
      <c r="J452" s="5" t="s">
        <v>1267</v>
      </c>
      <c r="K452" s="5" t="s">
        <v>1286</v>
      </c>
    </row>
    <row r="453" spans="1:11" x14ac:dyDescent="0.25">
      <c r="A453" s="6" t="s">
        <v>496</v>
      </c>
      <c r="B453" s="6" t="s">
        <v>1722</v>
      </c>
      <c r="C453" s="6" t="s">
        <v>1264</v>
      </c>
      <c r="D453" s="6" t="s">
        <v>36</v>
      </c>
      <c r="E453" s="6" t="s">
        <v>27</v>
      </c>
      <c r="F453" s="6" t="s">
        <v>28</v>
      </c>
      <c r="G453" s="6" t="s">
        <v>1303</v>
      </c>
      <c r="H453" s="6" t="s">
        <v>1458</v>
      </c>
      <c r="I453" s="6">
        <v>10699</v>
      </c>
      <c r="J453" s="6" t="s">
        <v>1267</v>
      </c>
      <c r="K453" s="6" t="s">
        <v>17</v>
      </c>
    </row>
    <row r="454" spans="1:11" x14ac:dyDescent="0.25">
      <c r="A454" s="5" t="s">
        <v>497</v>
      </c>
      <c r="B454" s="5" t="s">
        <v>1434</v>
      </c>
      <c r="C454" s="5" t="s">
        <v>53</v>
      </c>
      <c r="D454" s="5" t="s">
        <v>1275</v>
      </c>
      <c r="E454" s="5" t="s">
        <v>37</v>
      </c>
      <c r="F454" s="5" t="s">
        <v>38</v>
      </c>
      <c r="G454" s="5" t="s">
        <v>1271</v>
      </c>
      <c r="H454" s="5" t="s">
        <v>1281</v>
      </c>
      <c r="I454" s="5">
        <v>34737</v>
      </c>
      <c r="J454" s="5" t="s">
        <v>1267</v>
      </c>
      <c r="K454" s="5" t="s">
        <v>1286</v>
      </c>
    </row>
    <row r="455" spans="1:11" x14ac:dyDescent="0.25">
      <c r="A455" s="6" t="s">
        <v>498</v>
      </c>
      <c r="B455" s="6" t="s">
        <v>1723</v>
      </c>
      <c r="C455" s="6" t="s">
        <v>1264</v>
      </c>
      <c r="D455" s="6" t="s">
        <v>1275</v>
      </c>
      <c r="E455" s="6" t="s">
        <v>41</v>
      </c>
      <c r="F455" s="6" t="s">
        <v>42</v>
      </c>
      <c r="G455" s="6" t="s">
        <v>1331</v>
      </c>
      <c r="H455" s="6" t="s">
        <v>1325</v>
      </c>
      <c r="I455" s="6">
        <v>21947</v>
      </c>
      <c r="J455" s="6" t="s">
        <v>16</v>
      </c>
      <c r="K455" s="6" t="s">
        <v>1262</v>
      </c>
    </row>
    <row r="456" spans="1:11" x14ac:dyDescent="0.25">
      <c r="A456" s="5" t="s">
        <v>499</v>
      </c>
      <c r="B456" s="5" t="s">
        <v>1724</v>
      </c>
      <c r="C456" s="5" t="s">
        <v>1254</v>
      </c>
      <c r="D456" s="5"/>
      <c r="E456" s="5" t="s">
        <v>1374</v>
      </c>
      <c r="F456" s="5" t="s">
        <v>50</v>
      </c>
      <c r="G456" s="5" t="s">
        <v>1265</v>
      </c>
      <c r="H456" s="5" t="s">
        <v>1304</v>
      </c>
      <c r="I456" s="5">
        <v>48400</v>
      </c>
      <c r="J456" s="5" t="s">
        <v>29</v>
      </c>
      <c r="K456" s="5" t="s">
        <v>46</v>
      </c>
    </row>
    <row r="457" spans="1:11" x14ac:dyDescent="0.25">
      <c r="A457" s="6" t="s">
        <v>500</v>
      </c>
      <c r="B457" s="6" t="s">
        <v>1725</v>
      </c>
      <c r="C457" s="6" t="s">
        <v>1269</v>
      </c>
      <c r="D457" s="6" t="s">
        <v>1275</v>
      </c>
      <c r="E457" s="6" t="s">
        <v>37</v>
      </c>
      <c r="F457" s="6" t="s">
        <v>38</v>
      </c>
      <c r="G457" s="6" t="s">
        <v>1376</v>
      </c>
      <c r="H457" s="6" t="s">
        <v>1342</v>
      </c>
      <c r="I457" s="6">
        <v>38533</v>
      </c>
      <c r="J457" s="6" t="s">
        <v>45</v>
      </c>
      <c r="K457" s="6" t="s">
        <v>1273</v>
      </c>
    </row>
    <row r="458" spans="1:11" x14ac:dyDescent="0.25">
      <c r="A458" s="5" t="s">
        <v>501</v>
      </c>
      <c r="B458" s="5" t="s">
        <v>1410</v>
      </c>
      <c r="C458" s="5" t="s">
        <v>1269</v>
      </c>
      <c r="D458" s="5" t="s">
        <v>1296</v>
      </c>
      <c r="E458" s="5" t="s">
        <v>20</v>
      </c>
      <c r="F458" s="5" t="s">
        <v>21</v>
      </c>
      <c r="G458" s="5" t="s">
        <v>1313</v>
      </c>
      <c r="H458" s="5" t="s">
        <v>1261</v>
      </c>
      <c r="I458" s="5">
        <v>6029</v>
      </c>
      <c r="J458" s="5" t="s">
        <v>45</v>
      </c>
      <c r="K458" s="5" t="s">
        <v>1262</v>
      </c>
    </row>
    <row r="459" spans="1:11" x14ac:dyDescent="0.25">
      <c r="A459" s="6" t="s">
        <v>502</v>
      </c>
      <c r="B459" s="6" t="s">
        <v>1726</v>
      </c>
      <c r="C459" s="6" t="s">
        <v>48</v>
      </c>
      <c r="D459" s="6" t="s">
        <v>1275</v>
      </c>
      <c r="E459" s="6" t="s">
        <v>66</v>
      </c>
      <c r="F459" s="6" t="s">
        <v>67</v>
      </c>
      <c r="G459" s="6" t="s">
        <v>1303</v>
      </c>
      <c r="H459" s="6" t="s">
        <v>1317</v>
      </c>
      <c r="I459" s="6">
        <v>1820</v>
      </c>
      <c r="J459" s="6" t="s">
        <v>29</v>
      </c>
      <c r="K459" s="6" t="s">
        <v>1286</v>
      </c>
    </row>
    <row r="460" spans="1:11" x14ac:dyDescent="0.25">
      <c r="A460" s="5" t="s">
        <v>503</v>
      </c>
      <c r="B460" s="5" t="s">
        <v>1545</v>
      </c>
      <c r="C460" s="5" t="s">
        <v>1259</v>
      </c>
      <c r="D460" s="5" t="s">
        <v>1270</v>
      </c>
      <c r="E460" s="5" t="s">
        <v>41</v>
      </c>
      <c r="F460" s="5" t="s">
        <v>42</v>
      </c>
      <c r="G460" s="5" t="s">
        <v>1337</v>
      </c>
      <c r="H460" s="5" t="s">
        <v>1325</v>
      </c>
      <c r="I460" s="5">
        <v>18299</v>
      </c>
      <c r="J460" s="5" t="s">
        <v>45</v>
      </c>
      <c r="K460" s="5" t="s">
        <v>17</v>
      </c>
    </row>
    <row r="461" spans="1:11" x14ac:dyDescent="0.25">
      <c r="A461" s="6" t="s">
        <v>504</v>
      </c>
      <c r="B461" s="6" t="s">
        <v>1727</v>
      </c>
      <c r="C461" s="6" t="s">
        <v>1269</v>
      </c>
      <c r="D461" s="6" t="s">
        <v>26</v>
      </c>
      <c r="E461" s="6" t="s">
        <v>1461</v>
      </c>
      <c r="F461" s="6" t="s">
        <v>15</v>
      </c>
      <c r="G461" s="6" t="s">
        <v>1380</v>
      </c>
      <c r="H461" s="6" t="s">
        <v>1272</v>
      </c>
      <c r="I461" s="6">
        <v>8009</v>
      </c>
      <c r="J461" s="6" t="s">
        <v>45</v>
      </c>
      <c r="K461" s="6" t="s">
        <v>1273</v>
      </c>
    </row>
    <row r="462" spans="1:11" x14ac:dyDescent="0.25">
      <c r="A462" s="5" t="s">
        <v>505</v>
      </c>
      <c r="B462" s="5" t="s">
        <v>1728</v>
      </c>
      <c r="C462" s="5" t="s">
        <v>1264</v>
      </c>
      <c r="D462" s="5" t="s">
        <v>1296</v>
      </c>
      <c r="E462" s="5" t="s">
        <v>41</v>
      </c>
      <c r="F462" s="5" t="s">
        <v>42</v>
      </c>
      <c r="G462" s="5" t="s">
        <v>1313</v>
      </c>
      <c r="H462" s="5" t="s">
        <v>1325</v>
      </c>
      <c r="I462" s="5">
        <v>17786</v>
      </c>
      <c r="J462" s="5" t="s">
        <v>1267</v>
      </c>
      <c r="K462" s="5" t="s">
        <v>1273</v>
      </c>
    </row>
    <row r="463" spans="1:11" x14ac:dyDescent="0.25">
      <c r="A463" s="6" t="s">
        <v>506</v>
      </c>
      <c r="B463" s="6" t="s">
        <v>1729</v>
      </c>
      <c r="C463" s="6" t="s">
        <v>1288</v>
      </c>
      <c r="D463" s="6" t="s">
        <v>1275</v>
      </c>
      <c r="E463" s="6" t="s">
        <v>55</v>
      </c>
      <c r="F463" s="6" t="s">
        <v>34</v>
      </c>
      <c r="G463" s="6" t="s">
        <v>1405</v>
      </c>
      <c r="H463" s="6" t="s">
        <v>1395</v>
      </c>
      <c r="I463" s="6">
        <v>25232</v>
      </c>
      <c r="J463" s="6" t="s">
        <v>45</v>
      </c>
      <c r="K463" s="6" t="s">
        <v>1273</v>
      </c>
    </row>
    <row r="464" spans="1:11" x14ac:dyDescent="0.25">
      <c r="A464" s="5" t="s">
        <v>507</v>
      </c>
      <c r="B464" s="5" t="s">
        <v>1378</v>
      </c>
      <c r="C464" s="5" t="s">
        <v>73</v>
      </c>
      <c r="D464" s="5" t="s">
        <v>26</v>
      </c>
      <c r="E464" s="5" t="s">
        <v>49</v>
      </c>
      <c r="F464" s="5" t="s">
        <v>50</v>
      </c>
      <c r="G464" s="5" t="s">
        <v>1271</v>
      </c>
      <c r="H464" s="5" t="s">
        <v>1291</v>
      </c>
      <c r="I464" s="5">
        <v>47531</v>
      </c>
      <c r="J464" s="5" t="s">
        <v>1267</v>
      </c>
      <c r="K464" s="5" t="s">
        <v>1262</v>
      </c>
    </row>
    <row r="465" spans="1:11" x14ac:dyDescent="0.25">
      <c r="A465" s="6" t="s">
        <v>508</v>
      </c>
      <c r="B465" s="6" t="s">
        <v>1434</v>
      </c>
      <c r="C465" s="6" t="s">
        <v>1288</v>
      </c>
      <c r="D465" s="6" t="s">
        <v>26</v>
      </c>
      <c r="E465" s="6" t="s">
        <v>20</v>
      </c>
      <c r="F465" s="6" t="s">
        <v>21</v>
      </c>
      <c r="G465" s="6" t="s">
        <v>1408</v>
      </c>
      <c r="H465" s="6" t="s">
        <v>1377</v>
      </c>
      <c r="I465" s="6">
        <v>6497</v>
      </c>
      <c r="J465" s="6" t="s">
        <v>29</v>
      </c>
      <c r="K465" s="6" t="s">
        <v>1262</v>
      </c>
    </row>
    <row r="466" spans="1:11" x14ac:dyDescent="0.25">
      <c r="A466" s="5" t="s">
        <v>509</v>
      </c>
      <c r="B466" s="5" t="s">
        <v>1518</v>
      </c>
      <c r="C466" s="5" t="s">
        <v>1254</v>
      </c>
      <c r="D466" s="5" t="s">
        <v>1275</v>
      </c>
      <c r="E466" s="5" t="s">
        <v>1636</v>
      </c>
      <c r="F466" s="5" t="s">
        <v>50</v>
      </c>
      <c r="G466" s="5" t="s">
        <v>1280</v>
      </c>
      <c r="H466" s="5" t="s">
        <v>1291</v>
      </c>
      <c r="I466" s="5">
        <v>52969</v>
      </c>
      <c r="J466" s="5" t="s">
        <v>1267</v>
      </c>
      <c r="K466" s="5" t="s">
        <v>1273</v>
      </c>
    </row>
    <row r="467" spans="1:11" x14ac:dyDescent="0.25">
      <c r="A467" s="6" t="s">
        <v>510</v>
      </c>
      <c r="B467" s="6" t="s">
        <v>1730</v>
      </c>
      <c r="C467" s="6" t="s">
        <v>48</v>
      </c>
      <c r="D467" s="6" t="s">
        <v>1283</v>
      </c>
      <c r="E467" s="6" t="s">
        <v>20</v>
      </c>
      <c r="F467" s="6" t="s">
        <v>21</v>
      </c>
      <c r="G467" s="6" t="s">
        <v>1331</v>
      </c>
      <c r="H467" s="6" t="s">
        <v>1261</v>
      </c>
      <c r="I467" s="6">
        <v>6458</v>
      </c>
      <c r="J467" s="6" t="s">
        <v>45</v>
      </c>
      <c r="K467" s="6" t="s">
        <v>46</v>
      </c>
    </row>
    <row r="468" spans="1:11" x14ac:dyDescent="0.25">
      <c r="A468" s="5" t="s">
        <v>511</v>
      </c>
      <c r="B468" s="5" t="s">
        <v>1470</v>
      </c>
      <c r="C468" s="5" t="s">
        <v>1288</v>
      </c>
      <c r="D468" s="5" t="s">
        <v>1270</v>
      </c>
      <c r="E468" s="5" t="s">
        <v>27</v>
      </c>
      <c r="F468" s="5" t="s">
        <v>28</v>
      </c>
      <c r="G468" s="5" t="s">
        <v>1380</v>
      </c>
      <c r="H468" s="5" t="s">
        <v>1266</v>
      </c>
      <c r="I468" s="5">
        <v>11033</v>
      </c>
      <c r="J468" s="5" t="s">
        <v>1267</v>
      </c>
      <c r="K468" s="5" t="s">
        <v>1262</v>
      </c>
    </row>
    <row r="469" spans="1:11" x14ac:dyDescent="0.25">
      <c r="A469" s="6" t="s">
        <v>512</v>
      </c>
      <c r="B469" s="6" t="s">
        <v>1731</v>
      </c>
      <c r="C469" s="6" t="s">
        <v>1288</v>
      </c>
      <c r="D469" s="6" t="s">
        <v>1275</v>
      </c>
      <c r="E469" s="6" t="s">
        <v>27</v>
      </c>
      <c r="F469" s="6" t="s">
        <v>28</v>
      </c>
      <c r="G469" s="6" t="s">
        <v>1277</v>
      </c>
      <c r="H469" s="6" t="s">
        <v>1458</v>
      </c>
      <c r="I469" s="6">
        <v>10723</v>
      </c>
      <c r="J469" s="6" t="s">
        <v>16</v>
      </c>
      <c r="K469" s="6" t="s">
        <v>1262</v>
      </c>
    </row>
    <row r="470" spans="1:11" x14ac:dyDescent="0.25">
      <c r="A470" s="5" t="s">
        <v>513</v>
      </c>
      <c r="B470" s="5" t="s">
        <v>1732</v>
      </c>
      <c r="C470" s="5" t="s">
        <v>53</v>
      </c>
      <c r="D470" s="5" t="s">
        <v>1283</v>
      </c>
      <c r="E470" s="5" t="s">
        <v>41</v>
      </c>
      <c r="F470" s="5" t="s">
        <v>42</v>
      </c>
      <c r="G470" s="5" t="s">
        <v>1256</v>
      </c>
      <c r="H470" s="5" t="s">
        <v>1285</v>
      </c>
      <c r="I470" s="5">
        <v>16881</v>
      </c>
      <c r="J470" s="5" t="s">
        <v>1267</v>
      </c>
      <c r="K470" s="5" t="s">
        <v>1286</v>
      </c>
    </row>
    <row r="471" spans="1:11" x14ac:dyDescent="0.25">
      <c r="A471" s="6" t="s">
        <v>514</v>
      </c>
      <c r="B471" s="6" t="s">
        <v>1400</v>
      </c>
      <c r="C471" s="6" t="s">
        <v>1254</v>
      </c>
      <c r="D471" s="6" t="s">
        <v>1296</v>
      </c>
      <c r="E471" s="6" t="s">
        <v>1529</v>
      </c>
      <c r="F471" s="6" t="s">
        <v>67</v>
      </c>
      <c r="G471" s="6" t="s">
        <v>1256</v>
      </c>
      <c r="H471" s="6" t="s">
        <v>1317</v>
      </c>
      <c r="I471" s="6">
        <v>1548</v>
      </c>
      <c r="J471" s="6" t="s">
        <v>16</v>
      </c>
      <c r="K471" s="6" t="s">
        <v>46</v>
      </c>
    </row>
    <row r="472" spans="1:11" x14ac:dyDescent="0.25">
      <c r="A472" s="5" t="s">
        <v>515</v>
      </c>
      <c r="B472" s="5" t="s">
        <v>1711</v>
      </c>
      <c r="C472" s="5" t="s">
        <v>1269</v>
      </c>
      <c r="D472" s="5" t="s">
        <v>1283</v>
      </c>
      <c r="E472" s="5" t="s">
        <v>63</v>
      </c>
      <c r="F472" s="5" t="s">
        <v>59</v>
      </c>
      <c r="G472" s="5" t="s">
        <v>1301</v>
      </c>
      <c r="H472" s="5" t="s">
        <v>1308</v>
      </c>
      <c r="I472" s="5">
        <v>2948</v>
      </c>
      <c r="J472" s="5" t="s">
        <v>45</v>
      </c>
      <c r="K472" s="5" t="s">
        <v>17</v>
      </c>
    </row>
    <row r="473" spans="1:11" x14ac:dyDescent="0.25">
      <c r="A473" s="6" t="s">
        <v>516</v>
      </c>
      <c r="B473" s="6" t="s">
        <v>1733</v>
      </c>
      <c r="C473" s="6" t="s">
        <v>48</v>
      </c>
      <c r="D473" s="6" t="s">
        <v>1270</v>
      </c>
      <c r="E473" s="6" t="s">
        <v>41</v>
      </c>
      <c r="F473" s="6" t="s">
        <v>42</v>
      </c>
      <c r="G473" s="6" t="s">
        <v>1734</v>
      </c>
      <c r="H473" s="6" t="s">
        <v>1311</v>
      </c>
      <c r="I473" s="6">
        <v>19082</v>
      </c>
      <c r="J473" s="6" t="s">
        <v>1267</v>
      </c>
      <c r="K473" s="6" t="s">
        <v>17</v>
      </c>
    </row>
    <row r="474" spans="1:11" x14ac:dyDescent="0.25">
      <c r="A474" s="5" t="s">
        <v>517</v>
      </c>
      <c r="B474" s="5" t="s">
        <v>1735</v>
      </c>
      <c r="C474" s="5" t="s">
        <v>48</v>
      </c>
      <c r="D474" s="5" t="s">
        <v>1270</v>
      </c>
      <c r="E474" s="5" t="s">
        <v>63</v>
      </c>
      <c r="F474" s="5" t="s">
        <v>59</v>
      </c>
      <c r="G474" s="5" t="s">
        <v>1331</v>
      </c>
      <c r="H474" s="5" t="s">
        <v>1308</v>
      </c>
      <c r="I474" s="5">
        <v>3570</v>
      </c>
      <c r="J474" s="5" t="s">
        <v>45</v>
      </c>
      <c r="K474" s="5" t="s">
        <v>46</v>
      </c>
    </row>
    <row r="475" spans="1:11" x14ac:dyDescent="0.25">
      <c r="A475" s="6" t="s">
        <v>518</v>
      </c>
      <c r="B475" s="6" t="s">
        <v>1736</v>
      </c>
      <c r="C475" s="6" t="s">
        <v>62</v>
      </c>
      <c r="D475" s="6" t="s">
        <v>1283</v>
      </c>
      <c r="E475" s="6" t="s">
        <v>49</v>
      </c>
      <c r="F475" s="6" t="s">
        <v>50</v>
      </c>
      <c r="G475" s="6" t="s">
        <v>1280</v>
      </c>
      <c r="H475" s="6" t="s">
        <v>1291</v>
      </c>
      <c r="I475" s="6">
        <v>50693</v>
      </c>
      <c r="J475" s="6" t="s">
        <v>45</v>
      </c>
      <c r="K475" s="6" t="s">
        <v>1273</v>
      </c>
    </row>
    <row r="476" spans="1:11" x14ac:dyDescent="0.25">
      <c r="A476" s="5" t="s">
        <v>519</v>
      </c>
      <c r="B476" s="5" t="s">
        <v>1689</v>
      </c>
      <c r="C476" s="5" t="s">
        <v>53</v>
      </c>
      <c r="D476" s="5" t="s">
        <v>1275</v>
      </c>
      <c r="E476" s="5" t="s">
        <v>1346</v>
      </c>
      <c r="F476" s="5" t="s">
        <v>15</v>
      </c>
      <c r="G476" s="5" t="s">
        <v>1405</v>
      </c>
      <c r="H476" s="5" t="s">
        <v>1257</v>
      </c>
      <c r="I476" s="5">
        <v>7712</v>
      </c>
      <c r="J476" s="5" t="s">
        <v>45</v>
      </c>
      <c r="K476" s="5" t="s">
        <v>1273</v>
      </c>
    </row>
    <row r="477" spans="1:11" x14ac:dyDescent="0.25">
      <c r="A477" s="6" t="s">
        <v>520</v>
      </c>
      <c r="B477" s="6" t="s">
        <v>1737</v>
      </c>
      <c r="C477" s="6" t="s">
        <v>53</v>
      </c>
      <c r="D477" s="6" t="s">
        <v>1283</v>
      </c>
      <c r="E477" s="6" t="s">
        <v>66</v>
      </c>
      <c r="F477" s="6" t="s">
        <v>67</v>
      </c>
      <c r="G477" s="6" t="s">
        <v>1331</v>
      </c>
      <c r="H477" s="6" t="s">
        <v>1335</v>
      </c>
      <c r="I477" s="6">
        <v>1607</v>
      </c>
      <c r="J477" s="6" t="s">
        <v>22</v>
      </c>
      <c r="K477" s="6" t="s">
        <v>46</v>
      </c>
    </row>
    <row r="478" spans="1:11" x14ac:dyDescent="0.25">
      <c r="A478" s="5" t="s">
        <v>521</v>
      </c>
      <c r="B478" s="5" t="s">
        <v>1738</v>
      </c>
      <c r="C478" s="5" t="s">
        <v>62</v>
      </c>
      <c r="D478" s="5" t="s">
        <v>1275</v>
      </c>
      <c r="E478" s="5" t="s">
        <v>66</v>
      </c>
      <c r="F478" s="5" t="s">
        <v>67</v>
      </c>
      <c r="G478" s="5" t="s">
        <v>1405</v>
      </c>
      <c r="H478" s="5" t="s">
        <v>1317</v>
      </c>
      <c r="I478" s="5">
        <v>1726</v>
      </c>
      <c r="J478" s="5" t="s">
        <v>22</v>
      </c>
      <c r="K478" s="5" t="s">
        <v>1262</v>
      </c>
    </row>
    <row r="479" spans="1:11" x14ac:dyDescent="0.25">
      <c r="A479" s="6" t="s">
        <v>522</v>
      </c>
      <c r="B479" s="6" t="s">
        <v>1639</v>
      </c>
      <c r="C479" s="6" t="s">
        <v>1259</v>
      </c>
      <c r="D479" s="6" t="s">
        <v>1270</v>
      </c>
      <c r="E479" s="6" t="s">
        <v>20</v>
      </c>
      <c r="F479" s="6" t="s">
        <v>21</v>
      </c>
      <c r="G479" s="6" t="s">
        <v>1260</v>
      </c>
      <c r="H479" s="6" t="s">
        <v>1261</v>
      </c>
      <c r="I479" s="6">
        <v>6792</v>
      </c>
      <c r="J479" s="6" t="s">
        <v>45</v>
      </c>
      <c r="K479" s="6" t="s">
        <v>1262</v>
      </c>
    </row>
    <row r="480" spans="1:11" x14ac:dyDescent="0.25">
      <c r="A480" s="5" t="s">
        <v>523</v>
      </c>
      <c r="B480" s="5" t="s">
        <v>1379</v>
      </c>
      <c r="C480" s="5" t="s">
        <v>73</v>
      </c>
      <c r="D480" s="5" t="s">
        <v>1283</v>
      </c>
      <c r="E480" s="5" t="s">
        <v>63</v>
      </c>
      <c r="F480" s="5" t="s">
        <v>59</v>
      </c>
      <c r="G480" s="5" t="s">
        <v>1364</v>
      </c>
      <c r="H480" s="5" t="s">
        <v>1308</v>
      </c>
      <c r="I480" s="5">
        <v>2831</v>
      </c>
      <c r="J480" s="5" t="s">
        <v>29</v>
      </c>
      <c r="K480" s="5" t="s">
        <v>46</v>
      </c>
    </row>
    <row r="481" spans="1:11" x14ac:dyDescent="0.25">
      <c r="A481" s="6" t="s">
        <v>524</v>
      </c>
      <c r="B481" s="6" t="s">
        <v>1702</v>
      </c>
      <c r="C481" s="6" t="s">
        <v>1269</v>
      </c>
      <c r="D481" s="6" t="s">
        <v>36</v>
      </c>
      <c r="E481" s="6" t="s">
        <v>1524</v>
      </c>
      <c r="F481" s="6" t="s">
        <v>15</v>
      </c>
      <c r="G481" s="6" t="s">
        <v>1517</v>
      </c>
      <c r="H481" s="6" t="s">
        <v>1272</v>
      </c>
      <c r="I481" s="6">
        <v>8871</v>
      </c>
      <c r="J481" s="6" t="s">
        <v>1267</v>
      </c>
      <c r="K481" s="6" t="s">
        <v>1262</v>
      </c>
    </row>
    <row r="482" spans="1:11" x14ac:dyDescent="0.25">
      <c r="A482" s="5" t="s">
        <v>525</v>
      </c>
      <c r="B482" s="5" t="s">
        <v>1739</v>
      </c>
      <c r="C482" s="5" t="s">
        <v>1254</v>
      </c>
      <c r="D482" s="5" t="s">
        <v>1275</v>
      </c>
      <c r="E482" s="5" t="s">
        <v>20</v>
      </c>
      <c r="F482" s="5" t="s">
        <v>21</v>
      </c>
      <c r="G482" s="5" t="s">
        <v>1364</v>
      </c>
      <c r="H482" s="5" t="s">
        <v>1261</v>
      </c>
      <c r="I482" s="5">
        <v>6550</v>
      </c>
      <c r="J482" s="5" t="s">
        <v>1267</v>
      </c>
      <c r="K482" s="5" t="s">
        <v>17</v>
      </c>
    </row>
    <row r="483" spans="1:11" x14ac:dyDescent="0.25">
      <c r="A483" s="6" t="s">
        <v>526</v>
      </c>
      <c r="B483" s="6" t="s">
        <v>1740</v>
      </c>
      <c r="C483" s="6" t="s">
        <v>1264</v>
      </c>
      <c r="D483" s="6" t="s">
        <v>1255</v>
      </c>
      <c r="E483" s="6" t="s">
        <v>37</v>
      </c>
      <c r="F483" s="6" t="s">
        <v>38</v>
      </c>
      <c r="G483" s="6" t="s">
        <v>1315</v>
      </c>
      <c r="H483" s="6" t="s">
        <v>1281</v>
      </c>
      <c r="I483" s="6">
        <v>41221</v>
      </c>
      <c r="J483" s="6" t="s">
        <v>22</v>
      </c>
      <c r="K483" s="6" t="s">
        <v>1262</v>
      </c>
    </row>
    <row r="484" spans="1:11" x14ac:dyDescent="0.25">
      <c r="A484" s="5" t="s">
        <v>527</v>
      </c>
      <c r="B484" s="5" t="s">
        <v>1741</v>
      </c>
      <c r="C484" s="5" t="s">
        <v>1288</v>
      </c>
      <c r="D484" s="5" t="s">
        <v>1296</v>
      </c>
      <c r="E484" s="5" t="s">
        <v>55</v>
      </c>
      <c r="F484" s="5" t="s">
        <v>34</v>
      </c>
      <c r="G484" s="5" t="s">
        <v>1313</v>
      </c>
      <c r="H484" s="5" t="s">
        <v>1395</v>
      </c>
      <c r="I484" s="5">
        <v>22881</v>
      </c>
      <c r="J484" s="5" t="s">
        <v>22</v>
      </c>
      <c r="K484" s="5" t="s">
        <v>1262</v>
      </c>
    </row>
    <row r="485" spans="1:11" x14ac:dyDescent="0.25">
      <c r="A485" s="6" t="s">
        <v>528</v>
      </c>
      <c r="B485" s="6" t="s">
        <v>1742</v>
      </c>
      <c r="C485" s="6" t="s">
        <v>53</v>
      </c>
      <c r="D485" s="6" t="s">
        <v>1270</v>
      </c>
      <c r="E485" s="6" t="s">
        <v>63</v>
      </c>
      <c r="F485" s="6" t="s">
        <v>59</v>
      </c>
      <c r="G485" s="6" t="s">
        <v>1313</v>
      </c>
      <c r="H485" s="6" t="s">
        <v>1320</v>
      </c>
      <c r="I485" s="6">
        <v>3034</v>
      </c>
      <c r="J485" s="6" t="s">
        <v>16</v>
      </c>
      <c r="K485" s="6" t="s">
        <v>1273</v>
      </c>
    </row>
    <row r="486" spans="1:11" x14ac:dyDescent="0.25">
      <c r="A486" s="5" t="s">
        <v>529</v>
      </c>
      <c r="B486" s="5" t="s">
        <v>1451</v>
      </c>
      <c r="C486" s="5" t="s">
        <v>1269</v>
      </c>
      <c r="D486" s="5" t="s">
        <v>26</v>
      </c>
      <c r="E486" s="5" t="s">
        <v>1319</v>
      </c>
      <c r="F486" s="5" t="s">
        <v>59</v>
      </c>
      <c r="G486" s="5" t="s">
        <v>1294</v>
      </c>
      <c r="H486" s="5" t="s">
        <v>1308</v>
      </c>
      <c r="I486" s="5">
        <v>3148</v>
      </c>
      <c r="J486" s="5" t="s">
        <v>22</v>
      </c>
      <c r="K486" s="5" t="s">
        <v>17</v>
      </c>
    </row>
    <row r="487" spans="1:11" x14ac:dyDescent="0.25">
      <c r="A487" s="6" t="s">
        <v>530</v>
      </c>
      <c r="B487" s="6" t="s">
        <v>1743</v>
      </c>
      <c r="C487" s="6" t="s">
        <v>53</v>
      </c>
      <c r="D487" s="6" t="s">
        <v>36</v>
      </c>
      <c r="E487" s="6" t="s">
        <v>63</v>
      </c>
      <c r="F487" s="6" t="s">
        <v>59</v>
      </c>
      <c r="G487" s="6" t="s">
        <v>1313</v>
      </c>
      <c r="H487" s="6" t="s">
        <v>1308</v>
      </c>
      <c r="I487" s="6">
        <v>3528</v>
      </c>
      <c r="J487" s="6" t="s">
        <v>22</v>
      </c>
      <c r="K487" s="6" t="s">
        <v>17</v>
      </c>
    </row>
    <row r="488" spans="1:11" x14ac:dyDescent="0.25">
      <c r="A488" s="5" t="s">
        <v>531</v>
      </c>
      <c r="B488" s="5" t="s">
        <v>1572</v>
      </c>
      <c r="C488" s="5" t="s">
        <v>1288</v>
      </c>
      <c r="D488" s="5" t="s">
        <v>1283</v>
      </c>
      <c r="E488" s="5" t="s">
        <v>14</v>
      </c>
      <c r="F488" s="5" t="s">
        <v>15</v>
      </c>
      <c r="G488" s="5" t="s">
        <v>1380</v>
      </c>
      <c r="H488" s="5" t="s">
        <v>1257</v>
      </c>
      <c r="I488" s="5">
        <v>9845</v>
      </c>
      <c r="J488" s="5" t="s">
        <v>1267</v>
      </c>
      <c r="K488" s="5" t="s">
        <v>46</v>
      </c>
    </row>
    <row r="489" spans="1:11" x14ac:dyDescent="0.25">
      <c r="A489" s="6" t="s">
        <v>532</v>
      </c>
      <c r="B489" s="6" t="s">
        <v>1487</v>
      </c>
      <c r="C489" s="6" t="s">
        <v>1264</v>
      </c>
      <c r="D489" s="6" t="s">
        <v>1275</v>
      </c>
      <c r="E489" s="6" t="s">
        <v>14</v>
      </c>
      <c r="F489" s="6" t="s">
        <v>15</v>
      </c>
      <c r="G489" s="6" t="s">
        <v>1499</v>
      </c>
      <c r="H489" s="6" t="s">
        <v>1272</v>
      </c>
      <c r="I489" s="6">
        <v>8467</v>
      </c>
      <c r="J489" s="6" t="s">
        <v>29</v>
      </c>
      <c r="K489" s="6" t="s">
        <v>17</v>
      </c>
    </row>
    <row r="490" spans="1:11" x14ac:dyDescent="0.25">
      <c r="A490" s="5" t="s">
        <v>533</v>
      </c>
      <c r="B490" s="5" t="s">
        <v>1744</v>
      </c>
      <c r="C490" s="5" t="s">
        <v>73</v>
      </c>
      <c r="D490" s="5" t="s">
        <v>26</v>
      </c>
      <c r="E490" s="5" t="s">
        <v>41</v>
      </c>
      <c r="F490" s="5" t="s">
        <v>42</v>
      </c>
      <c r="G490" s="5" t="s">
        <v>1405</v>
      </c>
      <c r="H490" s="5" t="s">
        <v>1325</v>
      </c>
      <c r="I490" s="5">
        <v>19114</v>
      </c>
      <c r="J490" s="5" t="s">
        <v>29</v>
      </c>
      <c r="K490" s="5" t="s">
        <v>1273</v>
      </c>
    </row>
    <row r="491" spans="1:11" x14ac:dyDescent="0.25">
      <c r="A491" s="6" t="s">
        <v>534</v>
      </c>
      <c r="B491" s="6" t="s">
        <v>1745</v>
      </c>
      <c r="C491" s="6" t="s">
        <v>1269</v>
      </c>
      <c r="D491" s="6"/>
      <c r="E491" s="6" t="s">
        <v>1374</v>
      </c>
      <c r="F491" s="6" t="s">
        <v>50</v>
      </c>
      <c r="G491" s="6" t="s">
        <v>1265</v>
      </c>
      <c r="H491" s="6" t="s">
        <v>1304</v>
      </c>
      <c r="I491" s="6">
        <v>46919</v>
      </c>
      <c r="J491" s="6" t="s">
        <v>29</v>
      </c>
      <c r="K491" s="6" t="s">
        <v>1262</v>
      </c>
    </row>
    <row r="492" spans="1:11" x14ac:dyDescent="0.25">
      <c r="A492" s="5" t="s">
        <v>535</v>
      </c>
      <c r="B492" s="5" t="s">
        <v>1746</v>
      </c>
      <c r="C492" s="5" t="s">
        <v>48</v>
      </c>
      <c r="D492" s="5" t="s">
        <v>26</v>
      </c>
      <c r="E492" s="5" t="s">
        <v>55</v>
      </c>
      <c r="F492" s="5" t="s">
        <v>34</v>
      </c>
      <c r="G492" s="5" t="s">
        <v>1271</v>
      </c>
      <c r="H492" s="5" t="s">
        <v>1278</v>
      </c>
      <c r="I492" s="5">
        <v>24618</v>
      </c>
      <c r="J492" s="5" t="s">
        <v>29</v>
      </c>
      <c r="K492" s="5" t="s">
        <v>1262</v>
      </c>
    </row>
    <row r="493" spans="1:11" x14ac:dyDescent="0.25">
      <c r="A493" s="6" t="s">
        <v>536</v>
      </c>
      <c r="B493" s="6" t="s">
        <v>1747</v>
      </c>
      <c r="C493" s="6" t="s">
        <v>73</v>
      </c>
      <c r="D493" s="6" t="s">
        <v>1283</v>
      </c>
      <c r="E493" s="6" t="s">
        <v>49</v>
      </c>
      <c r="F493" s="6" t="s">
        <v>50</v>
      </c>
      <c r="G493" s="6" t="s">
        <v>1265</v>
      </c>
      <c r="H493" s="6" t="s">
        <v>1359</v>
      </c>
      <c r="I493" s="6">
        <v>46289</v>
      </c>
      <c r="J493" s="6" t="s">
        <v>29</v>
      </c>
      <c r="K493" s="6" t="s">
        <v>17</v>
      </c>
    </row>
    <row r="494" spans="1:11" x14ac:dyDescent="0.25">
      <c r="A494" s="5" t="s">
        <v>537</v>
      </c>
      <c r="B494" s="5" t="s">
        <v>1748</v>
      </c>
      <c r="C494" s="5" t="s">
        <v>1254</v>
      </c>
      <c r="D494" s="5" t="s">
        <v>1283</v>
      </c>
      <c r="E494" s="5" t="s">
        <v>49</v>
      </c>
      <c r="F494" s="5" t="s">
        <v>50</v>
      </c>
      <c r="G494" s="5" t="s">
        <v>1260</v>
      </c>
      <c r="H494" s="5" t="s">
        <v>1291</v>
      </c>
      <c r="I494" s="5">
        <v>45933</v>
      </c>
      <c r="J494" s="5" t="s">
        <v>29</v>
      </c>
      <c r="K494" s="5" t="s">
        <v>1262</v>
      </c>
    </row>
    <row r="495" spans="1:11" x14ac:dyDescent="0.25">
      <c r="A495" s="6" t="s">
        <v>538</v>
      </c>
      <c r="B495" s="6" t="s">
        <v>1749</v>
      </c>
      <c r="C495" s="6" t="s">
        <v>62</v>
      </c>
      <c r="D495" s="6" t="s">
        <v>36</v>
      </c>
      <c r="E495" s="6" t="s">
        <v>63</v>
      </c>
      <c r="F495" s="6" t="s">
        <v>59</v>
      </c>
      <c r="G495" s="6" t="s">
        <v>1271</v>
      </c>
      <c r="H495" s="6" t="s">
        <v>1308</v>
      </c>
      <c r="I495" s="6">
        <v>2947</v>
      </c>
      <c r="J495" s="6" t="s">
        <v>45</v>
      </c>
      <c r="K495" s="6" t="s">
        <v>1262</v>
      </c>
    </row>
    <row r="496" spans="1:11" x14ac:dyDescent="0.25">
      <c r="A496" s="5" t="s">
        <v>539</v>
      </c>
      <c r="B496" s="5" t="s">
        <v>1750</v>
      </c>
      <c r="C496" s="5" t="s">
        <v>1288</v>
      </c>
      <c r="D496" s="5" t="s">
        <v>36</v>
      </c>
      <c r="E496" s="5" t="s">
        <v>1276</v>
      </c>
      <c r="F496" s="5" t="s">
        <v>34</v>
      </c>
      <c r="G496" s="5" t="s">
        <v>1260</v>
      </c>
      <c r="H496" s="5" t="s">
        <v>1278</v>
      </c>
      <c r="I496" s="5">
        <v>24344</v>
      </c>
      <c r="J496" s="5" t="s">
        <v>22</v>
      </c>
      <c r="K496" s="5"/>
    </row>
    <row r="497" spans="1:11" x14ac:dyDescent="0.25">
      <c r="A497" s="6" t="s">
        <v>540</v>
      </c>
      <c r="B497" s="6" t="s">
        <v>1443</v>
      </c>
      <c r="C497" s="6" t="s">
        <v>73</v>
      </c>
      <c r="D497" s="6" t="s">
        <v>1255</v>
      </c>
      <c r="E497" s="6" t="s">
        <v>49</v>
      </c>
      <c r="F497" s="6" t="s">
        <v>50</v>
      </c>
      <c r="G497" s="6" t="s">
        <v>1440</v>
      </c>
      <c r="H497" s="6" t="s">
        <v>1359</v>
      </c>
      <c r="I497" s="6">
        <v>55148</v>
      </c>
      <c r="J497" s="6" t="s">
        <v>29</v>
      </c>
      <c r="K497" s="6" t="s">
        <v>1262</v>
      </c>
    </row>
    <row r="498" spans="1:11" x14ac:dyDescent="0.25">
      <c r="A498" s="5" t="s">
        <v>541</v>
      </c>
      <c r="B498" s="5" t="s">
        <v>1561</v>
      </c>
      <c r="C498" s="5" t="s">
        <v>1264</v>
      </c>
      <c r="D498" s="5" t="s">
        <v>1255</v>
      </c>
      <c r="E498" s="5" t="s">
        <v>37</v>
      </c>
      <c r="F498" s="5" t="s">
        <v>38</v>
      </c>
      <c r="G498" s="5" t="s">
        <v>1301</v>
      </c>
      <c r="H498" s="5" t="s">
        <v>1367</v>
      </c>
      <c r="I498" s="5">
        <v>37146</v>
      </c>
      <c r="J498" s="5" t="s">
        <v>16</v>
      </c>
      <c r="K498" s="5" t="s">
        <v>1262</v>
      </c>
    </row>
    <row r="499" spans="1:11" x14ac:dyDescent="0.25">
      <c r="A499" s="6" t="s">
        <v>542</v>
      </c>
      <c r="B499" s="6" t="s">
        <v>1751</v>
      </c>
      <c r="C499" s="6" t="s">
        <v>48</v>
      </c>
      <c r="D499" s="6" t="s">
        <v>1255</v>
      </c>
      <c r="E499" s="6" t="s">
        <v>27</v>
      </c>
      <c r="F499" s="6" t="s">
        <v>28</v>
      </c>
      <c r="G499" s="6" t="s">
        <v>1271</v>
      </c>
      <c r="H499" s="6" t="s">
        <v>1266</v>
      </c>
      <c r="I499" s="6">
        <v>9113</v>
      </c>
      <c r="J499" s="6" t="s">
        <v>29</v>
      </c>
      <c r="K499" s="6" t="s">
        <v>1262</v>
      </c>
    </row>
    <row r="500" spans="1:11" x14ac:dyDescent="0.25">
      <c r="A500" s="5" t="s">
        <v>543</v>
      </c>
      <c r="B500" s="5" t="s">
        <v>1752</v>
      </c>
      <c r="C500" s="5" t="s">
        <v>73</v>
      </c>
      <c r="D500" s="5" t="s">
        <v>36</v>
      </c>
      <c r="E500" s="5" t="s">
        <v>27</v>
      </c>
      <c r="F500" s="5" t="s">
        <v>28</v>
      </c>
      <c r="G500" s="5" t="s">
        <v>1294</v>
      </c>
      <c r="H500" s="5" t="s">
        <v>1266</v>
      </c>
      <c r="I500" s="5">
        <v>9437</v>
      </c>
      <c r="J500" s="5" t="s">
        <v>29</v>
      </c>
      <c r="K500" s="5" t="s">
        <v>46</v>
      </c>
    </row>
    <row r="501" spans="1:11" x14ac:dyDescent="0.25">
      <c r="A501" s="6" t="s">
        <v>544</v>
      </c>
      <c r="B501" s="6" t="s">
        <v>1592</v>
      </c>
      <c r="C501" s="6" t="s">
        <v>1254</v>
      </c>
      <c r="D501" s="6" t="s">
        <v>1255</v>
      </c>
      <c r="E501" s="6" t="s">
        <v>1437</v>
      </c>
      <c r="F501" s="6" t="s">
        <v>38</v>
      </c>
      <c r="G501" s="6" t="s">
        <v>1271</v>
      </c>
      <c r="H501" s="6" t="s">
        <v>1342</v>
      </c>
      <c r="I501" s="6">
        <v>33148</v>
      </c>
      <c r="J501" s="6" t="s">
        <v>16</v>
      </c>
      <c r="K501" s="6" t="s">
        <v>46</v>
      </c>
    </row>
    <row r="502" spans="1:11" x14ac:dyDescent="0.25">
      <c r="A502" s="5" t="s">
        <v>545</v>
      </c>
      <c r="B502" s="5" t="s">
        <v>1753</v>
      </c>
      <c r="C502" s="5" t="s">
        <v>1254</v>
      </c>
      <c r="D502" s="5" t="s">
        <v>1275</v>
      </c>
      <c r="E502" s="5" t="s">
        <v>41</v>
      </c>
      <c r="F502" s="5" t="s">
        <v>42</v>
      </c>
      <c r="G502" s="5" t="s">
        <v>1284</v>
      </c>
      <c r="H502" s="5" t="s">
        <v>1325</v>
      </c>
      <c r="I502" s="5">
        <v>17468</v>
      </c>
      <c r="J502" s="5" t="s">
        <v>29</v>
      </c>
      <c r="K502" s="5" t="s">
        <v>1262</v>
      </c>
    </row>
    <row r="503" spans="1:11" x14ac:dyDescent="0.25">
      <c r="A503" s="6" t="s">
        <v>546</v>
      </c>
      <c r="B503" s="6" t="s">
        <v>1754</v>
      </c>
      <c r="C503" s="6" t="s">
        <v>1259</v>
      </c>
      <c r="D503" s="6" t="s">
        <v>1283</v>
      </c>
      <c r="E503" s="6" t="s">
        <v>49</v>
      </c>
      <c r="F503" s="6" t="s">
        <v>50</v>
      </c>
      <c r="G503" s="6" t="s">
        <v>1337</v>
      </c>
      <c r="H503" s="6" t="s">
        <v>1291</v>
      </c>
      <c r="I503" s="6">
        <v>45823</v>
      </c>
      <c r="J503" s="6" t="s">
        <v>45</v>
      </c>
      <c r="K503" s="6" t="s">
        <v>1286</v>
      </c>
    </row>
    <row r="504" spans="1:11" x14ac:dyDescent="0.25">
      <c r="A504" s="5" t="s">
        <v>547</v>
      </c>
      <c r="B504" s="5" t="s">
        <v>1483</v>
      </c>
      <c r="C504" s="5" t="s">
        <v>1288</v>
      </c>
      <c r="D504" s="5" t="s">
        <v>1296</v>
      </c>
      <c r="E504" s="5" t="s">
        <v>37</v>
      </c>
      <c r="F504" s="5" t="s">
        <v>38</v>
      </c>
      <c r="G504" s="5" t="s">
        <v>1301</v>
      </c>
      <c r="H504" s="5" t="s">
        <v>1281</v>
      </c>
      <c r="I504" s="5">
        <v>43574</v>
      </c>
      <c r="J504" s="5" t="s">
        <v>1267</v>
      </c>
      <c r="K504" s="5" t="s">
        <v>17</v>
      </c>
    </row>
    <row r="505" spans="1:11" x14ac:dyDescent="0.25">
      <c r="A505" s="6" t="s">
        <v>548</v>
      </c>
      <c r="B505" s="6" t="s">
        <v>1755</v>
      </c>
      <c r="C505" s="6" t="s">
        <v>1288</v>
      </c>
      <c r="D505" s="6" t="s">
        <v>1283</v>
      </c>
      <c r="E505" s="6" t="s">
        <v>14</v>
      </c>
      <c r="F505" s="6" t="s">
        <v>15</v>
      </c>
      <c r="G505" s="6" t="s">
        <v>1457</v>
      </c>
      <c r="H505" s="6" t="s">
        <v>1272</v>
      </c>
      <c r="I505" s="6">
        <v>8586</v>
      </c>
      <c r="J505" s="6" t="s">
        <v>45</v>
      </c>
      <c r="K505" s="6" t="s">
        <v>1286</v>
      </c>
    </row>
    <row r="506" spans="1:11" x14ac:dyDescent="0.25">
      <c r="A506" s="5" t="s">
        <v>549</v>
      </c>
      <c r="B506" s="5" t="s">
        <v>1756</v>
      </c>
      <c r="C506" s="5" t="s">
        <v>48</v>
      </c>
      <c r="D506" s="5" t="s">
        <v>26</v>
      </c>
      <c r="E506" s="5" t="s">
        <v>1353</v>
      </c>
      <c r="F506" s="5" t="s">
        <v>59</v>
      </c>
      <c r="G506" s="5" t="s">
        <v>1265</v>
      </c>
      <c r="H506" s="5" t="s">
        <v>1308</v>
      </c>
      <c r="I506" s="5">
        <v>2749</v>
      </c>
      <c r="J506" s="5" t="s">
        <v>22</v>
      </c>
      <c r="K506" s="5" t="s">
        <v>17</v>
      </c>
    </row>
    <row r="507" spans="1:11" x14ac:dyDescent="0.25">
      <c r="A507" s="6" t="s">
        <v>550</v>
      </c>
      <c r="B507" s="6" t="s">
        <v>1757</v>
      </c>
      <c r="C507" s="6" t="s">
        <v>1254</v>
      </c>
      <c r="D507" s="6" t="s">
        <v>1283</v>
      </c>
      <c r="E507" s="6" t="s">
        <v>63</v>
      </c>
      <c r="F507" s="6" t="s">
        <v>59</v>
      </c>
      <c r="G507" s="6" t="s">
        <v>1380</v>
      </c>
      <c r="H507" s="6" t="s">
        <v>1308</v>
      </c>
      <c r="I507" s="6">
        <v>3284</v>
      </c>
      <c r="J507" s="6" t="s">
        <v>22</v>
      </c>
      <c r="K507" s="6" t="s">
        <v>1273</v>
      </c>
    </row>
    <row r="508" spans="1:11" x14ac:dyDescent="0.25">
      <c r="A508" s="5" t="s">
        <v>551</v>
      </c>
      <c r="B508" s="5" t="s">
        <v>1758</v>
      </c>
      <c r="C508" s="5" t="s">
        <v>1254</v>
      </c>
      <c r="D508" s="5" t="s">
        <v>26</v>
      </c>
      <c r="E508" s="5" t="s">
        <v>63</v>
      </c>
      <c r="F508" s="5" t="s">
        <v>59</v>
      </c>
      <c r="G508" s="5" t="s">
        <v>1331</v>
      </c>
      <c r="H508" s="5" t="s">
        <v>1308</v>
      </c>
      <c r="I508" s="5">
        <v>2859</v>
      </c>
      <c r="J508" s="5" t="s">
        <v>45</v>
      </c>
      <c r="K508" s="5" t="s">
        <v>1262</v>
      </c>
    </row>
    <row r="509" spans="1:11" x14ac:dyDescent="0.25">
      <c r="A509" s="6" t="s">
        <v>552</v>
      </c>
      <c r="B509" s="6" t="s">
        <v>1656</v>
      </c>
      <c r="C509" s="6" t="s">
        <v>1288</v>
      </c>
      <c r="D509" s="6" t="s">
        <v>1296</v>
      </c>
      <c r="E509" s="6" t="s">
        <v>20</v>
      </c>
      <c r="F509" s="6" t="s">
        <v>21</v>
      </c>
      <c r="G509" s="6" t="s">
        <v>1303</v>
      </c>
      <c r="H509" s="6" t="s">
        <v>1377</v>
      </c>
      <c r="I509" s="6">
        <v>5766</v>
      </c>
      <c r="J509" s="6" t="s">
        <v>1267</v>
      </c>
      <c r="K509" s="6" t="s">
        <v>1262</v>
      </c>
    </row>
    <row r="510" spans="1:11" x14ac:dyDescent="0.25">
      <c r="A510" s="5" t="s">
        <v>553</v>
      </c>
      <c r="B510" s="5" t="s">
        <v>1536</v>
      </c>
      <c r="C510" s="5" t="s">
        <v>1264</v>
      </c>
      <c r="D510" s="5" t="s">
        <v>1296</v>
      </c>
      <c r="E510" s="5" t="s">
        <v>27</v>
      </c>
      <c r="F510" s="5" t="s">
        <v>28</v>
      </c>
      <c r="G510" s="5" t="s">
        <v>1313</v>
      </c>
      <c r="H510" s="5" t="s">
        <v>1266</v>
      </c>
      <c r="I510" s="5">
        <v>8934</v>
      </c>
      <c r="J510" s="5" t="s">
        <v>29</v>
      </c>
      <c r="K510" s="5" t="s">
        <v>17</v>
      </c>
    </row>
    <row r="511" spans="1:11" x14ac:dyDescent="0.25">
      <c r="A511" s="6" t="s">
        <v>1759</v>
      </c>
      <c r="B511" s="6" t="s">
        <v>1279</v>
      </c>
      <c r="C511" s="6" t="s">
        <v>1254</v>
      </c>
      <c r="D511" s="6" t="s">
        <v>1270</v>
      </c>
      <c r="E511" s="6" t="s">
        <v>1583</v>
      </c>
      <c r="F511" s="6" t="s">
        <v>38</v>
      </c>
      <c r="G511" s="6" t="s">
        <v>1760</v>
      </c>
      <c r="H511" s="6" t="s">
        <v>1281</v>
      </c>
      <c r="I511" s="6">
        <v>41730</v>
      </c>
      <c r="J511" s="6" t="s">
        <v>45</v>
      </c>
      <c r="K511" s="6" t="s">
        <v>46</v>
      </c>
    </row>
    <row r="512" spans="1:11" x14ac:dyDescent="0.25">
      <c r="A512" s="5" t="s">
        <v>554</v>
      </c>
      <c r="B512" s="5" t="s">
        <v>1681</v>
      </c>
      <c r="C512" s="5" t="s">
        <v>1254</v>
      </c>
      <c r="D512" s="5" t="s">
        <v>1283</v>
      </c>
      <c r="E512" s="5" t="s">
        <v>14</v>
      </c>
      <c r="F512" s="5" t="s">
        <v>15</v>
      </c>
      <c r="G512" s="5" t="s">
        <v>1297</v>
      </c>
      <c r="H512" s="5" t="s">
        <v>1347</v>
      </c>
      <c r="I512" s="5">
        <v>8380</v>
      </c>
      <c r="J512" s="5" t="s">
        <v>45</v>
      </c>
      <c r="K512" s="5" t="s">
        <v>46</v>
      </c>
    </row>
    <row r="513" spans="1:11" x14ac:dyDescent="0.25">
      <c r="A513" s="6" t="s">
        <v>555</v>
      </c>
      <c r="B513" s="6" t="s">
        <v>1761</v>
      </c>
      <c r="C513" s="6" t="s">
        <v>62</v>
      </c>
      <c r="D513" s="6" t="s">
        <v>1296</v>
      </c>
      <c r="E513" s="6" t="s">
        <v>66</v>
      </c>
      <c r="F513" s="6" t="s">
        <v>67</v>
      </c>
      <c r="G513" s="6" t="s">
        <v>1684</v>
      </c>
      <c r="H513" s="6" t="s">
        <v>1335</v>
      </c>
      <c r="I513" s="6">
        <v>1762</v>
      </c>
      <c r="J513" s="6" t="s">
        <v>45</v>
      </c>
      <c r="K513" s="6" t="s">
        <v>17</v>
      </c>
    </row>
    <row r="514" spans="1:11" x14ac:dyDescent="0.25">
      <c r="A514" s="5" t="s">
        <v>556</v>
      </c>
      <c r="B514" s="5" t="s">
        <v>1762</v>
      </c>
      <c r="C514" s="5" t="s">
        <v>1259</v>
      </c>
      <c r="D514" s="5" t="s">
        <v>26</v>
      </c>
      <c r="E514" s="5" t="s">
        <v>66</v>
      </c>
      <c r="F514" s="5" t="s">
        <v>67</v>
      </c>
      <c r="G514" s="5" t="s">
        <v>1331</v>
      </c>
      <c r="H514" s="5" t="s">
        <v>1317</v>
      </c>
      <c r="I514" s="5">
        <v>1800</v>
      </c>
      <c r="J514" s="5" t="s">
        <v>45</v>
      </c>
      <c r="K514" s="5" t="s">
        <v>46</v>
      </c>
    </row>
    <row r="515" spans="1:11" x14ac:dyDescent="0.25">
      <c r="A515" s="6" t="s">
        <v>557</v>
      </c>
      <c r="B515" s="6" t="s">
        <v>1447</v>
      </c>
      <c r="C515" s="6" t="s">
        <v>1269</v>
      </c>
      <c r="D515" s="6" t="s">
        <v>1270</v>
      </c>
      <c r="E515" s="6" t="s">
        <v>49</v>
      </c>
      <c r="F515" s="6" t="s">
        <v>50</v>
      </c>
      <c r="G515" s="6" t="s">
        <v>1294</v>
      </c>
      <c r="H515" s="6" t="s">
        <v>1291</v>
      </c>
      <c r="I515" s="6">
        <v>53356</v>
      </c>
      <c r="J515" s="6" t="s">
        <v>22</v>
      </c>
      <c r="K515" s="6" t="s">
        <v>17</v>
      </c>
    </row>
    <row r="516" spans="1:11" x14ac:dyDescent="0.25">
      <c r="A516" s="5" t="s">
        <v>558</v>
      </c>
      <c r="B516" s="5" t="s">
        <v>1763</v>
      </c>
      <c r="C516" s="5" t="s">
        <v>62</v>
      </c>
      <c r="D516" s="5" t="s">
        <v>1275</v>
      </c>
      <c r="E516" s="5" t="s">
        <v>1394</v>
      </c>
      <c r="F516" s="5" t="s">
        <v>34</v>
      </c>
      <c r="G516" s="5" t="s">
        <v>1364</v>
      </c>
      <c r="H516" s="5" t="s">
        <v>1278</v>
      </c>
      <c r="I516" s="5">
        <v>26560</v>
      </c>
      <c r="J516" s="5" t="s">
        <v>1267</v>
      </c>
      <c r="K516" s="5" t="s">
        <v>1262</v>
      </c>
    </row>
    <row r="517" spans="1:11" x14ac:dyDescent="0.25">
      <c r="A517" s="6" t="s">
        <v>559</v>
      </c>
      <c r="B517" s="6" t="s">
        <v>1764</v>
      </c>
      <c r="C517" s="6" t="s">
        <v>62</v>
      </c>
      <c r="D517" s="6" t="s">
        <v>1255</v>
      </c>
      <c r="E517" s="6" t="s">
        <v>49</v>
      </c>
      <c r="F517" s="6" t="s">
        <v>50</v>
      </c>
      <c r="G517" s="6" t="s">
        <v>1284</v>
      </c>
      <c r="H517" s="6" t="s">
        <v>1359</v>
      </c>
      <c r="I517" s="6">
        <v>49486</v>
      </c>
      <c r="J517" s="6" t="s">
        <v>29</v>
      </c>
      <c r="K517" s="6" t="s">
        <v>46</v>
      </c>
    </row>
    <row r="518" spans="1:11" x14ac:dyDescent="0.25">
      <c r="A518" s="5" t="s">
        <v>560</v>
      </c>
      <c r="B518" s="5" t="s">
        <v>1765</v>
      </c>
      <c r="C518" s="5" t="s">
        <v>1288</v>
      </c>
      <c r="D518" s="5" t="s">
        <v>1296</v>
      </c>
      <c r="E518" s="5" t="s">
        <v>20</v>
      </c>
      <c r="F518" s="5" t="s">
        <v>21</v>
      </c>
      <c r="G518" s="5" t="s">
        <v>1301</v>
      </c>
      <c r="H518" s="5" t="s">
        <v>1261</v>
      </c>
      <c r="I518" s="5">
        <v>5107</v>
      </c>
      <c r="J518" s="5" t="s">
        <v>22</v>
      </c>
      <c r="K518" s="5" t="s">
        <v>17</v>
      </c>
    </row>
    <row r="519" spans="1:11" x14ac:dyDescent="0.25">
      <c r="A519" s="6" t="s">
        <v>561</v>
      </c>
      <c r="B519" s="6" t="s">
        <v>1766</v>
      </c>
      <c r="C519" s="6" t="s">
        <v>1269</v>
      </c>
      <c r="D519" s="6" t="s">
        <v>36</v>
      </c>
      <c r="E519" s="6" t="s">
        <v>63</v>
      </c>
      <c r="F519" s="6" t="s">
        <v>59</v>
      </c>
      <c r="G519" s="6" t="s">
        <v>1265</v>
      </c>
      <c r="H519" s="6" t="s">
        <v>1403</v>
      </c>
      <c r="I519" s="6">
        <v>2879</v>
      </c>
      <c r="J519" s="6" t="s">
        <v>1267</v>
      </c>
      <c r="K519" s="6" t="s">
        <v>1262</v>
      </c>
    </row>
    <row r="520" spans="1:11" x14ac:dyDescent="0.25">
      <c r="A520" s="5" t="s">
        <v>562</v>
      </c>
      <c r="B520" s="5" t="s">
        <v>1767</v>
      </c>
      <c r="C520" s="5" t="s">
        <v>73</v>
      </c>
      <c r="D520" s="5" t="s">
        <v>1255</v>
      </c>
      <c r="E520" s="5" t="s">
        <v>41</v>
      </c>
      <c r="F520" s="5" t="s">
        <v>42</v>
      </c>
      <c r="G520" s="5" t="s">
        <v>1303</v>
      </c>
      <c r="H520" s="5" t="s">
        <v>1325</v>
      </c>
      <c r="I520" s="5">
        <v>21623</v>
      </c>
      <c r="J520" s="5" t="s">
        <v>1267</v>
      </c>
      <c r="K520" s="5" t="s">
        <v>1286</v>
      </c>
    </row>
    <row r="521" spans="1:11" x14ac:dyDescent="0.25">
      <c r="A521" s="6" t="s">
        <v>563</v>
      </c>
      <c r="B521" s="6" t="s">
        <v>1424</v>
      </c>
      <c r="C521" s="6" t="s">
        <v>73</v>
      </c>
      <c r="D521" s="6" t="s">
        <v>1270</v>
      </c>
      <c r="E521" s="6" t="s">
        <v>1401</v>
      </c>
      <c r="F521" s="6" t="s">
        <v>67</v>
      </c>
      <c r="G521" s="6" t="s">
        <v>1341</v>
      </c>
      <c r="H521" s="6" t="s">
        <v>1335</v>
      </c>
      <c r="I521" s="6">
        <v>1903</v>
      </c>
      <c r="J521" s="6" t="s">
        <v>45</v>
      </c>
      <c r="K521" s="6" t="s">
        <v>1286</v>
      </c>
    </row>
    <row r="522" spans="1:11" x14ac:dyDescent="0.25">
      <c r="A522" s="5" t="s">
        <v>564</v>
      </c>
      <c r="B522" s="5" t="s">
        <v>1589</v>
      </c>
      <c r="C522" s="5" t="s">
        <v>48</v>
      </c>
      <c r="D522" s="5" t="s">
        <v>1275</v>
      </c>
      <c r="E522" s="5" t="s">
        <v>55</v>
      </c>
      <c r="F522" s="5" t="s">
        <v>34</v>
      </c>
      <c r="G522" s="5" t="s">
        <v>1284</v>
      </c>
      <c r="H522" s="5" t="s">
        <v>1278</v>
      </c>
      <c r="I522" s="5">
        <v>23800</v>
      </c>
      <c r="J522" s="5" t="s">
        <v>22</v>
      </c>
      <c r="K522" s="5" t="s">
        <v>1273</v>
      </c>
    </row>
    <row r="523" spans="1:11" x14ac:dyDescent="0.25">
      <c r="A523" s="6" t="s">
        <v>565</v>
      </c>
      <c r="B523" s="6" t="s">
        <v>1768</v>
      </c>
      <c r="C523" s="6" t="s">
        <v>73</v>
      </c>
      <c r="D523" s="6" t="s">
        <v>36</v>
      </c>
      <c r="E523" s="6" t="s">
        <v>55</v>
      </c>
      <c r="F523" s="6" t="s">
        <v>34</v>
      </c>
      <c r="G523" s="6" t="s">
        <v>1380</v>
      </c>
      <c r="H523" s="6" t="s">
        <v>1278</v>
      </c>
      <c r="I523" s="6">
        <v>26411</v>
      </c>
      <c r="J523" s="6" t="s">
        <v>45</v>
      </c>
      <c r="K523" s="6" t="s">
        <v>1286</v>
      </c>
    </row>
    <row r="524" spans="1:11" x14ac:dyDescent="0.25">
      <c r="A524" s="5" t="s">
        <v>566</v>
      </c>
      <c r="B524" s="5" t="s">
        <v>1769</v>
      </c>
      <c r="C524" s="5" t="s">
        <v>1259</v>
      </c>
      <c r="D524" s="5" t="s">
        <v>1283</v>
      </c>
      <c r="E524" s="5" t="s">
        <v>49</v>
      </c>
      <c r="F524" s="5" t="s">
        <v>50</v>
      </c>
      <c r="G524" s="5" t="s">
        <v>1331</v>
      </c>
      <c r="H524" s="5" t="s">
        <v>1291</v>
      </c>
      <c r="I524" s="5">
        <v>45888</v>
      </c>
      <c r="J524" s="5" t="s">
        <v>45</v>
      </c>
      <c r="K524" s="5" t="s">
        <v>46</v>
      </c>
    </row>
    <row r="525" spans="1:11" x14ac:dyDescent="0.25">
      <c r="A525" s="6" t="s">
        <v>567</v>
      </c>
      <c r="B525" s="6" t="s">
        <v>1571</v>
      </c>
      <c r="C525" s="6" t="s">
        <v>53</v>
      </c>
      <c r="D525" s="6" t="s">
        <v>1296</v>
      </c>
      <c r="E525" s="6" t="s">
        <v>27</v>
      </c>
      <c r="F525" s="6" t="s">
        <v>28</v>
      </c>
      <c r="G525" s="6" t="s">
        <v>1331</v>
      </c>
      <c r="H525" s="6" t="s">
        <v>1458</v>
      </c>
      <c r="I525" s="6">
        <v>11057</v>
      </c>
      <c r="J525" s="6" t="s">
        <v>29</v>
      </c>
      <c r="K525" s="6" t="s">
        <v>1262</v>
      </c>
    </row>
    <row r="526" spans="1:11" x14ac:dyDescent="0.25">
      <c r="A526" s="5" t="s">
        <v>568</v>
      </c>
      <c r="B526" s="5" t="s">
        <v>1557</v>
      </c>
      <c r="C526" s="5" t="s">
        <v>1254</v>
      </c>
      <c r="D526" s="5"/>
      <c r="E526" s="5" t="s">
        <v>1607</v>
      </c>
      <c r="F526" s="5" t="s">
        <v>28</v>
      </c>
      <c r="G526" s="5" t="s">
        <v>1265</v>
      </c>
      <c r="H526" s="5" t="s">
        <v>1356</v>
      </c>
      <c r="I526" s="5">
        <v>9214</v>
      </c>
      <c r="J526" s="5" t="s">
        <v>29</v>
      </c>
      <c r="K526" s="5" t="s">
        <v>17</v>
      </c>
    </row>
    <row r="527" spans="1:11" x14ac:dyDescent="0.25">
      <c r="A527" s="6" t="s">
        <v>569</v>
      </c>
      <c r="B527" s="6" t="s">
        <v>1770</v>
      </c>
      <c r="C527" s="6" t="s">
        <v>48</v>
      </c>
      <c r="D527" s="6" t="s">
        <v>36</v>
      </c>
      <c r="E527" s="6" t="s">
        <v>49</v>
      </c>
      <c r="F527" s="6" t="s">
        <v>50</v>
      </c>
      <c r="G527" s="6" t="s">
        <v>1284</v>
      </c>
      <c r="H527" s="6" t="s">
        <v>1291</v>
      </c>
      <c r="I527" s="6">
        <v>59099</v>
      </c>
      <c r="J527" s="6" t="s">
        <v>45</v>
      </c>
      <c r="K527" s="6" t="s">
        <v>1262</v>
      </c>
    </row>
    <row r="528" spans="1:11" x14ac:dyDescent="0.25">
      <c r="A528" s="5" t="s">
        <v>570</v>
      </c>
      <c r="B528" s="5" t="s">
        <v>1771</v>
      </c>
      <c r="C528" s="5" t="s">
        <v>48</v>
      </c>
      <c r="D528" s="5" t="s">
        <v>36</v>
      </c>
      <c r="E528" s="5" t="s">
        <v>27</v>
      </c>
      <c r="F528" s="5" t="s">
        <v>28</v>
      </c>
      <c r="G528" s="5" t="s">
        <v>1265</v>
      </c>
      <c r="H528" s="5" t="s">
        <v>1266</v>
      </c>
      <c r="I528" s="5">
        <v>9484</v>
      </c>
      <c r="J528" s="5" t="s">
        <v>16</v>
      </c>
      <c r="K528" s="5" t="s">
        <v>1262</v>
      </c>
    </row>
    <row r="529" spans="1:11" x14ac:dyDescent="0.25">
      <c r="A529" s="6" t="s">
        <v>571</v>
      </c>
      <c r="B529" s="6" t="s">
        <v>1772</v>
      </c>
      <c r="C529" s="6" t="s">
        <v>62</v>
      </c>
      <c r="D529" s="6" t="s">
        <v>1296</v>
      </c>
      <c r="E529" s="6" t="s">
        <v>41</v>
      </c>
      <c r="F529" s="6" t="s">
        <v>42</v>
      </c>
      <c r="G529" s="6" t="s">
        <v>1440</v>
      </c>
      <c r="H529" s="6" t="s">
        <v>1311</v>
      </c>
      <c r="I529" s="6">
        <v>17191</v>
      </c>
      <c r="J529" s="6" t="s">
        <v>16</v>
      </c>
      <c r="K529" s="6" t="s">
        <v>17</v>
      </c>
    </row>
    <row r="530" spans="1:11" x14ac:dyDescent="0.25">
      <c r="A530" s="5" t="s">
        <v>572</v>
      </c>
      <c r="B530" s="5" t="s">
        <v>1773</v>
      </c>
      <c r="C530" s="5" t="s">
        <v>1269</v>
      </c>
      <c r="D530" s="5" t="s">
        <v>1270</v>
      </c>
      <c r="E530" s="5" t="s">
        <v>37</v>
      </c>
      <c r="F530" s="5" t="s">
        <v>38</v>
      </c>
      <c r="G530" s="5" t="s">
        <v>1260</v>
      </c>
      <c r="H530" s="5" t="s">
        <v>1281</v>
      </c>
      <c r="I530" s="5">
        <v>40463</v>
      </c>
      <c r="J530" s="5" t="s">
        <v>45</v>
      </c>
      <c r="K530" s="5" t="s">
        <v>17</v>
      </c>
    </row>
    <row r="531" spans="1:11" x14ac:dyDescent="0.25">
      <c r="A531" s="6" t="s">
        <v>573</v>
      </c>
      <c r="B531" s="6" t="s">
        <v>1344</v>
      </c>
      <c r="C531" s="6" t="s">
        <v>1288</v>
      </c>
      <c r="D531" s="6" t="s">
        <v>1255</v>
      </c>
      <c r="E531" s="6" t="s">
        <v>1519</v>
      </c>
      <c r="F531" s="6" t="s">
        <v>21</v>
      </c>
      <c r="G531" s="6" t="s">
        <v>1331</v>
      </c>
      <c r="H531" s="6" t="s">
        <v>1261</v>
      </c>
      <c r="I531" s="6">
        <v>6038</v>
      </c>
      <c r="J531" s="6" t="s">
        <v>29</v>
      </c>
      <c r="K531" s="6" t="s">
        <v>46</v>
      </c>
    </row>
    <row r="532" spans="1:11" x14ac:dyDescent="0.25">
      <c r="A532" s="5" t="s">
        <v>574</v>
      </c>
      <c r="B532" s="5" t="s">
        <v>1362</v>
      </c>
      <c r="C532" s="5" t="s">
        <v>1269</v>
      </c>
      <c r="D532" s="5" t="s">
        <v>1283</v>
      </c>
      <c r="E532" s="5" t="s">
        <v>63</v>
      </c>
      <c r="F532" s="5" t="s">
        <v>59</v>
      </c>
      <c r="G532" s="5" t="s">
        <v>1265</v>
      </c>
      <c r="H532" s="5" t="s">
        <v>1308</v>
      </c>
      <c r="I532" s="5">
        <v>2865</v>
      </c>
      <c r="J532" s="5" t="s">
        <v>22</v>
      </c>
      <c r="K532" s="5" t="s">
        <v>1286</v>
      </c>
    </row>
    <row r="533" spans="1:11" x14ac:dyDescent="0.25">
      <c r="A533" s="6" t="s">
        <v>575</v>
      </c>
      <c r="B533" s="6" t="s">
        <v>1531</v>
      </c>
      <c r="C533" s="6" t="s">
        <v>73</v>
      </c>
      <c r="D533" s="6" t="s">
        <v>26</v>
      </c>
      <c r="E533" s="6" t="s">
        <v>49</v>
      </c>
      <c r="F533" s="6" t="s">
        <v>50</v>
      </c>
      <c r="G533" s="6" t="s">
        <v>1303</v>
      </c>
      <c r="H533" s="6" t="s">
        <v>1359</v>
      </c>
      <c r="I533" s="6">
        <v>45996</v>
      </c>
      <c r="J533" s="6" t="s">
        <v>16</v>
      </c>
      <c r="K533" s="6" t="s">
        <v>1262</v>
      </c>
    </row>
    <row r="534" spans="1:11" x14ac:dyDescent="0.25">
      <c r="A534" s="5" t="s">
        <v>576</v>
      </c>
      <c r="B534" s="5" t="s">
        <v>1774</v>
      </c>
      <c r="C534" s="5" t="s">
        <v>48</v>
      </c>
      <c r="D534" s="5" t="s">
        <v>1255</v>
      </c>
      <c r="E534" s="5" t="s">
        <v>14</v>
      </c>
      <c r="F534" s="5" t="s">
        <v>15</v>
      </c>
      <c r="G534" s="5" t="s">
        <v>1260</v>
      </c>
      <c r="H534" s="5" t="s">
        <v>1257</v>
      </c>
      <c r="I534" s="5">
        <v>9674</v>
      </c>
      <c r="J534" s="5" t="s">
        <v>1267</v>
      </c>
      <c r="K534" s="5" t="s">
        <v>46</v>
      </c>
    </row>
    <row r="535" spans="1:11" x14ac:dyDescent="0.25">
      <c r="A535" s="6" t="s">
        <v>577</v>
      </c>
      <c r="B535" s="6" t="s">
        <v>1775</v>
      </c>
      <c r="C535" s="6" t="s">
        <v>1264</v>
      </c>
      <c r="D535" s="6" t="s">
        <v>1296</v>
      </c>
      <c r="E535" s="6" t="s">
        <v>20</v>
      </c>
      <c r="F535" s="6" t="s">
        <v>21</v>
      </c>
      <c r="G535" s="6" t="s">
        <v>1337</v>
      </c>
      <c r="H535" s="6" t="s">
        <v>1261</v>
      </c>
      <c r="I535" s="6">
        <v>5145</v>
      </c>
      <c r="J535" s="6" t="s">
        <v>1267</v>
      </c>
      <c r="K535" s="6" t="s">
        <v>1286</v>
      </c>
    </row>
    <row r="536" spans="1:11" x14ac:dyDescent="0.25">
      <c r="A536" s="5" t="s">
        <v>578</v>
      </c>
      <c r="B536" s="5" t="s">
        <v>1776</v>
      </c>
      <c r="C536" s="5" t="s">
        <v>62</v>
      </c>
      <c r="D536" s="5" t="s">
        <v>1270</v>
      </c>
      <c r="E536" s="5" t="s">
        <v>1607</v>
      </c>
      <c r="F536" s="5" t="s">
        <v>28</v>
      </c>
      <c r="G536" s="5" t="s">
        <v>1331</v>
      </c>
      <c r="H536" s="5" t="s">
        <v>1266</v>
      </c>
      <c r="I536" s="5">
        <v>8758</v>
      </c>
      <c r="J536" s="5" t="s">
        <v>29</v>
      </c>
      <c r="K536" s="5" t="s">
        <v>46</v>
      </c>
    </row>
    <row r="537" spans="1:11" x14ac:dyDescent="0.25">
      <c r="A537" s="6" t="s">
        <v>579</v>
      </c>
      <c r="B537" s="6" t="s">
        <v>1777</v>
      </c>
      <c r="C537" s="6" t="s">
        <v>1269</v>
      </c>
      <c r="D537" s="6" t="s">
        <v>26</v>
      </c>
      <c r="E537" s="6" t="s">
        <v>41</v>
      </c>
      <c r="F537" s="6" t="s">
        <v>42</v>
      </c>
      <c r="G537" s="6" t="s">
        <v>1376</v>
      </c>
      <c r="H537" s="6" t="s">
        <v>1311</v>
      </c>
      <c r="I537" s="6">
        <v>16890</v>
      </c>
      <c r="J537" s="6" t="s">
        <v>22</v>
      </c>
      <c r="K537" s="6" t="s">
        <v>17</v>
      </c>
    </row>
    <row r="538" spans="1:11" x14ac:dyDescent="0.25">
      <c r="A538" s="5" t="s">
        <v>580</v>
      </c>
      <c r="B538" s="5" t="s">
        <v>1651</v>
      </c>
      <c r="C538" s="5" t="s">
        <v>48</v>
      </c>
      <c r="D538" s="5" t="s">
        <v>1270</v>
      </c>
      <c r="E538" s="5" t="s">
        <v>49</v>
      </c>
      <c r="F538" s="5" t="s">
        <v>50</v>
      </c>
      <c r="G538" s="5" t="s">
        <v>1313</v>
      </c>
      <c r="H538" s="5" t="s">
        <v>1291</v>
      </c>
      <c r="I538" s="5">
        <v>58177</v>
      </c>
      <c r="J538" s="5" t="s">
        <v>1267</v>
      </c>
      <c r="K538" s="5" t="s">
        <v>17</v>
      </c>
    </row>
    <row r="539" spans="1:11" x14ac:dyDescent="0.25">
      <c r="A539" s="6" t="s">
        <v>581</v>
      </c>
      <c r="B539" s="6" t="s">
        <v>1723</v>
      </c>
      <c r="C539" s="6" t="s">
        <v>1269</v>
      </c>
      <c r="D539" s="6" t="s">
        <v>1270</v>
      </c>
      <c r="E539" s="6" t="s">
        <v>55</v>
      </c>
      <c r="F539" s="6" t="s">
        <v>34</v>
      </c>
      <c r="G539" s="6" t="s">
        <v>1307</v>
      </c>
      <c r="H539" s="6" t="s">
        <v>1278</v>
      </c>
      <c r="I539" s="6">
        <v>26919</v>
      </c>
      <c r="J539" s="6" t="s">
        <v>29</v>
      </c>
      <c r="K539" s="6" t="s">
        <v>17</v>
      </c>
    </row>
    <row r="540" spans="1:11" x14ac:dyDescent="0.25">
      <c r="A540" s="5" t="s">
        <v>582</v>
      </c>
      <c r="B540" s="5" t="s">
        <v>1778</v>
      </c>
      <c r="C540" s="5" t="s">
        <v>62</v>
      </c>
      <c r="D540" s="5" t="s">
        <v>36</v>
      </c>
      <c r="E540" s="5" t="s">
        <v>55</v>
      </c>
      <c r="F540" s="5" t="s">
        <v>34</v>
      </c>
      <c r="G540" s="5" t="s">
        <v>1303</v>
      </c>
      <c r="H540" s="5" t="s">
        <v>1395</v>
      </c>
      <c r="I540" s="5">
        <v>24109</v>
      </c>
      <c r="J540" s="5" t="s">
        <v>45</v>
      </c>
      <c r="K540" s="5" t="s">
        <v>46</v>
      </c>
    </row>
    <row r="541" spans="1:11" x14ac:dyDescent="0.25">
      <c r="A541" s="6" t="s">
        <v>583</v>
      </c>
      <c r="B541" s="6" t="s">
        <v>1779</v>
      </c>
      <c r="C541" s="6" t="s">
        <v>48</v>
      </c>
      <c r="D541" s="6" t="s">
        <v>26</v>
      </c>
      <c r="E541" s="6" t="s">
        <v>1361</v>
      </c>
      <c r="F541" s="6" t="s">
        <v>42</v>
      </c>
      <c r="G541" s="6" t="s">
        <v>1405</v>
      </c>
      <c r="H541" s="6" t="s">
        <v>1311</v>
      </c>
      <c r="I541" s="6">
        <v>22357</v>
      </c>
      <c r="J541" s="6" t="s">
        <v>16</v>
      </c>
      <c r="K541" s="6"/>
    </row>
    <row r="542" spans="1:11" x14ac:dyDescent="0.25">
      <c r="A542" s="5" t="s">
        <v>584</v>
      </c>
      <c r="B542" s="5" t="s">
        <v>1780</v>
      </c>
      <c r="C542" s="5" t="s">
        <v>48</v>
      </c>
      <c r="D542" s="5" t="s">
        <v>1296</v>
      </c>
      <c r="E542" s="5" t="s">
        <v>37</v>
      </c>
      <c r="F542" s="5" t="s">
        <v>38</v>
      </c>
      <c r="G542" s="5" t="s">
        <v>1303</v>
      </c>
      <c r="H542" s="5" t="s">
        <v>1281</v>
      </c>
      <c r="I542" s="5">
        <v>43347</v>
      </c>
      <c r="J542" s="5" t="s">
        <v>45</v>
      </c>
      <c r="K542" s="5" t="s">
        <v>1286</v>
      </c>
    </row>
    <row r="543" spans="1:11" x14ac:dyDescent="0.25">
      <c r="A543" s="6" t="s">
        <v>585</v>
      </c>
      <c r="B543" s="6" t="s">
        <v>1652</v>
      </c>
      <c r="C543" s="6" t="s">
        <v>73</v>
      </c>
      <c r="D543" s="6" t="s">
        <v>1275</v>
      </c>
      <c r="E543" s="6" t="s">
        <v>66</v>
      </c>
      <c r="F543" s="6" t="s">
        <v>67</v>
      </c>
      <c r="G543" s="6" t="s">
        <v>1364</v>
      </c>
      <c r="H543" s="6" t="s">
        <v>1317</v>
      </c>
      <c r="I543" s="6">
        <v>1834</v>
      </c>
      <c r="J543" s="6" t="s">
        <v>29</v>
      </c>
      <c r="K543" s="6" t="s">
        <v>17</v>
      </c>
    </row>
    <row r="544" spans="1:11" x14ac:dyDescent="0.25">
      <c r="A544" s="5" t="s">
        <v>586</v>
      </c>
      <c r="B544" s="5" t="s">
        <v>1781</v>
      </c>
      <c r="C544" s="5" t="s">
        <v>62</v>
      </c>
      <c r="D544" s="5" t="s">
        <v>1296</v>
      </c>
      <c r="E544" s="5" t="s">
        <v>55</v>
      </c>
      <c r="F544" s="5" t="s">
        <v>34</v>
      </c>
      <c r="G544" s="5" t="s">
        <v>1303</v>
      </c>
      <c r="H544" s="5" t="s">
        <v>1278</v>
      </c>
      <c r="I544" s="5">
        <v>25837</v>
      </c>
      <c r="J544" s="5" t="s">
        <v>1267</v>
      </c>
      <c r="K544" s="5" t="s">
        <v>1273</v>
      </c>
    </row>
    <row r="545" spans="1:11" x14ac:dyDescent="0.25">
      <c r="A545" s="6" t="s">
        <v>587</v>
      </c>
      <c r="B545" s="6" t="s">
        <v>1782</v>
      </c>
      <c r="C545" s="6" t="s">
        <v>62</v>
      </c>
      <c r="D545" s="6" t="s">
        <v>1255</v>
      </c>
      <c r="E545" s="6" t="s">
        <v>37</v>
      </c>
      <c r="F545" s="6" t="s">
        <v>38</v>
      </c>
      <c r="G545" s="6" t="s">
        <v>1625</v>
      </c>
      <c r="H545" s="6" t="s">
        <v>1342</v>
      </c>
      <c r="I545" s="6">
        <v>42444</v>
      </c>
      <c r="J545" s="6" t="s">
        <v>1267</v>
      </c>
      <c r="K545" s="6" t="s">
        <v>1286</v>
      </c>
    </row>
    <row r="546" spans="1:11" x14ac:dyDescent="0.25">
      <c r="A546" s="5" t="s">
        <v>588</v>
      </c>
      <c r="B546" s="5" t="s">
        <v>1623</v>
      </c>
      <c r="C546" s="5" t="s">
        <v>1264</v>
      </c>
      <c r="D546" s="5" t="s">
        <v>36</v>
      </c>
      <c r="E546" s="5" t="s">
        <v>1512</v>
      </c>
      <c r="F546" s="5" t="s">
        <v>42</v>
      </c>
      <c r="G546" s="5" t="s">
        <v>1265</v>
      </c>
      <c r="H546" s="5" t="s">
        <v>1325</v>
      </c>
      <c r="I546" s="5">
        <v>16884</v>
      </c>
      <c r="J546" s="5" t="s">
        <v>1267</v>
      </c>
      <c r="K546" s="5" t="s">
        <v>1273</v>
      </c>
    </row>
    <row r="547" spans="1:11" x14ac:dyDescent="0.25">
      <c r="A547" s="6" t="s">
        <v>589</v>
      </c>
      <c r="B547" s="6" t="s">
        <v>1779</v>
      </c>
      <c r="C547" s="6" t="s">
        <v>53</v>
      </c>
      <c r="D547" s="6" t="s">
        <v>1296</v>
      </c>
      <c r="E547" s="6" t="s">
        <v>66</v>
      </c>
      <c r="F547" s="6" t="s">
        <v>67</v>
      </c>
      <c r="G547" s="6" t="s">
        <v>1297</v>
      </c>
      <c r="H547" s="6" t="s">
        <v>1482</v>
      </c>
      <c r="I547" s="6">
        <v>1742</v>
      </c>
      <c r="J547" s="6" t="s">
        <v>45</v>
      </c>
      <c r="K547" s="6" t="s">
        <v>17</v>
      </c>
    </row>
    <row r="548" spans="1:11" x14ac:dyDescent="0.25">
      <c r="A548" s="5" t="s">
        <v>590</v>
      </c>
      <c r="B548" s="5" t="s">
        <v>1783</v>
      </c>
      <c r="C548" s="5" t="s">
        <v>1264</v>
      </c>
      <c r="D548" s="5" t="s">
        <v>1270</v>
      </c>
      <c r="E548" s="5" t="s">
        <v>49</v>
      </c>
      <c r="F548" s="5" t="s">
        <v>50</v>
      </c>
      <c r="G548" s="5" t="s">
        <v>1380</v>
      </c>
      <c r="H548" s="5" t="s">
        <v>1291</v>
      </c>
      <c r="I548" s="5">
        <v>47707</v>
      </c>
      <c r="J548" s="5" t="s">
        <v>16</v>
      </c>
      <c r="K548" s="5" t="s">
        <v>46</v>
      </c>
    </row>
    <row r="549" spans="1:11" x14ac:dyDescent="0.25">
      <c r="A549" s="6" t="s">
        <v>591</v>
      </c>
      <c r="B549" s="6" t="s">
        <v>1784</v>
      </c>
      <c r="C549" s="6" t="s">
        <v>73</v>
      </c>
      <c r="D549" s="6" t="s">
        <v>1270</v>
      </c>
      <c r="E549" s="6" t="s">
        <v>49</v>
      </c>
      <c r="F549" s="6" t="s">
        <v>50</v>
      </c>
      <c r="G549" s="6" t="s">
        <v>1260</v>
      </c>
      <c r="H549" s="6" t="s">
        <v>1359</v>
      </c>
      <c r="I549" s="6">
        <v>51910</v>
      </c>
      <c r="J549" s="6" t="s">
        <v>16</v>
      </c>
      <c r="K549" s="6" t="s">
        <v>1273</v>
      </c>
    </row>
    <row r="550" spans="1:11" x14ac:dyDescent="0.25">
      <c r="A550" s="5" t="s">
        <v>592</v>
      </c>
      <c r="B550" s="5" t="s">
        <v>1785</v>
      </c>
      <c r="C550" s="5" t="s">
        <v>48</v>
      </c>
      <c r="D550" s="5" t="s">
        <v>1255</v>
      </c>
      <c r="E550" s="5" t="s">
        <v>49</v>
      </c>
      <c r="F550" s="5" t="s">
        <v>50</v>
      </c>
      <c r="G550" s="5" t="s">
        <v>1256</v>
      </c>
      <c r="H550" s="5" t="s">
        <v>1291</v>
      </c>
      <c r="I550" s="5">
        <v>49378</v>
      </c>
      <c r="J550" s="5" t="s">
        <v>22</v>
      </c>
      <c r="K550" s="5" t="s">
        <v>17</v>
      </c>
    </row>
    <row r="551" spans="1:11" x14ac:dyDescent="0.25">
      <c r="A551" s="6" t="s">
        <v>593</v>
      </c>
      <c r="B551" s="6" t="s">
        <v>1786</v>
      </c>
      <c r="C551" s="6" t="s">
        <v>53</v>
      </c>
      <c r="D551" s="6" t="s">
        <v>36</v>
      </c>
      <c r="E551" s="6" t="s">
        <v>1583</v>
      </c>
      <c r="F551" s="6" t="s">
        <v>38</v>
      </c>
      <c r="G551" s="6" t="s">
        <v>1284</v>
      </c>
      <c r="H551" s="6" t="s">
        <v>1281</v>
      </c>
      <c r="I551" s="6">
        <v>33835</v>
      </c>
      <c r="J551" s="6" t="s">
        <v>1267</v>
      </c>
      <c r="K551" s="6" t="s">
        <v>1286</v>
      </c>
    </row>
    <row r="552" spans="1:11" x14ac:dyDescent="0.25">
      <c r="A552" s="5" t="s">
        <v>594</v>
      </c>
      <c r="B552" s="5" t="s">
        <v>1787</v>
      </c>
      <c r="C552" s="5" t="s">
        <v>53</v>
      </c>
      <c r="D552" s="5" t="s">
        <v>1270</v>
      </c>
      <c r="E552" s="5" t="s">
        <v>63</v>
      </c>
      <c r="F552" s="5" t="s">
        <v>59</v>
      </c>
      <c r="G552" s="5" t="s">
        <v>1284</v>
      </c>
      <c r="H552" s="5" t="s">
        <v>1308</v>
      </c>
      <c r="I552" s="5">
        <v>3513</v>
      </c>
      <c r="J552" s="5" t="s">
        <v>45</v>
      </c>
      <c r="K552" s="5" t="s">
        <v>1262</v>
      </c>
    </row>
    <row r="553" spans="1:11" x14ac:dyDescent="0.25">
      <c r="A553" s="6" t="s">
        <v>595</v>
      </c>
      <c r="B553" s="6" t="s">
        <v>1788</v>
      </c>
      <c r="C553" s="6" t="s">
        <v>1264</v>
      </c>
      <c r="D553" s="6" t="s">
        <v>1255</v>
      </c>
      <c r="E553" s="6" t="s">
        <v>55</v>
      </c>
      <c r="F553" s="6" t="s">
        <v>34</v>
      </c>
      <c r="G553" s="6" t="s">
        <v>1684</v>
      </c>
      <c r="H553" s="6" t="s">
        <v>1299</v>
      </c>
      <c r="I553" s="6">
        <v>21693</v>
      </c>
      <c r="J553" s="6" t="s">
        <v>22</v>
      </c>
      <c r="K553" s="6" t="s">
        <v>1262</v>
      </c>
    </row>
    <row r="554" spans="1:11" x14ac:dyDescent="0.25">
      <c r="A554" s="5" t="s">
        <v>596</v>
      </c>
      <c r="B554" s="5" t="s">
        <v>1789</v>
      </c>
      <c r="C554" s="5" t="s">
        <v>1269</v>
      </c>
      <c r="D554" s="5" t="s">
        <v>36</v>
      </c>
      <c r="E554" s="5" t="s">
        <v>20</v>
      </c>
      <c r="F554" s="5" t="s">
        <v>21</v>
      </c>
      <c r="G554" s="5" t="s">
        <v>1297</v>
      </c>
      <c r="H554" s="5" t="s">
        <v>1454</v>
      </c>
      <c r="I554" s="5">
        <v>6580</v>
      </c>
      <c r="J554" s="5" t="s">
        <v>29</v>
      </c>
      <c r="K554" s="5" t="s">
        <v>1286</v>
      </c>
    </row>
    <row r="555" spans="1:11" x14ac:dyDescent="0.25">
      <c r="A555" s="6" t="s">
        <v>597</v>
      </c>
      <c r="B555" s="6" t="s">
        <v>1357</v>
      </c>
      <c r="C555" s="6" t="s">
        <v>1259</v>
      </c>
      <c r="D555" s="6" t="s">
        <v>1255</v>
      </c>
      <c r="E555" s="6" t="s">
        <v>49</v>
      </c>
      <c r="F555" s="6" t="s">
        <v>50</v>
      </c>
      <c r="G555" s="6" t="s">
        <v>1271</v>
      </c>
      <c r="H555" s="6" t="s">
        <v>1291</v>
      </c>
      <c r="I555" s="6">
        <v>53850</v>
      </c>
      <c r="J555" s="6" t="s">
        <v>22</v>
      </c>
      <c r="K555" s="6" t="s">
        <v>46</v>
      </c>
    </row>
    <row r="556" spans="1:11" x14ac:dyDescent="0.25">
      <c r="A556" s="5" t="s">
        <v>598</v>
      </c>
      <c r="B556" s="5" t="s">
        <v>1709</v>
      </c>
      <c r="C556" s="5" t="s">
        <v>1269</v>
      </c>
      <c r="D556" s="5" t="s">
        <v>1270</v>
      </c>
      <c r="E556" s="5" t="s">
        <v>1524</v>
      </c>
      <c r="F556" s="5" t="s">
        <v>15</v>
      </c>
      <c r="G556" s="5" t="s">
        <v>1256</v>
      </c>
      <c r="H556" s="5" t="s">
        <v>1257</v>
      </c>
      <c r="I556" s="5">
        <v>7995</v>
      </c>
      <c r="J556" s="5" t="s">
        <v>22</v>
      </c>
      <c r="K556" s="5" t="s">
        <v>1286</v>
      </c>
    </row>
    <row r="557" spans="1:11" x14ac:dyDescent="0.25">
      <c r="A557" s="6" t="s">
        <v>599</v>
      </c>
      <c r="B557" s="6" t="s">
        <v>1662</v>
      </c>
      <c r="C557" s="6" t="s">
        <v>1269</v>
      </c>
      <c r="D557" s="6" t="s">
        <v>1270</v>
      </c>
      <c r="E557" s="6" t="s">
        <v>20</v>
      </c>
      <c r="F557" s="6" t="s">
        <v>21</v>
      </c>
      <c r="G557" s="6" t="s">
        <v>1284</v>
      </c>
      <c r="H557" s="6" t="s">
        <v>1377</v>
      </c>
      <c r="I557" s="6">
        <v>6186</v>
      </c>
      <c r="J557" s="6" t="s">
        <v>29</v>
      </c>
      <c r="K557" s="6" t="s">
        <v>46</v>
      </c>
    </row>
    <row r="558" spans="1:11" x14ac:dyDescent="0.25">
      <c r="A558" s="5" t="s">
        <v>600</v>
      </c>
      <c r="B558" s="5" t="s">
        <v>1790</v>
      </c>
      <c r="C558" s="5" t="s">
        <v>1269</v>
      </c>
      <c r="D558" s="5" t="s">
        <v>1296</v>
      </c>
      <c r="E558" s="5" t="s">
        <v>66</v>
      </c>
      <c r="F558" s="5" t="s">
        <v>67</v>
      </c>
      <c r="G558" s="5" t="s">
        <v>1337</v>
      </c>
      <c r="H558" s="5" t="s">
        <v>1317</v>
      </c>
      <c r="I558" s="5">
        <v>1967</v>
      </c>
      <c r="J558" s="5" t="s">
        <v>22</v>
      </c>
      <c r="K558" s="5" t="s">
        <v>46</v>
      </c>
    </row>
    <row r="559" spans="1:11" x14ac:dyDescent="0.25">
      <c r="A559" s="6" t="s">
        <v>601</v>
      </c>
      <c r="B559" s="6" t="s">
        <v>1791</v>
      </c>
      <c r="C559" s="6" t="s">
        <v>1259</v>
      </c>
      <c r="D559" s="6" t="s">
        <v>1283</v>
      </c>
      <c r="E559" s="6" t="s">
        <v>27</v>
      </c>
      <c r="F559" s="6" t="s">
        <v>28</v>
      </c>
      <c r="G559" s="6" t="s">
        <v>1337</v>
      </c>
      <c r="H559" s="6" t="s">
        <v>1266</v>
      </c>
      <c r="I559" s="6">
        <v>10435</v>
      </c>
      <c r="J559" s="6" t="s">
        <v>1267</v>
      </c>
      <c r="K559" s="6" t="s">
        <v>46</v>
      </c>
    </row>
    <row r="560" spans="1:11" x14ac:dyDescent="0.25">
      <c r="A560" s="5" t="s">
        <v>602</v>
      </c>
      <c r="B560" s="5" t="s">
        <v>1443</v>
      </c>
      <c r="C560" s="5" t="s">
        <v>1288</v>
      </c>
      <c r="D560" s="5" t="s">
        <v>1270</v>
      </c>
      <c r="E560" s="5" t="s">
        <v>41</v>
      </c>
      <c r="F560" s="5" t="s">
        <v>42</v>
      </c>
      <c r="G560" s="5" t="s">
        <v>1277</v>
      </c>
      <c r="H560" s="5" t="s">
        <v>1325</v>
      </c>
      <c r="I560" s="5">
        <v>21681</v>
      </c>
      <c r="J560" s="5" t="s">
        <v>22</v>
      </c>
      <c r="K560" s="5" t="s">
        <v>17</v>
      </c>
    </row>
    <row r="561" spans="1:11" x14ac:dyDescent="0.25">
      <c r="A561" s="6" t="s">
        <v>603</v>
      </c>
      <c r="B561" s="6" t="s">
        <v>1792</v>
      </c>
      <c r="C561" s="6" t="s">
        <v>53</v>
      </c>
      <c r="D561" s="6"/>
      <c r="E561" s="6" t="s">
        <v>1444</v>
      </c>
      <c r="F561" s="6" t="s">
        <v>38</v>
      </c>
      <c r="G561" s="6" t="s">
        <v>1576</v>
      </c>
      <c r="H561" s="6" t="s">
        <v>1342</v>
      </c>
      <c r="I561" s="6">
        <v>39069</v>
      </c>
      <c r="J561" s="6" t="s">
        <v>16</v>
      </c>
      <c r="K561" s="6" t="s">
        <v>1286</v>
      </c>
    </row>
    <row r="562" spans="1:11" x14ac:dyDescent="0.25">
      <c r="A562" s="5" t="s">
        <v>604</v>
      </c>
      <c r="B562" s="5" t="s">
        <v>1793</v>
      </c>
      <c r="C562" s="5" t="s">
        <v>1264</v>
      </c>
      <c r="D562" s="5" t="s">
        <v>1296</v>
      </c>
      <c r="E562" s="5" t="s">
        <v>20</v>
      </c>
      <c r="F562" s="5" t="s">
        <v>21</v>
      </c>
      <c r="G562" s="5" t="s">
        <v>1315</v>
      </c>
      <c r="H562" s="5" t="s">
        <v>1261</v>
      </c>
      <c r="I562" s="5">
        <v>5408</v>
      </c>
      <c r="J562" s="5" t="s">
        <v>22</v>
      </c>
      <c r="K562" s="5" t="s">
        <v>1286</v>
      </c>
    </row>
    <row r="563" spans="1:11" x14ac:dyDescent="0.25">
      <c r="A563" s="6" t="s">
        <v>605</v>
      </c>
      <c r="B563" s="6" t="s">
        <v>1794</v>
      </c>
      <c r="C563" s="6" t="s">
        <v>1264</v>
      </c>
      <c r="D563" s="6" t="s">
        <v>1275</v>
      </c>
      <c r="E563" s="6" t="s">
        <v>37</v>
      </c>
      <c r="F563" s="6" t="s">
        <v>38</v>
      </c>
      <c r="G563" s="6" t="s">
        <v>1256</v>
      </c>
      <c r="H563" s="6" t="s">
        <v>1281</v>
      </c>
      <c r="I563" s="6">
        <v>35560</v>
      </c>
      <c r="J563" s="6" t="s">
        <v>29</v>
      </c>
      <c r="K563" s="6" t="s">
        <v>46</v>
      </c>
    </row>
    <row r="564" spans="1:11" x14ac:dyDescent="0.25">
      <c r="A564" s="5" t="s">
        <v>606</v>
      </c>
      <c r="B564" s="5" t="s">
        <v>1795</v>
      </c>
      <c r="C564" s="5" t="s">
        <v>1269</v>
      </c>
      <c r="D564" s="5" t="s">
        <v>1283</v>
      </c>
      <c r="E564" s="5" t="s">
        <v>63</v>
      </c>
      <c r="F564" s="5" t="s">
        <v>59</v>
      </c>
      <c r="G564" s="5" t="s">
        <v>1301</v>
      </c>
      <c r="H564" s="5" t="s">
        <v>1308</v>
      </c>
      <c r="I564" s="5">
        <v>2823</v>
      </c>
      <c r="J564" s="5" t="s">
        <v>29</v>
      </c>
      <c r="K564" s="5" t="s">
        <v>46</v>
      </c>
    </row>
    <row r="565" spans="1:11" x14ac:dyDescent="0.25">
      <c r="A565" s="6" t="s">
        <v>607</v>
      </c>
      <c r="B565" s="6" t="s">
        <v>1796</v>
      </c>
      <c r="C565" s="6" t="s">
        <v>1288</v>
      </c>
      <c r="D565" s="6" t="s">
        <v>36</v>
      </c>
      <c r="E565" s="6" t="s">
        <v>41</v>
      </c>
      <c r="F565" s="6" t="s">
        <v>42</v>
      </c>
      <c r="G565" s="6" t="s">
        <v>1364</v>
      </c>
      <c r="H565" s="6" t="s">
        <v>1311</v>
      </c>
      <c r="I565" s="6">
        <v>20733</v>
      </c>
      <c r="J565" s="6" t="s">
        <v>16</v>
      </c>
      <c r="K565" s="6" t="s">
        <v>17</v>
      </c>
    </row>
    <row r="566" spans="1:11" x14ac:dyDescent="0.25">
      <c r="A566" s="5" t="s">
        <v>608</v>
      </c>
      <c r="B566" s="5" t="s">
        <v>1797</v>
      </c>
      <c r="C566" s="5" t="s">
        <v>1259</v>
      </c>
      <c r="D566" s="5" t="s">
        <v>1296</v>
      </c>
      <c r="E566" s="5" t="s">
        <v>1489</v>
      </c>
      <c r="F566" s="5" t="s">
        <v>67</v>
      </c>
      <c r="G566" s="5" t="s">
        <v>1271</v>
      </c>
      <c r="H566" s="5" t="s">
        <v>1317</v>
      </c>
      <c r="I566" s="5">
        <v>1951</v>
      </c>
      <c r="J566" s="5" t="s">
        <v>45</v>
      </c>
      <c r="K566" s="5" t="s">
        <v>17</v>
      </c>
    </row>
    <row r="567" spans="1:11" x14ac:dyDescent="0.25">
      <c r="A567" s="6" t="s">
        <v>609</v>
      </c>
      <c r="B567" s="6" t="s">
        <v>1459</v>
      </c>
      <c r="C567" s="6" t="s">
        <v>1259</v>
      </c>
      <c r="D567" s="6" t="s">
        <v>1275</v>
      </c>
      <c r="E567" s="6" t="s">
        <v>55</v>
      </c>
      <c r="F567" s="6" t="s">
        <v>34</v>
      </c>
      <c r="G567" s="6" t="s">
        <v>1260</v>
      </c>
      <c r="H567" s="6" t="s">
        <v>1278</v>
      </c>
      <c r="I567" s="6">
        <v>21734</v>
      </c>
      <c r="J567" s="6" t="s">
        <v>22</v>
      </c>
      <c r="K567" s="6" t="s">
        <v>1286</v>
      </c>
    </row>
    <row r="568" spans="1:11" x14ac:dyDescent="0.25">
      <c r="A568" s="5" t="s">
        <v>610</v>
      </c>
      <c r="B568" s="5" t="s">
        <v>1798</v>
      </c>
      <c r="C568" s="5" t="s">
        <v>62</v>
      </c>
      <c r="D568" s="5" t="s">
        <v>1275</v>
      </c>
      <c r="E568" s="5" t="s">
        <v>49</v>
      </c>
      <c r="F568" s="5" t="s">
        <v>50</v>
      </c>
      <c r="G568" s="5" t="s">
        <v>1405</v>
      </c>
      <c r="H568" s="5" t="s">
        <v>1304</v>
      </c>
      <c r="I568" s="5">
        <v>54873</v>
      </c>
      <c r="J568" s="5" t="s">
        <v>16</v>
      </c>
      <c r="K568" s="5" t="s">
        <v>1273</v>
      </c>
    </row>
    <row r="569" spans="1:11" x14ac:dyDescent="0.25">
      <c r="A569" s="6" t="s">
        <v>611</v>
      </c>
      <c r="B569" s="6" t="s">
        <v>1799</v>
      </c>
      <c r="C569" s="6" t="s">
        <v>73</v>
      </c>
      <c r="D569" s="6" t="s">
        <v>1296</v>
      </c>
      <c r="E569" s="6" t="s">
        <v>41</v>
      </c>
      <c r="F569" s="6" t="s">
        <v>42</v>
      </c>
      <c r="G569" s="6" t="s">
        <v>1408</v>
      </c>
      <c r="H569" s="6" t="s">
        <v>1311</v>
      </c>
      <c r="I569" s="6">
        <v>17921</v>
      </c>
      <c r="J569" s="6" t="s">
        <v>16</v>
      </c>
      <c r="K569" s="6" t="s">
        <v>1286</v>
      </c>
    </row>
    <row r="570" spans="1:11" x14ac:dyDescent="0.25">
      <c r="A570" s="5" t="s">
        <v>612</v>
      </c>
      <c r="B570" s="5" t="s">
        <v>1785</v>
      </c>
      <c r="C570" s="5" t="s">
        <v>1288</v>
      </c>
      <c r="D570" s="5" t="s">
        <v>26</v>
      </c>
      <c r="E570" s="5" t="s">
        <v>14</v>
      </c>
      <c r="F570" s="5" t="s">
        <v>15</v>
      </c>
      <c r="G570" s="5" t="s">
        <v>1294</v>
      </c>
      <c r="H570" s="5" t="s">
        <v>1257</v>
      </c>
      <c r="I570" s="5">
        <v>8767</v>
      </c>
      <c r="J570" s="5" t="s">
        <v>1267</v>
      </c>
      <c r="K570" s="5" t="s">
        <v>1286</v>
      </c>
    </row>
    <row r="571" spans="1:11" x14ac:dyDescent="0.25">
      <c r="A571" s="6" t="s">
        <v>613</v>
      </c>
      <c r="B571" s="6" t="s">
        <v>1800</v>
      </c>
      <c r="C571" s="6" t="s">
        <v>62</v>
      </c>
      <c r="D571" s="6" t="s">
        <v>1296</v>
      </c>
      <c r="E571" s="6" t="s">
        <v>1394</v>
      </c>
      <c r="F571" s="6" t="s">
        <v>34</v>
      </c>
      <c r="G571" s="6" t="s">
        <v>1301</v>
      </c>
      <c r="H571" s="6" t="s">
        <v>1278</v>
      </c>
      <c r="I571" s="6">
        <v>21494</v>
      </c>
      <c r="J571" s="6" t="s">
        <v>45</v>
      </c>
      <c r="K571" s="6" t="s">
        <v>17</v>
      </c>
    </row>
    <row r="572" spans="1:11" x14ac:dyDescent="0.25">
      <c r="A572" s="5" t="s">
        <v>614</v>
      </c>
      <c r="B572" s="5" t="s">
        <v>1414</v>
      </c>
      <c r="C572" s="5" t="s">
        <v>1288</v>
      </c>
      <c r="D572" s="5" t="s">
        <v>1275</v>
      </c>
      <c r="E572" s="5" t="s">
        <v>20</v>
      </c>
      <c r="F572" s="5" t="s">
        <v>21</v>
      </c>
      <c r="G572" s="5" t="s">
        <v>1315</v>
      </c>
      <c r="H572" s="5" t="s">
        <v>1261</v>
      </c>
      <c r="I572" s="5">
        <v>6535</v>
      </c>
      <c r="J572" s="5" t="s">
        <v>22</v>
      </c>
      <c r="K572" s="5" t="s">
        <v>1262</v>
      </c>
    </row>
    <row r="573" spans="1:11" x14ac:dyDescent="0.25">
      <c r="A573" s="6" t="s">
        <v>615</v>
      </c>
      <c r="B573" s="6" t="s">
        <v>1801</v>
      </c>
      <c r="C573" s="6" t="s">
        <v>73</v>
      </c>
      <c r="D573" s="6" t="s">
        <v>26</v>
      </c>
      <c r="E573" s="6" t="s">
        <v>55</v>
      </c>
      <c r="F573" s="6" t="s">
        <v>34</v>
      </c>
      <c r="G573" s="6" t="s">
        <v>1256</v>
      </c>
      <c r="H573" s="6" t="s">
        <v>1299</v>
      </c>
      <c r="I573" s="6">
        <v>24527</v>
      </c>
      <c r="J573" s="6" t="s">
        <v>45</v>
      </c>
      <c r="K573" s="6" t="s">
        <v>46</v>
      </c>
    </row>
    <row r="574" spans="1:11" x14ac:dyDescent="0.25">
      <c r="A574" s="5" t="s">
        <v>616</v>
      </c>
      <c r="B574" s="5" t="s">
        <v>1802</v>
      </c>
      <c r="C574" s="5" t="s">
        <v>1288</v>
      </c>
      <c r="D574" s="5" t="s">
        <v>1296</v>
      </c>
      <c r="E574" s="5" t="s">
        <v>66</v>
      </c>
      <c r="F574" s="5" t="s">
        <v>67</v>
      </c>
      <c r="G574" s="5" t="s">
        <v>1294</v>
      </c>
      <c r="H574" s="5" t="s">
        <v>1317</v>
      </c>
      <c r="I574" s="5">
        <v>1800</v>
      </c>
      <c r="J574" s="5" t="s">
        <v>45</v>
      </c>
      <c r="K574" s="5" t="s">
        <v>17</v>
      </c>
    </row>
    <row r="575" spans="1:11" x14ac:dyDescent="0.25">
      <c r="A575" s="6" t="s">
        <v>617</v>
      </c>
      <c r="B575" s="6" t="s">
        <v>1400</v>
      </c>
      <c r="C575" s="6" t="s">
        <v>1269</v>
      </c>
      <c r="D575" s="6" t="s">
        <v>26</v>
      </c>
      <c r="E575" s="6" t="s">
        <v>66</v>
      </c>
      <c r="F575" s="6" t="s">
        <v>67</v>
      </c>
      <c r="G575" s="6" t="s">
        <v>1277</v>
      </c>
      <c r="H575" s="6" t="s">
        <v>1482</v>
      </c>
      <c r="I575" s="6">
        <v>1919</v>
      </c>
      <c r="J575" s="6" t="s">
        <v>1267</v>
      </c>
      <c r="K575" s="6" t="s">
        <v>17</v>
      </c>
    </row>
    <row r="576" spans="1:11" x14ac:dyDescent="0.25">
      <c r="A576" s="5" t="s">
        <v>618</v>
      </c>
      <c r="B576" s="5" t="s">
        <v>1508</v>
      </c>
      <c r="C576" s="5" t="s">
        <v>53</v>
      </c>
      <c r="D576" s="5" t="s">
        <v>1275</v>
      </c>
      <c r="E576" s="5" t="s">
        <v>1319</v>
      </c>
      <c r="F576" s="5" t="s">
        <v>59</v>
      </c>
      <c r="G576" s="5" t="s">
        <v>1301</v>
      </c>
      <c r="H576" s="5" t="s">
        <v>1308</v>
      </c>
      <c r="I576" s="5">
        <v>3128</v>
      </c>
      <c r="J576" s="5" t="s">
        <v>45</v>
      </c>
      <c r="K576" s="5" t="s">
        <v>17</v>
      </c>
    </row>
    <row r="577" spans="1:11" x14ac:dyDescent="0.25">
      <c r="A577" s="6" t="s">
        <v>619</v>
      </c>
      <c r="B577" s="6" t="s">
        <v>1803</v>
      </c>
      <c r="C577" s="6" t="s">
        <v>48</v>
      </c>
      <c r="D577" s="6" t="s">
        <v>1296</v>
      </c>
      <c r="E577" s="6" t="s">
        <v>37</v>
      </c>
      <c r="F577" s="6" t="s">
        <v>38</v>
      </c>
      <c r="G577" s="6" t="s">
        <v>1408</v>
      </c>
      <c r="H577" s="6" t="s">
        <v>1342</v>
      </c>
      <c r="I577" s="6">
        <v>42287</v>
      </c>
      <c r="J577" s="6" t="s">
        <v>22</v>
      </c>
      <c r="K577" s="6" t="s">
        <v>46</v>
      </c>
    </row>
    <row r="578" spans="1:11" x14ac:dyDescent="0.25">
      <c r="A578" s="5" t="s">
        <v>620</v>
      </c>
      <c r="B578" s="5" t="s">
        <v>1370</v>
      </c>
      <c r="C578" s="5" t="s">
        <v>1254</v>
      </c>
      <c r="D578" s="5" t="s">
        <v>1270</v>
      </c>
      <c r="E578" s="5" t="s">
        <v>49</v>
      </c>
      <c r="F578" s="5" t="s">
        <v>50</v>
      </c>
      <c r="G578" s="5" t="s">
        <v>1313</v>
      </c>
      <c r="H578" s="5" t="s">
        <v>1291</v>
      </c>
      <c r="I578" s="5">
        <v>55704</v>
      </c>
      <c r="J578" s="5" t="s">
        <v>45</v>
      </c>
      <c r="K578" s="5" t="s">
        <v>1286</v>
      </c>
    </row>
    <row r="579" spans="1:11" x14ac:dyDescent="0.25">
      <c r="A579" s="6" t="s">
        <v>621</v>
      </c>
      <c r="B579" s="6" t="s">
        <v>1804</v>
      </c>
      <c r="C579" s="6" t="s">
        <v>1254</v>
      </c>
      <c r="D579" s="6" t="s">
        <v>26</v>
      </c>
      <c r="E579" s="6" t="s">
        <v>55</v>
      </c>
      <c r="F579" s="6" t="s">
        <v>34</v>
      </c>
      <c r="G579" s="6" t="s">
        <v>1265</v>
      </c>
      <c r="H579" s="6" t="s">
        <v>1278</v>
      </c>
      <c r="I579" s="6">
        <v>24945</v>
      </c>
      <c r="J579" s="6" t="s">
        <v>45</v>
      </c>
      <c r="K579" s="6" t="s">
        <v>17</v>
      </c>
    </row>
    <row r="580" spans="1:11" x14ac:dyDescent="0.25">
      <c r="A580" s="5" t="s">
        <v>622</v>
      </c>
      <c r="B580" s="5" t="s">
        <v>1805</v>
      </c>
      <c r="C580" s="5" t="s">
        <v>1264</v>
      </c>
      <c r="D580" s="5" t="s">
        <v>1270</v>
      </c>
      <c r="E580" s="5" t="s">
        <v>49</v>
      </c>
      <c r="F580" s="5" t="s">
        <v>50</v>
      </c>
      <c r="G580" s="5" t="s">
        <v>1271</v>
      </c>
      <c r="H580" s="5" t="s">
        <v>1291</v>
      </c>
      <c r="I580" s="5">
        <v>56364</v>
      </c>
      <c r="J580" s="5" t="s">
        <v>29</v>
      </c>
      <c r="K580" s="5" t="s">
        <v>1262</v>
      </c>
    </row>
    <row r="581" spans="1:11" x14ac:dyDescent="0.25">
      <c r="A581" s="6" t="s">
        <v>623</v>
      </c>
      <c r="B581" s="6" t="s">
        <v>1564</v>
      </c>
      <c r="C581" s="6" t="s">
        <v>1269</v>
      </c>
      <c r="D581" s="6" t="s">
        <v>1296</v>
      </c>
      <c r="E581" s="6" t="s">
        <v>1401</v>
      </c>
      <c r="F581" s="6" t="s">
        <v>67</v>
      </c>
      <c r="G581" s="6" t="s">
        <v>1303</v>
      </c>
      <c r="H581" s="6" t="s">
        <v>1335</v>
      </c>
      <c r="I581" s="6">
        <v>1572</v>
      </c>
      <c r="J581" s="6" t="s">
        <v>1267</v>
      </c>
      <c r="K581" s="6" t="s">
        <v>17</v>
      </c>
    </row>
    <row r="582" spans="1:11" x14ac:dyDescent="0.25">
      <c r="A582" s="5" t="s">
        <v>624</v>
      </c>
      <c r="B582" s="5" t="s">
        <v>1806</v>
      </c>
      <c r="C582" s="5" t="s">
        <v>53</v>
      </c>
      <c r="D582" s="5" t="s">
        <v>1275</v>
      </c>
      <c r="E582" s="5" t="s">
        <v>49</v>
      </c>
      <c r="F582" s="5" t="s">
        <v>50</v>
      </c>
      <c r="G582" s="5" t="s">
        <v>1277</v>
      </c>
      <c r="H582" s="5" t="s">
        <v>1304</v>
      </c>
      <c r="I582" s="5">
        <v>51042</v>
      </c>
      <c r="J582" s="5" t="s">
        <v>16</v>
      </c>
      <c r="K582" s="5" t="s">
        <v>46</v>
      </c>
    </row>
    <row r="583" spans="1:11" x14ac:dyDescent="0.25">
      <c r="A583" s="6" t="s">
        <v>625</v>
      </c>
      <c r="B583" s="6" t="s">
        <v>1807</v>
      </c>
      <c r="C583" s="6" t="s">
        <v>1288</v>
      </c>
      <c r="D583" s="6" t="s">
        <v>1270</v>
      </c>
      <c r="E583" s="6" t="s">
        <v>66</v>
      </c>
      <c r="F583" s="6" t="s">
        <v>67</v>
      </c>
      <c r="G583" s="6" t="s">
        <v>1301</v>
      </c>
      <c r="H583" s="6" t="s">
        <v>1317</v>
      </c>
      <c r="I583" s="6">
        <v>1854</v>
      </c>
      <c r="J583" s="6" t="s">
        <v>29</v>
      </c>
      <c r="K583" s="6" t="s">
        <v>1286</v>
      </c>
    </row>
    <row r="584" spans="1:11" x14ac:dyDescent="0.25">
      <c r="A584" s="5" t="s">
        <v>626</v>
      </c>
      <c r="B584" s="5" t="s">
        <v>1808</v>
      </c>
      <c r="C584" s="5" t="s">
        <v>1288</v>
      </c>
      <c r="D584" s="5" t="s">
        <v>26</v>
      </c>
      <c r="E584" s="5" t="s">
        <v>41</v>
      </c>
      <c r="F584" s="5" t="s">
        <v>42</v>
      </c>
      <c r="G584" s="5" t="s">
        <v>1256</v>
      </c>
      <c r="H584" s="5" t="s">
        <v>1325</v>
      </c>
      <c r="I584" s="5">
        <v>20171</v>
      </c>
      <c r="J584" s="5" t="s">
        <v>45</v>
      </c>
      <c r="K584" s="5" t="s">
        <v>1286</v>
      </c>
    </row>
    <row r="585" spans="1:11" x14ac:dyDescent="0.25">
      <c r="A585" s="6" t="s">
        <v>627</v>
      </c>
      <c r="B585" s="6" t="s">
        <v>1460</v>
      </c>
      <c r="C585" s="6" t="s">
        <v>48</v>
      </c>
      <c r="D585" s="6" t="s">
        <v>26</v>
      </c>
      <c r="E585" s="6" t="s">
        <v>55</v>
      </c>
      <c r="F585" s="6" t="s">
        <v>34</v>
      </c>
      <c r="G585" s="6" t="s">
        <v>1499</v>
      </c>
      <c r="H585" s="6" t="s">
        <v>1299</v>
      </c>
      <c r="I585" s="6">
        <v>21728</v>
      </c>
      <c r="J585" s="6" t="s">
        <v>29</v>
      </c>
      <c r="K585" s="6" t="s">
        <v>1286</v>
      </c>
    </row>
    <row r="586" spans="1:11" x14ac:dyDescent="0.25">
      <c r="A586" s="5" t="s">
        <v>628</v>
      </c>
      <c r="B586" s="5" t="s">
        <v>1357</v>
      </c>
      <c r="C586" s="5" t="s">
        <v>53</v>
      </c>
      <c r="D586" s="5" t="s">
        <v>36</v>
      </c>
      <c r="E586" s="5" t="s">
        <v>1524</v>
      </c>
      <c r="F586" s="5" t="s">
        <v>15</v>
      </c>
      <c r="G586" s="5" t="s">
        <v>1280</v>
      </c>
      <c r="H586" s="5" t="s">
        <v>1257</v>
      </c>
      <c r="I586" s="5">
        <v>7764</v>
      </c>
      <c r="J586" s="5" t="s">
        <v>22</v>
      </c>
      <c r="K586" s="5"/>
    </row>
    <row r="587" spans="1:11" x14ac:dyDescent="0.25">
      <c r="A587" s="6" t="s">
        <v>629</v>
      </c>
      <c r="B587" s="6" t="s">
        <v>1467</v>
      </c>
      <c r="C587" s="6" t="s">
        <v>48</v>
      </c>
      <c r="D587" s="6" t="s">
        <v>1270</v>
      </c>
      <c r="E587" s="6" t="s">
        <v>66</v>
      </c>
      <c r="F587" s="6" t="s">
        <v>67</v>
      </c>
      <c r="G587" s="6" t="s">
        <v>1313</v>
      </c>
      <c r="H587" s="6" t="s">
        <v>1317</v>
      </c>
      <c r="I587" s="6">
        <v>1515</v>
      </c>
      <c r="J587" s="6" t="s">
        <v>29</v>
      </c>
      <c r="K587" s="6" t="s">
        <v>1286</v>
      </c>
    </row>
    <row r="588" spans="1:11" x14ac:dyDescent="0.25">
      <c r="A588" s="5" t="s">
        <v>630</v>
      </c>
      <c r="B588" s="5" t="s">
        <v>1496</v>
      </c>
      <c r="C588" s="5" t="s">
        <v>1269</v>
      </c>
      <c r="D588" s="5" t="s">
        <v>26</v>
      </c>
      <c r="E588" s="5" t="s">
        <v>27</v>
      </c>
      <c r="F588" s="5" t="s">
        <v>28</v>
      </c>
      <c r="G588" s="5" t="s">
        <v>1315</v>
      </c>
      <c r="H588" s="5" t="s">
        <v>1266</v>
      </c>
      <c r="I588" s="5">
        <v>10288</v>
      </c>
      <c r="J588" s="5" t="s">
        <v>22</v>
      </c>
      <c r="K588" s="5" t="s">
        <v>1273</v>
      </c>
    </row>
    <row r="589" spans="1:11" x14ac:dyDescent="0.25">
      <c r="A589" s="6" t="s">
        <v>631</v>
      </c>
      <c r="B589" s="6" t="s">
        <v>1809</v>
      </c>
      <c r="C589" s="6" t="s">
        <v>1269</v>
      </c>
      <c r="D589" s="6" t="s">
        <v>1270</v>
      </c>
      <c r="E589" s="6" t="s">
        <v>20</v>
      </c>
      <c r="F589" s="6" t="s">
        <v>21</v>
      </c>
      <c r="G589" s="6" t="s">
        <v>1405</v>
      </c>
      <c r="H589" s="6" t="s">
        <v>1377</v>
      </c>
      <c r="I589" s="6">
        <v>5828</v>
      </c>
      <c r="J589" s="6" t="s">
        <v>45</v>
      </c>
      <c r="K589" s="6" t="s">
        <v>1262</v>
      </c>
    </row>
    <row r="590" spans="1:11" x14ac:dyDescent="0.25">
      <c r="A590" s="5" t="s">
        <v>632</v>
      </c>
      <c r="B590" s="5" t="s">
        <v>1571</v>
      </c>
      <c r="C590" s="5" t="s">
        <v>1288</v>
      </c>
      <c r="D590" s="5" t="s">
        <v>26</v>
      </c>
      <c r="E590" s="5" t="s">
        <v>66</v>
      </c>
      <c r="F590" s="5" t="s">
        <v>67</v>
      </c>
      <c r="G590" s="5" t="s">
        <v>1380</v>
      </c>
      <c r="H590" s="5" t="s">
        <v>1317</v>
      </c>
      <c r="I590" s="5">
        <v>1918</v>
      </c>
      <c r="J590" s="5" t="s">
        <v>45</v>
      </c>
      <c r="K590" s="5" t="s">
        <v>1273</v>
      </c>
    </row>
    <row r="591" spans="1:11" x14ac:dyDescent="0.25">
      <c r="A591" s="6" t="s">
        <v>633</v>
      </c>
      <c r="B591" s="6" t="s">
        <v>1810</v>
      </c>
      <c r="C591" s="6" t="s">
        <v>73</v>
      </c>
      <c r="D591" s="6" t="s">
        <v>1275</v>
      </c>
      <c r="E591" s="6" t="s">
        <v>1394</v>
      </c>
      <c r="F591" s="6" t="s">
        <v>34</v>
      </c>
      <c r="G591" s="6" t="s">
        <v>1307</v>
      </c>
      <c r="H591" s="6" t="s">
        <v>1278</v>
      </c>
      <c r="I591" s="6">
        <v>25678</v>
      </c>
      <c r="J591" s="6" t="s">
        <v>45</v>
      </c>
      <c r="K591" s="6" t="s">
        <v>1273</v>
      </c>
    </row>
    <row r="592" spans="1:11" x14ac:dyDescent="0.25">
      <c r="A592" s="5" t="s">
        <v>634</v>
      </c>
      <c r="B592" s="5" t="s">
        <v>1811</v>
      </c>
      <c r="C592" s="5" t="s">
        <v>1269</v>
      </c>
      <c r="D592" s="5" t="s">
        <v>1296</v>
      </c>
      <c r="E592" s="5" t="s">
        <v>49</v>
      </c>
      <c r="F592" s="5" t="s">
        <v>50</v>
      </c>
      <c r="G592" s="5" t="s">
        <v>1405</v>
      </c>
      <c r="H592" s="5" t="s">
        <v>1291</v>
      </c>
      <c r="I592" s="5">
        <v>49772</v>
      </c>
      <c r="J592" s="5" t="s">
        <v>1267</v>
      </c>
      <c r="K592" s="5" t="s">
        <v>1262</v>
      </c>
    </row>
    <row r="593" spans="1:11" x14ac:dyDescent="0.25">
      <c r="A593" s="6" t="s">
        <v>635</v>
      </c>
      <c r="B593" s="6" t="s">
        <v>1533</v>
      </c>
      <c r="C593" s="6" t="s">
        <v>1264</v>
      </c>
      <c r="D593" s="6" t="s">
        <v>1270</v>
      </c>
      <c r="E593" s="6" t="s">
        <v>49</v>
      </c>
      <c r="F593" s="6" t="s">
        <v>50</v>
      </c>
      <c r="G593" s="6" t="s">
        <v>1289</v>
      </c>
      <c r="H593" s="6" t="s">
        <v>1359</v>
      </c>
      <c r="I593" s="6">
        <v>45933</v>
      </c>
      <c r="J593" s="6" t="s">
        <v>45</v>
      </c>
      <c r="K593" s="6" t="s">
        <v>1262</v>
      </c>
    </row>
    <row r="594" spans="1:11" x14ac:dyDescent="0.25">
      <c r="A594" s="5" t="s">
        <v>636</v>
      </c>
      <c r="B594" s="5" t="s">
        <v>1546</v>
      </c>
      <c r="C594" s="5" t="s">
        <v>53</v>
      </c>
      <c r="D594" s="5" t="s">
        <v>1283</v>
      </c>
      <c r="E594" s="5" t="s">
        <v>27</v>
      </c>
      <c r="F594" s="5" t="s">
        <v>28</v>
      </c>
      <c r="G594" s="5" t="s">
        <v>1331</v>
      </c>
      <c r="H594" s="5" t="s">
        <v>1266</v>
      </c>
      <c r="I594" s="5">
        <v>10985</v>
      </c>
      <c r="J594" s="5" t="s">
        <v>29</v>
      </c>
      <c r="K594" s="5" t="s">
        <v>1286</v>
      </c>
    </row>
    <row r="595" spans="1:11" x14ac:dyDescent="0.25">
      <c r="A595" s="6" t="s">
        <v>637</v>
      </c>
      <c r="B595" s="6" t="s">
        <v>1812</v>
      </c>
      <c r="C595" s="6" t="s">
        <v>1288</v>
      </c>
      <c r="D595" s="6" t="s">
        <v>1283</v>
      </c>
      <c r="E595" s="6" t="s">
        <v>63</v>
      </c>
      <c r="F595" s="6" t="s">
        <v>59</v>
      </c>
      <c r="G595" s="6" t="s">
        <v>1277</v>
      </c>
      <c r="H595" s="6" t="s">
        <v>1308</v>
      </c>
      <c r="I595" s="6">
        <v>2930</v>
      </c>
      <c r="J595" s="6" t="s">
        <v>22</v>
      </c>
      <c r="K595" s="6" t="s">
        <v>1262</v>
      </c>
    </row>
    <row r="596" spans="1:11" x14ac:dyDescent="0.25">
      <c r="A596" s="5" t="s">
        <v>638</v>
      </c>
      <c r="B596" s="5" t="s">
        <v>1813</v>
      </c>
      <c r="C596" s="5" t="s">
        <v>1288</v>
      </c>
      <c r="D596" s="5"/>
      <c r="E596" s="5" t="s">
        <v>1444</v>
      </c>
      <c r="F596" s="5" t="s">
        <v>38</v>
      </c>
      <c r="G596" s="5" t="s">
        <v>1313</v>
      </c>
      <c r="H596" s="5" t="s">
        <v>1367</v>
      </c>
      <c r="I596" s="5">
        <v>41464</v>
      </c>
      <c r="J596" s="5" t="s">
        <v>22</v>
      </c>
      <c r="K596" s="5" t="s">
        <v>1286</v>
      </c>
    </row>
    <row r="597" spans="1:11" x14ac:dyDescent="0.25">
      <c r="A597" s="6" t="s">
        <v>639</v>
      </c>
      <c r="B597" s="6" t="s">
        <v>1468</v>
      </c>
      <c r="C597" s="6" t="s">
        <v>62</v>
      </c>
      <c r="D597" s="6" t="s">
        <v>26</v>
      </c>
      <c r="E597" s="6" t="s">
        <v>55</v>
      </c>
      <c r="F597" s="6" t="s">
        <v>34</v>
      </c>
      <c r="G597" s="6" t="s">
        <v>1271</v>
      </c>
      <c r="H597" s="6" t="s">
        <v>1299</v>
      </c>
      <c r="I597" s="6">
        <v>26046</v>
      </c>
      <c r="J597" s="6" t="s">
        <v>45</v>
      </c>
      <c r="K597" s="6" t="s">
        <v>17</v>
      </c>
    </row>
    <row r="598" spans="1:11" x14ac:dyDescent="0.25">
      <c r="A598" s="5" t="s">
        <v>640</v>
      </c>
      <c r="B598" s="5" t="s">
        <v>1707</v>
      </c>
      <c r="C598" s="5" t="s">
        <v>73</v>
      </c>
      <c r="D598" s="5" t="s">
        <v>1296</v>
      </c>
      <c r="E598" s="5" t="s">
        <v>66</v>
      </c>
      <c r="F598" s="5" t="s">
        <v>67</v>
      </c>
      <c r="G598" s="5" t="s">
        <v>1307</v>
      </c>
      <c r="H598" s="5" t="s">
        <v>1317</v>
      </c>
      <c r="I598" s="5">
        <v>1639</v>
      </c>
      <c r="J598" s="5" t="s">
        <v>16</v>
      </c>
      <c r="K598" s="5" t="s">
        <v>46</v>
      </c>
    </row>
    <row r="599" spans="1:11" x14ac:dyDescent="0.25">
      <c r="A599" s="6" t="s">
        <v>641</v>
      </c>
      <c r="B599" s="6" t="s">
        <v>1814</v>
      </c>
      <c r="C599" s="6" t="s">
        <v>1264</v>
      </c>
      <c r="D599" s="6" t="s">
        <v>1255</v>
      </c>
      <c r="E599" s="6" t="s">
        <v>49</v>
      </c>
      <c r="F599" s="6" t="s">
        <v>50</v>
      </c>
      <c r="G599" s="6" t="s">
        <v>1271</v>
      </c>
      <c r="H599" s="6" t="s">
        <v>1291</v>
      </c>
      <c r="I599" s="6">
        <v>51879</v>
      </c>
      <c r="J599" s="6" t="s">
        <v>45</v>
      </c>
      <c r="K599" s="6" t="s">
        <v>46</v>
      </c>
    </row>
    <row r="600" spans="1:11" x14ac:dyDescent="0.25">
      <c r="A600" s="5" t="s">
        <v>642</v>
      </c>
      <c r="B600" s="5" t="s">
        <v>1815</v>
      </c>
      <c r="C600" s="5" t="s">
        <v>73</v>
      </c>
      <c r="D600" s="5" t="s">
        <v>1283</v>
      </c>
      <c r="E600" s="5" t="s">
        <v>14</v>
      </c>
      <c r="F600" s="5" t="s">
        <v>15</v>
      </c>
      <c r="G600" s="5" t="s">
        <v>1331</v>
      </c>
      <c r="H600" s="5" t="s">
        <v>1257</v>
      </c>
      <c r="I600" s="5">
        <v>9202</v>
      </c>
      <c r="J600" s="5" t="s">
        <v>1267</v>
      </c>
      <c r="K600" s="5" t="s">
        <v>17</v>
      </c>
    </row>
    <row r="601" spans="1:11" x14ac:dyDescent="0.25">
      <c r="A601" s="6" t="s">
        <v>633</v>
      </c>
      <c r="B601" s="6" t="s">
        <v>1816</v>
      </c>
      <c r="C601" s="6" t="s">
        <v>1264</v>
      </c>
      <c r="D601" s="6" t="s">
        <v>1296</v>
      </c>
      <c r="E601" s="6" t="s">
        <v>1607</v>
      </c>
      <c r="F601" s="6" t="s">
        <v>28</v>
      </c>
      <c r="G601" s="6" t="s">
        <v>1341</v>
      </c>
      <c r="H601" s="6" t="s">
        <v>1458</v>
      </c>
      <c r="I601" s="6">
        <v>9012</v>
      </c>
      <c r="J601" s="6" t="s">
        <v>16</v>
      </c>
      <c r="K601" s="6" t="s">
        <v>1262</v>
      </c>
    </row>
    <row r="602" spans="1:11" x14ac:dyDescent="0.25">
      <c r="A602" s="5" t="s">
        <v>643</v>
      </c>
      <c r="B602" s="5" t="s">
        <v>1817</v>
      </c>
      <c r="C602" s="5" t="s">
        <v>1259</v>
      </c>
      <c r="D602" s="5" t="s">
        <v>1255</v>
      </c>
      <c r="E602" s="5" t="s">
        <v>49</v>
      </c>
      <c r="F602" s="5" t="s">
        <v>50</v>
      </c>
      <c r="G602" s="5" t="s">
        <v>1364</v>
      </c>
      <c r="H602" s="5" t="s">
        <v>1291</v>
      </c>
      <c r="I602" s="5">
        <v>56888</v>
      </c>
      <c r="J602" s="5" t="s">
        <v>45</v>
      </c>
      <c r="K602" s="5" t="s">
        <v>46</v>
      </c>
    </row>
    <row r="603" spans="1:11" x14ac:dyDescent="0.25">
      <c r="A603" s="6" t="s">
        <v>644</v>
      </c>
      <c r="B603" s="6" t="s">
        <v>1818</v>
      </c>
      <c r="C603" s="6" t="s">
        <v>62</v>
      </c>
      <c r="D603" s="6" t="s">
        <v>26</v>
      </c>
      <c r="E603" s="6" t="s">
        <v>20</v>
      </c>
      <c r="F603" s="6" t="s">
        <v>21</v>
      </c>
      <c r="G603" s="6" t="s">
        <v>1284</v>
      </c>
      <c r="H603" s="6" t="s">
        <v>1454</v>
      </c>
      <c r="I603" s="6">
        <v>5180</v>
      </c>
      <c r="J603" s="6" t="s">
        <v>29</v>
      </c>
      <c r="K603" s="6" t="s">
        <v>1286</v>
      </c>
    </row>
    <row r="604" spans="1:11" x14ac:dyDescent="0.25">
      <c r="A604" s="5" t="s">
        <v>645</v>
      </c>
      <c r="B604" s="5" t="s">
        <v>1790</v>
      </c>
      <c r="C604" s="5" t="s">
        <v>53</v>
      </c>
      <c r="D604" s="5" t="s">
        <v>1270</v>
      </c>
      <c r="E604" s="5" t="s">
        <v>37</v>
      </c>
      <c r="F604" s="5" t="s">
        <v>38</v>
      </c>
      <c r="G604" s="5" t="s">
        <v>1405</v>
      </c>
      <c r="H604" s="5" t="s">
        <v>1281</v>
      </c>
      <c r="I604" s="5">
        <v>36756</v>
      </c>
      <c r="J604" s="5" t="s">
        <v>22</v>
      </c>
      <c r="K604" s="5" t="s">
        <v>46</v>
      </c>
    </row>
    <row r="605" spans="1:11" x14ac:dyDescent="0.25">
      <c r="A605" s="6" t="s">
        <v>646</v>
      </c>
      <c r="B605" s="6" t="s">
        <v>1819</v>
      </c>
      <c r="C605" s="6" t="s">
        <v>1254</v>
      </c>
      <c r="D605" s="6" t="s">
        <v>1283</v>
      </c>
      <c r="E605" s="6" t="s">
        <v>37</v>
      </c>
      <c r="F605" s="6" t="s">
        <v>38</v>
      </c>
      <c r="G605" s="6" t="s">
        <v>1256</v>
      </c>
      <c r="H605" s="6" t="s">
        <v>1342</v>
      </c>
      <c r="I605" s="6">
        <v>36658</v>
      </c>
      <c r="J605" s="6" t="s">
        <v>16</v>
      </c>
      <c r="K605" s="6" t="s">
        <v>1286</v>
      </c>
    </row>
    <row r="606" spans="1:11" x14ac:dyDescent="0.25">
      <c r="A606" s="5" t="s">
        <v>647</v>
      </c>
      <c r="B606" s="5" t="s">
        <v>1820</v>
      </c>
      <c r="C606" s="5" t="s">
        <v>73</v>
      </c>
      <c r="D606" s="5" t="s">
        <v>36</v>
      </c>
      <c r="E606" s="5" t="s">
        <v>1276</v>
      </c>
      <c r="F606" s="5" t="s">
        <v>34</v>
      </c>
      <c r="G606" s="5" t="s">
        <v>1260</v>
      </c>
      <c r="H606" s="5" t="s">
        <v>1278</v>
      </c>
      <c r="I606" s="5">
        <v>22797</v>
      </c>
      <c r="J606" s="5" t="s">
        <v>1267</v>
      </c>
      <c r="K606" s="5" t="s">
        <v>1286</v>
      </c>
    </row>
    <row r="607" spans="1:11" x14ac:dyDescent="0.25">
      <c r="A607" s="6" t="s">
        <v>648</v>
      </c>
      <c r="B607" s="6" t="s">
        <v>1821</v>
      </c>
      <c r="C607" s="6" t="s">
        <v>73</v>
      </c>
      <c r="D607" s="6" t="s">
        <v>26</v>
      </c>
      <c r="E607" s="6" t="s">
        <v>63</v>
      </c>
      <c r="F607" s="6" t="s">
        <v>59</v>
      </c>
      <c r="G607" s="6" t="s">
        <v>1284</v>
      </c>
      <c r="H607" s="6" t="s">
        <v>1308</v>
      </c>
      <c r="I607" s="6">
        <v>3295</v>
      </c>
      <c r="J607" s="6" t="s">
        <v>1267</v>
      </c>
      <c r="K607" s="6" t="s">
        <v>1286</v>
      </c>
    </row>
    <row r="608" spans="1:11" x14ac:dyDescent="0.25">
      <c r="A608" s="5" t="s">
        <v>649</v>
      </c>
      <c r="B608" s="5" t="s">
        <v>1496</v>
      </c>
      <c r="C608" s="5" t="s">
        <v>1269</v>
      </c>
      <c r="D608" s="5" t="s">
        <v>1283</v>
      </c>
      <c r="E608" s="5" t="s">
        <v>41</v>
      </c>
      <c r="F608" s="5" t="s">
        <v>42</v>
      </c>
      <c r="G608" s="5" t="s">
        <v>1271</v>
      </c>
      <c r="H608" s="5" t="s">
        <v>1325</v>
      </c>
      <c r="I608" s="5">
        <v>20026</v>
      </c>
      <c r="J608" s="5" t="s">
        <v>22</v>
      </c>
      <c r="K608" s="5" t="s">
        <v>17</v>
      </c>
    </row>
    <row r="609" spans="1:11" x14ac:dyDescent="0.25">
      <c r="A609" s="6" t="s">
        <v>650</v>
      </c>
      <c r="B609" s="6" t="s">
        <v>1822</v>
      </c>
      <c r="C609" s="6" t="s">
        <v>48</v>
      </c>
      <c r="D609" s="6" t="s">
        <v>1270</v>
      </c>
      <c r="E609" s="6" t="s">
        <v>20</v>
      </c>
      <c r="F609" s="6" t="s">
        <v>21</v>
      </c>
      <c r="G609" s="6" t="s">
        <v>1398</v>
      </c>
      <c r="H609" s="6" t="s">
        <v>1377</v>
      </c>
      <c r="I609" s="6">
        <v>5135</v>
      </c>
      <c r="J609" s="6" t="s">
        <v>22</v>
      </c>
      <c r="K609" s="6" t="s">
        <v>1273</v>
      </c>
    </row>
    <row r="610" spans="1:11" x14ac:dyDescent="0.25">
      <c r="A610" s="5" t="s">
        <v>651</v>
      </c>
      <c r="B610" s="5" t="s">
        <v>1464</v>
      </c>
      <c r="C610" s="5" t="s">
        <v>53</v>
      </c>
      <c r="D610" s="5" t="s">
        <v>1275</v>
      </c>
      <c r="E610" s="5" t="s">
        <v>20</v>
      </c>
      <c r="F610" s="5" t="s">
        <v>21</v>
      </c>
      <c r="G610" s="5" t="s">
        <v>1297</v>
      </c>
      <c r="H610" s="5" t="s">
        <v>1454</v>
      </c>
      <c r="I610" s="5">
        <v>5613</v>
      </c>
      <c r="J610" s="5" t="s">
        <v>1267</v>
      </c>
      <c r="K610" s="5" t="s">
        <v>1273</v>
      </c>
    </row>
    <row r="611" spans="1:11" x14ac:dyDescent="0.25">
      <c r="A611" s="6" t="s">
        <v>652</v>
      </c>
      <c r="B611" s="6" t="s">
        <v>1785</v>
      </c>
      <c r="C611" s="6" t="s">
        <v>53</v>
      </c>
      <c r="D611" s="6" t="s">
        <v>26</v>
      </c>
      <c r="E611" s="6" t="s">
        <v>1524</v>
      </c>
      <c r="F611" s="6" t="s">
        <v>15</v>
      </c>
      <c r="G611" s="6" t="s">
        <v>1307</v>
      </c>
      <c r="H611" s="6" t="s">
        <v>1257</v>
      </c>
      <c r="I611" s="6">
        <v>8405</v>
      </c>
      <c r="J611" s="6" t="s">
        <v>29</v>
      </c>
      <c r="K611" s="6" t="s">
        <v>17</v>
      </c>
    </row>
    <row r="612" spans="1:11" x14ac:dyDescent="0.25">
      <c r="A612" s="5" t="s">
        <v>653</v>
      </c>
      <c r="B612" s="5" t="s">
        <v>1823</v>
      </c>
      <c r="C612" s="5" t="s">
        <v>48</v>
      </c>
      <c r="D612" s="5" t="s">
        <v>1283</v>
      </c>
      <c r="E612" s="5" t="s">
        <v>41</v>
      </c>
      <c r="F612" s="5" t="s">
        <v>42</v>
      </c>
      <c r="G612" s="5" t="s">
        <v>1307</v>
      </c>
      <c r="H612" s="5" t="s">
        <v>1325</v>
      </c>
      <c r="I612" s="5">
        <v>18132</v>
      </c>
      <c r="J612" s="5" t="s">
        <v>22</v>
      </c>
      <c r="K612" s="5" t="s">
        <v>1286</v>
      </c>
    </row>
    <row r="613" spans="1:11" x14ac:dyDescent="0.25">
      <c r="A613" s="6" t="s">
        <v>654</v>
      </c>
      <c r="B613" s="6" t="s">
        <v>1824</v>
      </c>
      <c r="C613" s="6" t="s">
        <v>1259</v>
      </c>
      <c r="D613" s="6" t="s">
        <v>1255</v>
      </c>
      <c r="E613" s="6" t="s">
        <v>27</v>
      </c>
      <c r="F613" s="6" t="s">
        <v>28</v>
      </c>
      <c r="G613" s="6" t="s">
        <v>1331</v>
      </c>
      <c r="H613" s="6" t="s">
        <v>1458</v>
      </c>
      <c r="I613" s="6">
        <v>8856</v>
      </c>
      <c r="J613" s="6" t="s">
        <v>1267</v>
      </c>
      <c r="K613" s="6" t="s">
        <v>17</v>
      </c>
    </row>
    <row r="614" spans="1:11" x14ac:dyDescent="0.25">
      <c r="A614" s="5" t="s">
        <v>655</v>
      </c>
      <c r="B614" s="5" t="s">
        <v>1825</v>
      </c>
      <c r="C614" s="5" t="s">
        <v>1259</v>
      </c>
      <c r="D614" s="5" t="s">
        <v>36</v>
      </c>
      <c r="E614" s="5" t="s">
        <v>20</v>
      </c>
      <c r="F614" s="5" t="s">
        <v>21</v>
      </c>
      <c r="G614" s="5" t="s">
        <v>1277</v>
      </c>
      <c r="H614" s="5" t="s">
        <v>1261</v>
      </c>
      <c r="I614" s="5">
        <v>5310</v>
      </c>
      <c r="J614" s="5" t="s">
        <v>1267</v>
      </c>
      <c r="K614" s="5" t="s">
        <v>46</v>
      </c>
    </row>
    <row r="615" spans="1:11" x14ac:dyDescent="0.25">
      <c r="A615" s="6" t="s">
        <v>656</v>
      </c>
      <c r="B615" s="6" t="s">
        <v>1556</v>
      </c>
      <c r="C615" s="6" t="s">
        <v>1288</v>
      </c>
      <c r="D615" s="6" t="s">
        <v>1283</v>
      </c>
      <c r="E615" s="6" t="s">
        <v>63</v>
      </c>
      <c r="F615" s="6" t="s">
        <v>59</v>
      </c>
      <c r="G615" s="6" t="s">
        <v>1271</v>
      </c>
      <c r="H615" s="6" t="s">
        <v>1308</v>
      </c>
      <c r="I615" s="6">
        <v>2769</v>
      </c>
      <c r="J615" s="6" t="s">
        <v>45</v>
      </c>
      <c r="K615" s="6" t="s">
        <v>17</v>
      </c>
    </row>
    <row r="616" spans="1:11" x14ac:dyDescent="0.25">
      <c r="A616" s="5" t="s">
        <v>657</v>
      </c>
      <c r="B616" s="5" t="s">
        <v>1826</v>
      </c>
      <c r="C616" s="5" t="s">
        <v>1288</v>
      </c>
      <c r="D616" s="5" t="s">
        <v>1275</v>
      </c>
      <c r="E616" s="5" t="s">
        <v>1444</v>
      </c>
      <c r="F616" s="5" t="s">
        <v>38</v>
      </c>
      <c r="G616" s="5" t="s">
        <v>1301</v>
      </c>
      <c r="H616" s="5" t="s">
        <v>1281</v>
      </c>
      <c r="I616" s="5">
        <v>37123</v>
      </c>
      <c r="J616" s="5" t="s">
        <v>16</v>
      </c>
      <c r="K616" s="5" t="s">
        <v>46</v>
      </c>
    </row>
    <row r="617" spans="1:11" x14ac:dyDescent="0.25">
      <c r="A617" s="6" t="s">
        <v>658</v>
      </c>
      <c r="B617" s="6" t="s">
        <v>1827</v>
      </c>
      <c r="C617" s="6" t="s">
        <v>1264</v>
      </c>
      <c r="D617" s="6" t="s">
        <v>1275</v>
      </c>
      <c r="E617" s="6" t="s">
        <v>20</v>
      </c>
      <c r="F617" s="6" t="s">
        <v>21</v>
      </c>
      <c r="G617" s="6" t="s">
        <v>1408</v>
      </c>
      <c r="H617" s="6" t="s">
        <v>1377</v>
      </c>
      <c r="I617" s="6">
        <v>6126</v>
      </c>
      <c r="J617" s="6" t="s">
        <v>22</v>
      </c>
      <c r="K617" s="6" t="s">
        <v>1273</v>
      </c>
    </row>
    <row r="618" spans="1:11" x14ac:dyDescent="0.25">
      <c r="A618" s="5" t="s">
        <v>659</v>
      </c>
      <c r="B618" s="5" t="s">
        <v>1392</v>
      </c>
      <c r="C618" s="5" t="s">
        <v>73</v>
      </c>
      <c r="D618" s="5" t="s">
        <v>36</v>
      </c>
      <c r="E618" s="5" t="s">
        <v>66</v>
      </c>
      <c r="F618" s="5" t="s">
        <v>67</v>
      </c>
      <c r="G618" s="5" t="s">
        <v>1297</v>
      </c>
      <c r="H618" s="5" t="s">
        <v>1317</v>
      </c>
      <c r="I618" s="5">
        <v>1897</v>
      </c>
      <c r="J618" s="5" t="s">
        <v>29</v>
      </c>
      <c r="K618" s="5" t="s">
        <v>1286</v>
      </c>
    </row>
    <row r="619" spans="1:11" x14ac:dyDescent="0.25">
      <c r="A619" s="6" t="s">
        <v>660</v>
      </c>
      <c r="B619" s="6" t="s">
        <v>1828</v>
      </c>
      <c r="C619" s="6" t="s">
        <v>1254</v>
      </c>
      <c r="D619" s="6" t="s">
        <v>1255</v>
      </c>
      <c r="E619" s="6" t="s">
        <v>63</v>
      </c>
      <c r="F619" s="6" t="s">
        <v>59</v>
      </c>
      <c r="G619" s="6" t="s">
        <v>1265</v>
      </c>
      <c r="H619" s="6" t="s">
        <v>1308</v>
      </c>
      <c r="I619" s="6">
        <v>2921</v>
      </c>
      <c r="J619" s="6" t="s">
        <v>29</v>
      </c>
      <c r="K619" s="6" t="s">
        <v>17</v>
      </c>
    </row>
    <row r="620" spans="1:11" x14ac:dyDescent="0.25">
      <c r="A620" s="5" t="s">
        <v>661</v>
      </c>
      <c r="B620" s="5" t="s">
        <v>1829</v>
      </c>
      <c r="C620" s="5" t="s">
        <v>62</v>
      </c>
      <c r="D620" s="5" t="s">
        <v>36</v>
      </c>
      <c r="E620" s="5" t="s">
        <v>14</v>
      </c>
      <c r="F620" s="5" t="s">
        <v>15</v>
      </c>
      <c r="G620" s="5" t="s">
        <v>1315</v>
      </c>
      <c r="H620" s="5" t="s">
        <v>1257</v>
      </c>
      <c r="I620" s="5">
        <v>8890</v>
      </c>
      <c r="J620" s="5" t="s">
        <v>45</v>
      </c>
      <c r="K620" s="5" t="s">
        <v>1273</v>
      </c>
    </row>
    <row r="621" spans="1:11" x14ac:dyDescent="0.25">
      <c r="A621" s="6" t="s">
        <v>662</v>
      </c>
      <c r="B621" s="6" t="s">
        <v>1792</v>
      </c>
      <c r="C621" s="6" t="s">
        <v>1264</v>
      </c>
      <c r="D621" s="6" t="s">
        <v>1296</v>
      </c>
      <c r="E621" s="6" t="s">
        <v>1512</v>
      </c>
      <c r="F621" s="6" t="s">
        <v>42</v>
      </c>
      <c r="G621" s="6" t="s">
        <v>1256</v>
      </c>
      <c r="H621" s="6" t="s">
        <v>1311</v>
      </c>
      <c r="I621" s="6">
        <v>21688</v>
      </c>
      <c r="J621" s="6" t="s">
        <v>29</v>
      </c>
      <c r="K621" s="6" t="s">
        <v>46</v>
      </c>
    </row>
    <row r="622" spans="1:11" x14ac:dyDescent="0.25">
      <c r="A622" s="5" t="s">
        <v>663</v>
      </c>
      <c r="B622" s="5" t="s">
        <v>1830</v>
      </c>
      <c r="C622" s="5" t="s">
        <v>53</v>
      </c>
      <c r="D622" s="5" t="s">
        <v>1283</v>
      </c>
      <c r="E622" s="5" t="s">
        <v>14</v>
      </c>
      <c r="F622" s="5" t="s">
        <v>15</v>
      </c>
      <c r="G622" s="5" t="s">
        <v>1280</v>
      </c>
      <c r="H622" s="5" t="s">
        <v>1257</v>
      </c>
      <c r="I622" s="5">
        <v>8378</v>
      </c>
      <c r="J622" s="5" t="s">
        <v>16</v>
      </c>
      <c r="K622" s="5" t="s">
        <v>1286</v>
      </c>
    </row>
    <row r="623" spans="1:11" x14ac:dyDescent="0.25">
      <c r="A623" s="6" t="s">
        <v>664</v>
      </c>
      <c r="B623" s="6" t="s">
        <v>1831</v>
      </c>
      <c r="C623" s="6" t="s">
        <v>1259</v>
      </c>
      <c r="D623" s="6" t="s">
        <v>26</v>
      </c>
      <c r="E623" s="6" t="s">
        <v>14</v>
      </c>
      <c r="F623" s="6" t="s">
        <v>15</v>
      </c>
      <c r="G623" s="6" t="s">
        <v>1294</v>
      </c>
      <c r="H623" s="6" t="s">
        <v>1257</v>
      </c>
      <c r="I623" s="6">
        <v>8847</v>
      </c>
      <c r="J623" s="6" t="s">
        <v>45</v>
      </c>
      <c r="K623" s="6" t="s">
        <v>46</v>
      </c>
    </row>
    <row r="624" spans="1:11" x14ac:dyDescent="0.25">
      <c r="A624" s="5" t="s">
        <v>665</v>
      </c>
      <c r="B624" s="5" t="s">
        <v>1623</v>
      </c>
      <c r="C624" s="5" t="s">
        <v>1269</v>
      </c>
      <c r="D624" s="5" t="s">
        <v>26</v>
      </c>
      <c r="E624" s="5" t="s">
        <v>20</v>
      </c>
      <c r="F624" s="5" t="s">
        <v>21</v>
      </c>
      <c r="G624" s="5" t="s">
        <v>1265</v>
      </c>
      <c r="H624" s="5" t="s">
        <v>1454</v>
      </c>
      <c r="I624" s="5">
        <v>5123</v>
      </c>
      <c r="J624" s="5" t="s">
        <v>22</v>
      </c>
      <c r="K624" s="5" t="s">
        <v>1273</v>
      </c>
    </row>
    <row r="625" spans="1:11" x14ac:dyDescent="0.25">
      <c r="A625" s="6" t="s">
        <v>666</v>
      </c>
      <c r="B625" s="6" t="s">
        <v>1674</v>
      </c>
      <c r="C625" s="6" t="s">
        <v>62</v>
      </c>
      <c r="D625" s="6" t="s">
        <v>26</v>
      </c>
      <c r="E625" s="6" t="s">
        <v>49</v>
      </c>
      <c r="F625" s="6" t="s">
        <v>50</v>
      </c>
      <c r="G625" s="6" t="s">
        <v>1475</v>
      </c>
      <c r="H625" s="6" t="s">
        <v>1359</v>
      </c>
      <c r="I625" s="6">
        <v>57506</v>
      </c>
      <c r="J625" s="6" t="s">
        <v>16</v>
      </c>
      <c r="K625" s="6" t="s">
        <v>17</v>
      </c>
    </row>
    <row r="626" spans="1:11" x14ac:dyDescent="0.25">
      <c r="A626" s="5" t="s">
        <v>667</v>
      </c>
      <c r="B626" s="5" t="s">
        <v>1594</v>
      </c>
      <c r="C626" s="5" t="s">
        <v>73</v>
      </c>
      <c r="D626" s="5" t="s">
        <v>1270</v>
      </c>
      <c r="E626" s="5" t="s">
        <v>1444</v>
      </c>
      <c r="F626" s="5" t="s">
        <v>38</v>
      </c>
      <c r="G626" s="5" t="s">
        <v>1277</v>
      </c>
      <c r="H626" s="5" t="s">
        <v>1281</v>
      </c>
      <c r="I626" s="5">
        <v>35189</v>
      </c>
      <c r="J626" s="5" t="s">
        <v>22</v>
      </c>
      <c r="K626" s="5" t="s">
        <v>17</v>
      </c>
    </row>
    <row r="627" spans="1:11" x14ac:dyDescent="0.25">
      <c r="A627" s="6" t="s">
        <v>668</v>
      </c>
      <c r="B627" s="6" t="s">
        <v>1832</v>
      </c>
      <c r="C627" s="6" t="s">
        <v>1259</v>
      </c>
      <c r="D627" s="6" t="s">
        <v>1270</v>
      </c>
      <c r="E627" s="6" t="s">
        <v>63</v>
      </c>
      <c r="F627" s="6" t="s">
        <v>59</v>
      </c>
      <c r="G627" s="6" t="s">
        <v>1380</v>
      </c>
      <c r="H627" s="6" t="s">
        <v>1308</v>
      </c>
      <c r="I627" s="6">
        <v>3491</v>
      </c>
      <c r="J627" s="6" t="s">
        <v>22</v>
      </c>
      <c r="K627" s="6" t="s">
        <v>17</v>
      </c>
    </row>
    <row r="628" spans="1:11" x14ac:dyDescent="0.25">
      <c r="A628" s="5" t="s">
        <v>669</v>
      </c>
      <c r="B628" s="5" t="s">
        <v>1507</v>
      </c>
      <c r="C628" s="5" t="s">
        <v>1259</v>
      </c>
      <c r="D628" s="5" t="s">
        <v>1275</v>
      </c>
      <c r="E628" s="5" t="s">
        <v>14</v>
      </c>
      <c r="F628" s="5" t="s">
        <v>15</v>
      </c>
      <c r="G628" s="5" t="s">
        <v>1380</v>
      </c>
      <c r="H628" s="5" t="s">
        <v>1257</v>
      </c>
      <c r="I628" s="5">
        <v>9182</v>
      </c>
      <c r="J628" s="5" t="s">
        <v>45</v>
      </c>
      <c r="K628" s="5" t="s">
        <v>1286</v>
      </c>
    </row>
    <row r="629" spans="1:11" x14ac:dyDescent="0.25">
      <c r="A629" s="6" t="s">
        <v>670</v>
      </c>
      <c r="B629" s="6" t="s">
        <v>1833</v>
      </c>
      <c r="C629" s="6" t="s">
        <v>73</v>
      </c>
      <c r="D629" s="6" t="s">
        <v>26</v>
      </c>
      <c r="E629" s="6" t="s">
        <v>66</v>
      </c>
      <c r="F629" s="6" t="s">
        <v>67</v>
      </c>
      <c r="G629" s="6" t="s">
        <v>1337</v>
      </c>
      <c r="H629" s="6" t="s">
        <v>1335</v>
      </c>
      <c r="I629" s="6">
        <v>1891</v>
      </c>
      <c r="J629" s="6" t="s">
        <v>1267</v>
      </c>
      <c r="K629" s="6" t="s">
        <v>1262</v>
      </c>
    </row>
    <row r="630" spans="1:11" x14ac:dyDescent="0.25">
      <c r="A630" s="5" t="s">
        <v>671</v>
      </c>
      <c r="B630" s="5" t="s">
        <v>1418</v>
      </c>
      <c r="C630" s="5" t="s">
        <v>1254</v>
      </c>
      <c r="D630" s="5" t="s">
        <v>1296</v>
      </c>
      <c r="E630" s="5" t="s">
        <v>41</v>
      </c>
      <c r="F630" s="5" t="s">
        <v>42</v>
      </c>
      <c r="G630" s="5" t="s">
        <v>1256</v>
      </c>
      <c r="H630" s="5" t="s">
        <v>1325</v>
      </c>
      <c r="I630" s="5">
        <v>17399</v>
      </c>
      <c r="J630" s="5" t="s">
        <v>45</v>
      </c>
      <c r="K630" s="5" t="s">
        <v>1273</v>
      </c>
    </row>
    <row r="631" spans="1:11" x14ac:dyDescent="0.25">
      <c r="A631" s="6" t="s">
        <v>672</v>
      </c>
      <c r="B631" s="6" t="s">
        <v>1834</v>
      </c>
      <c r="C631" s="6" t="s">
        <v>73</v>
      </c>
      <c r="D631" s="6"/>
      <c r="E631" s="6" t="s">
        <v>1330</v>
      </c>
      <c r="F631" s="6" t="s">
        <v>28</v>
      </c>
      <c r="G631" s="6" t="s">
        <v>1294</v>
      </c>
      <c r="H631" s="6" t="s">
        <v>1356</v>
      </c>
      <c r="I631" s="6">
        <v>8426</v>
      </c>
      <c r="J631" s="6" t="s">
        <v>16</v>
      </c>
      <c r="K631" s="6"/>
    </row>
    <row r="632" spans="1:11" x14ac:dyDescent="0.25">
      <c r="A632" s="5" t="s">
        <v>673</v>
      </c>
      <c r="B632" s="5" t="s">
        <v>1835</v>
      </c>
      <c r="C632" s="5" t="s">
        <v>48</v>
      </c>
      <c r="D632" s="5" t="s">
        <v>1255</v>
      </c>
      <c r="E632" s="5" t="s">
        <v>20</v>
      </c>
      <c r="F632" s="5" t="s">
        <v>21</v>
      </c>
      <c r="G632" s="5" t="s">
        <v>1256</v>
      </c>
      <c r="H632" s="5" t="s">
        <v>1261</v>
      </c>
      <c r="I632" s="5">
        <v>5294</v>
      </c>
      <c r="J632" s="5" t="s">
        <v>29</v>
      </c>
      <c r="K632" s="5" t="s">
        <v>1286</v>
      </c>
    </row>
    <row r="633" spans="1:11" x14ac:dyDescent="0.25">
      <c r="A633" s="6" t="s">
        <v>674</v>
      </c>
      <c r="B633" s="6" t="s">
        <v>1836</v>
      </c>
      <c r="C633" s="6" t="s">
        <v>1269</v>
      </c>
      <c r="D633" s="6" t="s">
        <v>36</v>
      </c>
      <c r="E633" s="6" t="s">
        <v>41</v>
      </c>
      <c r="F633" s="6" t="s">
        <v>42</v>
      </c>
      <c r="G633" s="6" t="s">
        <v>1440</v>
      </c>
      <c r="H633" s="6" t="s">
        <v>1311</v>
      </c>
      <c r="I633" s="6">
        <v>17760</v>
      </c>
      <c r="J633" s="6" t="s">
        <v>1267</v>
      </c>
      <c r="K633" s="6" t="s">
        <v>17</v>
      </c>
    </row>
    <row r="634" spans="1:11" x14ac:dyDescent="0.25">
      <c r="A634" s="5" t="s">
        <v>675</v>
      </c>
      <c r="B634" s="5" t="s">
        <v>1837</v>
      </c>
      <c r="C634" s="5" t="s">
        <v>62</v>
      </c>
      <c r="D634" s="5" t="s">
        <v>1270</v>
      </c>
      <c r="E634" s="5" t="s">
        <v>66</v>
      </c>
      <c r="F634" s="5" t="s">
        <v>67</v>
      </c>
      <c r="G634" s="5" t="s">
        <v>1256</v>
      </c>
      <c r="H634" s="5" t="s">
        <v>1317</v>
      </c>
      <c r="I634" s="5">
        <v>1535</v>
      </c>
      <c r="J634" s="5" t="s">
        <v>1267</v>
      </c>
      <c r="K634" s="5" t="s">
        <v>46</v>
      </c>
    </row>
    <row r="635" spans="1:11" x14ac:dyDescent="0.25">
      <c r="A635" s="6" t="s">
        <v>676</v>
      </c>
      <c r="B635" s="6" t="s">
        <v>1661</v>
      </c>
      <c r="C635" s="6" t="s">
        <v>53</v>
      </c>
      <c r="D635" s="6" t="s">
        <v>1283</v>
      </c>
      <c r="E635" s="6" t="s">
        <v>20</v>
      </c>
      <c r="F635" s="6" t="s">
        <v>21</v>
      </c>
      <c r="G635" s="6" t="s">
        <v>1256</v>
      </c>
      <c r="H635" s="6" t="s">
        <v>1261</v>
      </c>
      <c r="I635" s="6">
        <v>5102</v>
      </c>
      <c r="J635" s="6" t="s">
        <v>45</v>
      </c>
      <c r="K635" s="6" t="s">
        <v>1262</v>
      </c>
    </row>
    <row r="636" spans="1:11" x14ac:dyDescent="0.25">
      <c r="A636" s="5" t="s">
        <v>677</v>
      </c>
      <c r="B636" s="5" t="s">
        <v>1838</v>
      </c>
      <c r="C636" s="5" t="s">
        <v>1254</v>
      </c>
      <c r="D636" s="5" t="s">
        <v>1275</v>
      </c>
      <c r="E636" s="5" t="s">
        <v>1394</v>
      </c>
      <c r="F636" s="5" t="s">
        <v>34</v>
      </c>
      <c r="G636" s="5" t="s">
        <v>1297</v>
      </c>
      <c r="H636" s="5" t="s">
        <v>1278</v>
      </c>
      <c r="I636" s="5">
        <v>21863</v>
      </c>
      <c r="J636" s="5" t="s">
        <v>1267</v>
      </c>
      <c r="K636" s="5" t="s">
        <v>46</v>
      </c>
    </row>
    <row r="637" spans="1:11" x14ac:dyDescent="0.25">
      <c r="A637" s="6" t="s">
        <v>678</v>
      </c>
      <c r="B637" s="6" t="s">
        <v>1809</v>
      </c>
      <c r="C637" s="6" t="s">
        <v>73</v>
      </c>
      <c r="D637" s="6" t="s">
        <v>1283</v>
      </c>
      <c r="E637" s="6" t="s">
        <v>20</v>
      </c>
      <c r="F637" s="6" t="s">
        <v>21</v>
      </c>
      <c r="G637" s="6" t="s">
        <v>1301</v>
      </c>
      <c r="H637" s="6" t="s">
        <v>1377</v>
      </c>
      <c r="I637" s="6">
        <v>5230</v>
      </c>
      <c r="J637" s="6" t="s">
        <v>45</v>
      </c>
      <c r="K637" s="6" t="s">
        <v>46</v>
      </c>
    </row>
    <row r="638" spans="1:11" x14ac:dyDescent="0.25">
      <c r="A638" s="5" t="s">
        <v>679</v>
      </c>
      <c r="B638" s="5" t="s">
        <v>1839</v>
      </c>
      <c r="C638" s="5" t="s">
        <v>1269</v>
      </c>
      <c r="D638" s="5" t="s">
        <v>1255</v>
      </c>
      <c r="E638" s="5" t="s">
        <v>49</v>
      </c>
      <c r="F638" s="5" t="s">
        <v>50</v>
      </c>
      <c r="G638" s="5" t="s">
        <v>1331</v>
      </c>
      <c r="H638" s="5" t="s">
        <v>1304</v>
      </c>
      <c r="I638" s="5">
        <v>48203</v>
      </c>
      <c r="J638" s="5" t="s">
        <v>1267</v>
      </c>
      <c r="K638" s="5" t="s">
        <v>1286</v>
      </c>
    </row>
    <row r="639" spans="1:11" x14ac:dyDescent="0.25">
      <c r="A639" s="6" t="s">
        <v>680</v>
      </c>
      <c r="B639" s="6" t="s">
        <v>1840</v>
      </c>
      <c r="C639" s="6" t="s">
        <v>62</v>
      </c>
      <c r="D639" s="6" t="s">
        <v>1270</v>
      </c>
      <c r="E639" s="6" t="s">
        <v>49</v>
      </c>
      <c r="F639" s="6" t="s">
        <v>50</v>
      </c>
      <c r="G639" s="6" t="s">
        <v>1271</v>
      </c>
      <c r="H639" s="6" t="s">
        <v>1291</v>
      </c>
      <c r="I639" s="6">
        <v>50231</v>
      </c>
      <c r="J639" s="6" t="s">
        <v>45</v>
      </c>
      <c r="K639" s="6" t="s">
        <v>1262</v>
      </c>
    </row>
    <row r="640" spans="1:11" x14ac:dyDescent="0.25">
      <c r="A640" s="5" t="s">
        <v>681</v>
      </c>
      <c r="B640" s="5" t="s">
        <v>1504</v>
      </c>
      <c r="C640" s="5" t="s">
        <v>1288</v>
      </c>
      <c r="D640" s="5" t="s">
        <v>26</v>
      </c>
      <c r="E640" s="5" t="s">
        <v>41</v>
      </c>
      <c r="F640" s="5" t="s">
        <v>42</v>
      </c>
      <c r="G640" s="5" t="s">
        <v>1405</v>
      </c>
      <c r="H640" s="5" t="s">
        <v>1325</v>
      </c>
      <c r="I640" s="5">
        <v>19533</v>
      </c>
      <c r="J640" s="5" t="s">
        <v>29</v>
      </c>
      <c r="K640" s="5" t="s">
        <v>46</v>
      </c>
    </row>
    <row r="641" spans="1:11" x14ac:dyDescent="0.25">
      <c r="A641" s="6" t="s">
        <v>682</v>
      </c>
      <c r="B641" s="6" t="s">
        <v>1837</v>
      </c>
      <c r="C641" s="6" t="s">
        <v>53</v>
      </c>
      <c r="D641" s="6" t="s">
        <v>36</v>
      </c>
      <c r="E641" s="6" t="s">
        <v>1587</v>
      </c>
      <c r="F641" s="6" t="s">
        <v>21</v>
      </c>
      <c r="G641" s="6" t="s">
        <v>1457</v>
      </c>
      <c r="H641" s="6" t="s">
        <v>1377</v>
      </c>
      <c r="I641" s="6">
        <v>5561</v>
      </c>
      <c r="J641" s="6" t="s">
        <v>1267</v>
      </c>
      <c r="K641" s="6" t="s">
        <v>17</v>
      </c>
    </row>
    <row r="642" spans="1:11" x14ac:dyDescent="0.25">
      <c r="A642" s="5" t="s">
        <v>683</v>
      </c>
      <c r="B642" s="5" t="s">
        <v>1841</v>
      </c>
      <c r="C642" s="5" t="s">
        <v>1288</v>
      </c>
      <c r="D642" s="5" t="s">
        <v>1275</v>
      </c>
      <c r="E642" s="5" t="s">
        <v>63</v>
      </c>
      <c r="F642" s="5" t="s">
        <v>59</v>
      </c>
      <c r="G642" s="5" t="s">
        <v>1277</v>
      </c>
      <c r="H642" s="5" t="s">
        <v>1308</v>
      </c>
      <c r="I642" s="5">
        <v>3198</v>
      </c>
      <c r="J642" s="5" t="s">
        <v>1267</v>
      </c>
      <c r="K642" s="5" t="s">
        <v>17</v>
      </c>
    </row>
    <row r="643" spans="1:11" x14ac:dyDescent="0.25">
      <c r="A643" s="6" t="s">
        <v>684</v>
      </c>
      <c r="B643" s="6" t="s">
        <v>1842</v>
      </c>
      <c r="C643" s="6" t="s">
        <v>48</v>
      </c>
      <c r="D643" s="6" t="s">
        <v>1296</v>
      </c>
      <c r="E643" s="6" t="s">
        <v>27</v>
      </c>
      <c r="F643" s="6" t="s">
        <v>28</v>
      </c>
      <c r="G643" s="6" t="s">
        <v>1277</v>
      </c>
      <c r="H643" s="6" t="s">
        <v>1266</v>
      </c>
      <c r="I643" s="6">
        <v>10009</v>
      </c>
      <c r="J643" s="6" t="s">
        <v>1267</v>
      </c>
      <c r="K643" s="6" t="s">
        <v>46</v>
      </c>
    </row>
    <row r="644" spans="1:11" x14ac:dyDescent="0.25">
      <c r="A644" s="5" t="s">
        <v>685</v>
      </c>
      <c r="B644" s="5" t="s">
        <v>1810</v>
      </c>
      <c r="C644" s="5" t="s">
        <v>1264</v>
      </c>
      <c r="D644" s="5" t="s">
        <v>1283</v>
      </c>
      <c r="E644" s="5" t="s">
        <v>66</v>
      </c>
      <c r="F644" s="5" t="s">
        <v>67</v>
      </c>
      <c r="G644" s="5" t="s">
        <v>1307</v>
      </c>
      <c r="H644" s="5" t="s">
        <v>1317</v>
      </c>
      <c r="I644" s="5">
        <v>1684</v>
      </c>
      <c r="J644" s="5" t="s">
        <v>29</v>
      </c>
      <c r="K644" s="5" t="s">
        <v>17</v>
      </c>
    </row>
    <row r="645" spans="1:11" x14ac:dyDescent="0.25">
      <c r="A645" s="6" t="s">
        <v>686</v>
      </c>
      <c r="B645" s="6" t="s">
        <v>1843</v>
      </c>
      <c r="C645" s="6" t="s">
        <v>1254</v>
      </c>
      <c r="D645" s="6" t="s">
        <v>1270</v>
      </c>
      <c r="E645" s="6" t="s">
        <v>37</v>
      </c>
      <c r="F645" s="6" t="s">
        <v>38</v>
      </c>
      <c r="G645" s="6" t="s">
        <v>1315</v>
      </c>
      <c r="H645" s="6" t="s">
        <v>1342</v>
      </c>
      <c r="I645" s="6">
        <v>35887</v>
      </c>
      <c r="J645" s="6" t="s">
        <v>1267</v>
      </c>
      <c r="K645" s="6" t="s">
        <v>1273</v>
      </c>
    </row>
    <row r="646" spans="1:11" x14ac:dyDescent="0.25">
      <c r="A646" s="5" t="s">
        <v>687</v>
      </c>
      <c r="B646" s="5" t="s">
        <v>1321</v>
      </c>
      <c r="C646" s="5" t="s">
        <v>62</v>
      </c>
      <c r="D646" s="5" t="s">
        <v>1296</v>
      </c>
      <c r="E646" s="5" t="s">
        <v>1587</v>
      </c>
      <c r="F646" s="5" t="s">
        <v>21</v>
      </c>
      <c r="G646" s="5" t="s">
        <v>1284</v>
      </c>
      <c r="H646" s="5" t="s">
        <v>1261</v>
      </c>
      <c r="I646" s="5">
        <v>6386</v>
      </c>
      <c r="J646" s="5" t="s">
        <v>16</v>
      </c>
      <c r="K646" s="5" t="s">
        <v>1273</v>
      </c>
    </row>
    <row r="647" spans="1:11" x14ac:dyDescent="0.25">
      <c r="A647" s="6" t="s">
        <v>688</v>
      </c>
      <c r="B647" s="6" t="s">
        <v>1421</v>
      </c>
      <c r="C647" s="6" t="s">
        <v>62</v>
      </c>
      <c r="D647" s="6" t="s">
        <v>1283</v>
      </c>
      <c r="E647" s="6" t="s">
        <v>14</v>
      </c>
      <c r="F647" s="6" t="s">
        <v>15</v>
      </c>
      <c r="G647" s="6" t="s">
        <v>1364</v>
      </c>
      <c r="H647" s="6" t="s">
        <v>1257</v>
      </c>
      <c r="I647" s="6">
        <v>7695</v>
      </c>
      <c r="J647" s="6" t="s">
        <v>1267</v>
      </c>
      <c r="K647" s="6" t="s">
        <v>1286</v>
      </c>
    </row>
    <row r="648" spans="1:11" x14ac:dyDescent="0.25">
      <c r="A648" s="5" t="s">
        <v>689</v>
      </c>
      <c r="B648" s="5" t="s">
        <v>1503</v>
      </c>
      <c r="C648" s="5" t="s">
        <v>1264</v>
      </c>
      <c r="D648" s="5" t="s">
        <v>1270</v>
      </c>
      <c r="E648" s="5" t="s">
        <v>27</v>
      </c>
      <c r="F648" s="5" t="s">
        <v>28</v>
      </c>
      <c r="G648" s="5" t="s">
        <v>1315</v>
      </c>
      <c r="H648" s="5" t="s">
        <v>1266</v>
      </c>
      <c r="I648" s="5">
        <v>9044</v>
      </c>
      <c r="J648" s="5" t="s">
        <v>22</v>
      </c>
      <c r="K648" s="5" t="s">
        <v>17</v>
      </c>
    </row>
    <row r="649" spans="1:11" x14ac:dyDescent="0.25">
      <c r="A649" s="6" t="s">
        <v>690</v>
      </c>
      <c r="B649" s="6" t="s">
        <v>1844</v>
      </c>
      <c r="C649" s="6" t="s">
        <v>48</v>
      </c>
      <c r="D649" s="6" t="s">
        <v>36</v>
      </c>
      <c r="E649" s="6" t="s">
        <v>66</v>
      </c>
      <c r="F649" s="6" t="s">
        <v>67</v>
      </c>
      <c r="G649" s="6" t="s">
        <v>1499</v>
      </c>
      <c r="H649" s="6" t="s">
        <v>1335</v>
      </c>
      <c r="I649" s="6">
        <v>1755</v>
      </c>
      <c r="J649" s="6" t="s">
        <v>1267</v>
      </c>
      <c r="K649" s="6" t="s">
        <v>1273</v>
      </c>
    </row>
    <row r="650" spans="1:11" x14ac:dyDescent="0.25">
      <c r="A650" s="5" t="s">
        <v>691</v>
      </c>
      <c r="B650" s="5" t="s">
        <v>1845</v>
      </c>
      <c r="C650" s="5" t="s">
        <v>48</v>
      </c>
      <c r="D650" s="5" t="s">
        <v>1275</v>
      </c>
      <c r="E650" s="5" t="s">
        <v>27</v>
      </c>
      <c r="F650" s="5" t="s">
        <v>28</v>
      </c>
      <c r="G650" s="5" t="s">
        <v>1280</v>
      </c>
      <c r="H650" s="5" t="s">
        <v>1266</v>
      </c>
      <c r="I650" s="5">
        <v>10408</v>
      </c>
      <c r="J650" s="5" t="s">
        <v>29</v>
      </c>
      <c r="K650" s="5" t="s">
        <v>46</v>
      </c>
    </row>
    <row r="651" spans="1:11" x14ac:dyDescent="0.25">
      <c r="A651" s="6" t="s">
        <v>692</v>
      </c>
      <c r="B651" s="6" t="s">
        <v>1846</v>
      </c>
      <c r="C651" s="6" t="s">
        <v>73</v>
      </c>
      <c r="D651" s="6" t="s">
        <v>1275</v>
      </c>
      <c r="E651" s="6" t="s">
        <v>1607</v>
      </c>
      <c r="F651" s="6" t="s">
        <v>28</v>
      </c>
      <c r="G651" s="6" t="s">
        <v>1256</v>
      </c>
      <c r="H651" s="6" t="s">
        <v>1266</v>
      </c>
      <c r="I651" s="6">
        <v>9804</v>
      </c>
      <c r="J651" s="6" t="s">
        <v>1267</v>
      </c>
      <c r="K651" s="6" t="s">
        <v>1262</v>
      </c>
    </row>
    <row r="652" spans="1:11" x14ac:dyDescent="0.25">
      <c r="A652" s="5" t="s">
        <v>693</v>
      </c>
      <c r="B652" s="5" t="s">
        <v>1639</v>
      </c>
      <c r="C652" s="5" t="s">
        <v>48</v>
      </c>
      <c r="D652" s="5" t="s">
        <v>26</v>
      </c>
      <c r="E652" s="5" t="s">
        <v>14</v>
      </c>
      <c r="F652" s="5" t="s">
        <v>15</v>
      </c>
      <c r="G652" s="5" t="s">
        <v>1364</v>
      </c>
      <c r="H652" s="5" t="s">
        <v>1347</v>
      </c>
      <c r="I652" s="5">
        <v>9698</v>
      </c>
      <c r="J652" s="5" t="s">
        <v>22</v>
      </c>
      <c r="K652" s="5" t="s">
        <v>1273</v>
      </c>
    </row>
    <row r="653" spans="1:11" x14ac:dyDescent="0.25">
      <c r="A653" s="6" t="s">
        <v>694</v>
      </c>
      <c r="B653" s="6" t="s">
        <v>1847</v>
      </c>
      <c r="C653" s="6" t="s">
        <v>62</v>
      </c>
      <c r="D653" s="6" t="s">
        <v>1275</v>
      </c>
      <c r="E653" s="6" t="s">
        <v>63</v>
      </c>
      <c r="F653" s="6" t="s">
        <v>59</v>
      </c>
      <c r="G653" s="6" t="s">
        <v>1284</v>
      </c>
      <c r="H653" s="6" t="s">
        <v>1320</v>
      </c>
      <c r="I653" s="6">
        <v>2713</v>
      </c>
      <c r="J653" s="6" t="s">
        <v>16</v>
      </c>
      <c r="K653" s="6" t="s">
        <v>1286</v>
      </c>
    </row>
    <row r="654" spans="1:11" x14ac:dyDescent="0.25">
      <c r="A654" s="5" t="s">
        <v>695</v>
      </c>
      <c r="B654" s="5" t="s">
        <v>1501</v>
      </c>
      <c r="C654" s="5" t="s">
        <v>73</v>
      </c>
      <c r="D654" s="5" t="s">
        <v>1255</v>
      </c>
      <c r="E654" s="5" t="s">
        <v>14</v>
      </c>
      <c r="F654" s="5" t="s">
        <v>15</v>
      </c>
      <c r="G654" s="5" t="s">
        <v>1271</v>
      </c>
      <c r="H654" s="5" t="s">
        <v>1257</v>
      </c>
      <c r="I654" s="5">
        <v>7535</v>
      </c>
      <c r="J654" s="5" t="s">
        <v>45</v>
      </c>
      <c r="K654" s="5" t="s">
        <v>17</v>
      </c>
    </row>
    <row r="655" spans="1:11" x14ac:dyDescent="0.25">
      <c r="A655" s="6" t="s">
        <v>696</v>
      </c>
      <c r="B655" s="6" t="s">
        <v>1848</v>
      </c>
      <c r="C655" s="6" t="s">
        <v>1269</v>
      </c>
      <c r="D655" s="6" t="s">
        <v>36</v>
      </c>
      <c r="E655" s="6" t="s">
        <v>41</v>
      </c>
      <c r="F655" s="6" t="s">
        <v>42</v>
      </c>
      <c r="G655" s="6" t="s">
        <v>1280</v>
      </c>
      <c r="H655" s="6" t="s">
        <v>1325</v>
      </c>
      <c r="I655" s="6">
        <v>21788</v>
      </c>
      <c r="J655" s="6" t="s">
        <v>45</v>
      </c>
      <c r="K655" s="6" t="s">
        <v>46</v>
      </c>
    </row>
    <row r="656" spans="1:11" x14ac:dyDescent="0.25">
      <c r="A656" s="5" t="s">
        <v>697</v>
      </c>
      <c r="B656" s="5" t="s">
        <v>1787</v>
      </c>
      <c r="C656" s="5" t="s">
        <v>48</v>
      </c>
      <c r="D656" s="5" t="s">
        <v>1296</v>
      </c>
      <c r="E656" s="5" t="s">
        <v>1374</v>
      </c>
      <c r="F656" s="5" t="s">
        <v>50</v>
      </c>
      <c r="G656" s="5" t="s">
        <v>1277</v>
      </c>
      <c r="H656" s="5" t="s">
        <v>1291</v>
      </c>
      <c r="I656" s="5">
        <v>46968</v>
      </c>
      <c r="J656" s="5" t="s">
        <v>29</v>
      </c>
      <c r="K656" s="5" t="s">
        <v>1273</v>
      </c>
    </row>
    <row r="657" spans="1:11" x14ac:dyDescent="0.25">
      <c r="A657" s="6" t="s">
        <v>698</v>
      </c>
      <c r="B657" s="6" t="s">
        <v>1554</v>
      </c>
      <c r="C657" s="6" t="s">
        <v>1254</v>
      </c>
      <c r="D657" s="6" t="s">
        <v>1255</v>
      </c>
      <c r="E657" s="6" t="s">
        <v>49</v>
      </c>
      <c r="F657" s="6" t="s">
        <v>50</v>
      </c>
      <c r="G657" s="6" t="s">
        <v>1734</v>
      </c>
      <c r="H657" s="6" t="s">
        <v>1359</v>
      </c>
      <c r="I657" s="6">
        <v>58473</v>
      </c>
      <c r="J657" s="6" t="s">
        <v>45</v>
      </c>
      <c r="K657" s="6" t="s">
        <v>17</v>
      </c>
    </row>
    <row r="658" spans="1:11" x14ac:dyDescent="0.25">
      <c r="A658" s="5" t="s">
        <v>699</v>
      </c>
      <c r="B658" s="5" t="s">
        <v>1849</v>
      </c>
      <c r="C658" s="5" t="s">
        <v>73</v>
      </c>
      <c r="D658" s="5" t="s">
        <v>1296</v>
      </c>
      <c r="E658" s="5" t="s">
        <v>27</v>
      </c>
      <c r="F658" s="5" t="s">
        <v>28</v>
      </c>
      <c r="G658" s="5" t="s">
        <v>1337</v>
      </c>
      <c r="H658" s="5" t="s">
        <v>1266</v>
      </c>
      <c r="I658" s="5">
        <v>10603</v>
      </c>
      <c r="J658" s="5" t="s">
        <v>16</v>
      </c>
      <c r="K658" s="5" t="s">
        <v>46</v>
      </c>
    </row>
    <row r="659" spans="1:11" x14ac:dyDescent="0.25">
      <c r="A659" s="6" t="s">
        <v>700</v>
      </c>
      <c r="B659" s="6" t="s">
        <v>1665</v>
      </c>
      <c r="C659" s="6" t="s">
        <v>1288</v>
      </c>
      <c r="D659" s="6" t="s">
        <v>1296</v>
      </c>
      <c r="E659" s="6" t="s">
        <v>49</v>
      </c>
      <c r="F659" s="6" t="s">
        <v>50</v>
      </c>
      <c r="G659" s="6" t="s">
        <v>1380</v>
      </c>
      <c r="H659" s="6" t="s">
        <v>1304</v>
      </c>
      <c r="I659" s="6">
        <v>52752</v>
      </c>
      <c r="J659" s="6" t="s">
        <v>16</v>
      </c>
      <c r="K659" s="6" t="s">
        <v>1262</v>
      </c>
    </row>
    <row r="660" spans="1:11" x14ac:dyDescent="0.25">
      <c r="A660" s="5" t="s">
        <v>701</v>
      </c>
      <c r="B660" s="5" t="s">
        <v>1613</v>
      </c>
      <c r="C660" s="5" t="s">
        <v>48</v>
      </c>
      <c r="D660" s="5" t="s">
        <v>26</v>
      </c>
      <c r="E660" s="5" t="s">
        <v>14</v>
      </c>
      <c r="F660" s="5" t="s">
        <v>15</v>
      </c>
      <c r="G660" s="5" t="s">
        <v>1277</v>
      </c>
      <c r="H660" s="5" t="s">
        <v>1257</v>
      </c>
      <c r="I660" s="5">
        <v>9417</v>
      </c>
      <c r="J660" s="5" t="s">
        <v>1267</v>
      </c>
      <c r="K660" s="5" t="s">
        <v>46</v>
      </c>
    </row>
    <row r="661" spans="1:11" x14ac:dyDescent="0.25">
      <c r="A661" s="6" t="s">
        <v>702</v>
      </c>
      <c r="B661" s="6" t="s">
        <v>1850</v>
      </c>
      <c r="C661" s="6" t="s">
        <v>1269</v>
      </c>
      <c r="D661" s="6" t="s">
        <v>1255</v>
      </c>
      <c r="E661" s="6" t="s">
        <v>1276</v>
      </c>
      <c r="F661" s="6" t="s">
        <v>34</v>
      </c>
      <c r="G661" s="6" t="s">
        <v>1280</v>
      </c>
      <c r="H661" s="6" t="s">
        <v>1299</v>
      </c>
      <c r="I661" s="6">
        <v>27787</v>
      </c>
      <c r="J661" s="6" t="s">
        <v>22</v>
      </c>
      <c r="K661" s="6" t="s">
        <v>1262</v>
      </c>
    </row>
    <row r="662" spans="1:11" x14ac:dyDescent="0.25">
      <c r="A662" s="5" t="s">
        <v>703</v>
      </c>
      <c r="B662" s="5" t="s">
        <v>1851</v>
      </c>
      <c r="C662" s="5" t="s">
        <v>1269</v>
      </c>
      <c r="D662" s="5" t="s">
        <v>1270</v>
      </c>
      <c r="E662" s="5" t="s">
        <v>14</v>
      </c>
      <c r="F662" s="5" t="s">
        <v>15</v>
      </c>
      <c r="G662" s="5" t="s">
        <v>1301</v>
      </c>
      <c r="H662" s="5" t="s">
        <v>1257</v>
      </c>
      <c r="I662" s="5">
        <v>9690</v>
      </c>
      <c r="J662" s="5" t="s">
        <v>29</v>
      </c>
      <c r="K662" s="5" t="s">
        <v>1286</v>
      </c>
    </row>
    <row r="663" spans="1:11" x14ac:dyDescent="0.25">
      <c r="A663" s="6" t="s">
        <v>704</v>
      </c>
      <c r="B663" s="6" t="s">
        <v>1605</v>
      </c>
      <c r="C663" s="6" t="s">
        <v>62</v>
      </c>
      <c r="D663" s="6" t="s">
        <v>1296</v>
      </c>
      <c r="E663" s="6" t="s">
        <v>66</v>
      </c>
      <c r="F663" s="6" t="s">
        <v>67</v>
      </c>
      <c r="G663" s="6" t="s">
        <v>1271</v>
      </c>
      <c r="H663" s="6" t="s">
        <v>1317</v>
      </c>
      <c r="I663" s="6">
        <v>1620</v>
      </c>
      <c r="J663" s="6" t="s">
        <v>45</v>
      </c>
      <c r="K663" s="6" t="s">
        <v>1262</v>
      </c>
    </row>
    <row r="664" spans="1:11" x14ac:dyDescent="0.25">
      <c r="A664" s="5" t="s">
        <v>705</v>
      </c>
      <c r="B664" s="5" t="s">
        <v>1767</v>
      </c>
      <c r="C664" s="5" t="s">
        <v>48</v>
      </c>
      <c r="D664" s="5" t="s">
        <v>26</v>
      </c>
      <c r="E664" s="5" t="s">
        <v>66</v>
      </c>
      <c r="F664" s="5" t="s">
        <v>67</v>
      </c>
      <c r="G664" s="5" t="s">
        <v>1313</v>
      </c>
      <c r="H664" s="5" t="s">
        <v>1317</v>
      </c>
      <c r="I664" s="5">
        <v>1640</v>
      </c>
      <c r="J664" s="5" t="s">
        <v>29</v>
      </c>
      <c r="K664" s="5" t="s">
        <v>1262</v>
      </c>
    </row>
    <row r="665" spans="1:11" x14ac:dyDescent="0.25">
      <c r="A665" s="6" t="s">
        <v>706</v>
      </c>
      <c r="B665" s="6" t="s">
        <v>1852</v>
      </c>
      <c r="C665" s="6" t="s">
        <v>73</v>
      </c>
      <c r="D665" s="6" t="s">
        <v>1255</v>
      </c>
      <c r="E665" s="6" t="s">
        <v>66</v>
      </c>
      <c r="F665" s="6" t="s">
        <v>67</v>
      </c>
      <c r="G665" s="6" t="s">
        <v>1475</v>
      </c>
      <c r="H665" s="6" t="s">
        <v>1335</v>
      </c>
      <c r="I665" s="6">
        <v>1581</v>
      </c>
      <c r="J665" s="6" t="s">
        <v>16</v>
      </c>
      <c r="K665" s="6" t="s">
        <v>17</v>
      </c>
    </row>
    <row r="666" spans="1:11" x14ac:dyDescent="0.25">
      <c r="A666" s="5" t="s">
        <v>707</v>
      </c>
      <c r="B666" s="5" t="s">
        <v>1369</v>
      </c>
      <c r="C666" s="5" t="s">
        <v>73</v>
      </c>
      <c r="D666" s="5"/>
      <c r="E666" s="5" t="s">
        <v>1361</v>
      </c>
      <c r="F666" s="5" t="s">
        <v>42</v>
      </c>
      <c r="G666" s="5" t="s">
        <v>1301</v>
      </c>
      <c r="H666" s="5" t="s">
        <v>1285</v>
      </c>
      <c r="I666" s="5">
        <v>22015</v>
      </c>
      <c r="J666" s="5" t="s">
        <v>1267</v>
      </c>
      <c r="K666" s="5" t="s">
        <v>17</v>
      </c>
    </row>
    <row r="667" spans="1:11" x14ac:dyDescent="0.25">
      <c r="A667" s="6" t="s">
        <v>708</v>
      </c>
      <c r="B667" s="6" t="s">
        <v>1853</v>
      </c>
      <c r="C667" s="6" t="s">
        <v>1254</v>
      </c>
      <c r="D667" s="6" t="s">
        <v>1296</v>
      </c>
      <c r="E667" s="6" t="s">
        <v>27</v>
      </c>
      <c r="F667" s="6" t="s">
        <v>28</v>
      </c>
      <c r="G667" s="6" t="s">
        <v>1307</v>
      </c>
      <c r="H667" s="6" t="s">
        <v>1266</v>
      </c>
      <c r="I667" s="6">
        <v>10142</v>
      </c>
      <c r="J667" s="6" t="s">
        <v>22</v>
      </c>
      <c r="K667" s="6" t="s">
        <v>1262</v>
      </c>
    </row>
    <row r="668" spans="1:11" x14ac:dyDescent="0.25">
      <c r="A668" s="5" t="s">
        <v>709</v>
      </c>
      <c r="B668" s="5" t="s">
        <v>1438</v>
      </c>
      <c r="C668" s="5" t="s">
        <v>1254</v>
      </c>
      <c r="D668" s="5" t="s">
        <v>1275</v>
      </c>
      <c r="E668" s="5" t="s">
        <v>55</v>
      </c>
      <c r="F668" s="5" t="s">
        <v>34</v>
      </c>
      <c r="G668" s="5" t="s">
        <v>1380</v>
      </c>
      <c r="H668" s="5" t="s">
        <v>1278</v>
      </c>
      <c r="I668" s="5">
        <v>25174</v>
      </c>
      <c r="J668" s="5" t="s">
        <v>29</v>
      </c>
      <c r="K668" s="5" t="s">
        <v>46</v>
      </c>
    </row>
    <row r="669" spans="1:11" x14ac:dyDescent="0.25">
      <c r="A669" s="6" t="s">
        <v>710</v>
      </c>
      <c r="B669" s="6" t="s">
        <v>1854</v>
      </c>
      <c r="C669" s="6" t="s">
        <v>53</v>
      </c>
      <c r="D669" s="6" t="s">
        <v>1275</v>
      </c>
      <c r="E669" s="6" t="s">
        <v>41</v>
      </c>
      <c r="F669" s="6" t="s">
        <v>42</v>
      </c>
      <c r="G669" s="6" t="s">
        <v>1303</v>
      </c>
      <c r="H669" s="6" t="s">
        <v>1311</v>
      </c>
      <c r="I669" s="6">
        <v>22125</v>
      </c>
      <c r="J669" s="6" t="s">
        <v>16</v>
      </c>
      <c r="K669" s="6" t="s">
        <v>1286</v>
      </c>
    </row>
    <row r="670" spans="1:11" x14ac:dyDescent="0.25">
      <c r="A670" s="5" t="s">
        <v>711</v>
      </c>
      <c r="B670" s="5" t="s">
        <v>1352</v>
      </c>
      <c r="C670" s="5" t="s">
        <v>1288</v>
      </c>
      <c r="D670" s="5" t="s">
        <v>26</v>
      </c>
      <c r="E670" s="5" t="s">
        <v>14</v>
      </c>
      <c r="F670" s="5" t="s">
        <v>15</v>
      </c>
      <c r="G670" s="5" t="s">
        <v>1280</v>
      </c>
      <c r="H670" s="5" t="s">
        <v>1257</v>
      </c>
      <c r="I670" s="5">
        <v>8193</v>
      </c>
      <c r="J670" s="5" t="s">
        <v>1267</v>
      </c>
      <c r="K670" s="5" t="s">
        <v>1262</v>
      </c>
    </row>
    <row r="671" spans="1:11" x14ac:dyDescent="0.25">
      <c r="A671" s="6" t="s">
        <v>712</v>
      </c>
      <c r="B671" s="6" t="s">
        <v>1855</v>
      </c>
      <c r="C671" s="6" t="s">
        <v>1264</v>
      </c>
      <c r="D671" s="6" t="s">
        <v>1275</v>
      </c>
      <c r="E671" s="6" t="s">
        <v>1437</v>
      </c>
      <c r="F671" s="6" t="s">
        <v>38</v>
      </c>
      <c r="G671" s="6" t="s">
        <v>1280</v>
      </c>
      <c r="H671" s="6" t="s">
        <v>1281</v>
      </c>
      <c r="I671" s="6">
        <v>33521</v>
      </c>
      <c r="J671" s="6" t="s">
        <v>22</v>
      </c>
      <c r="K671" s="6" t="s">
        <v>1262</v>
      </c>
    </row>
    <row r="672" spans="1:11" x14ac:dyDescent="0.25">
      <c r="A672" s="5" t="s">
        <v>713</v>
      </c>
      <c r="B672" s="5" t="s">
        <v>1856</v>
      </c>
      <c r="C672" s="5" t="s">
        <v>1288</v>
      </c>
      <c r="D672" s="5" t="s">
        <v>36</v>
      </c>
      <c r="E672" s="5" t="s">
        <v>27</v>
      </c>
      <c r="F672" s="5" t="s">
        <v>28</v>
      </c>
      <c r="G672" s="5" t="s">
        <v>1280</v>
      </c>
      <c r="H672" s="5" t="s">
        <v>1266</v>
      </c>
      <c r="I672" s="5">
        <v>8690</v>
      </c>
      <c r="J672" s="5" t="s">
        <v>45</v>
      </c>
      <c r="K672" s="5" t="s">
        <v>1273</v>
      </c>
    </row>
    <row r="673" spans="1:11" x14ac:dyDescent="0.25">
      <c r="A673" s="6" t="s">
        <v>714</v>
      </c>
      <c r="B673" s="6" t="s">
        <v>1857</v>
      </c>
      <c r="C673" s="6" t="s">
        <v>53</v>
      </c>
      <c r="D673" s="6" t="s">
        <v>36</v>
      </c>
      <c r="E673" s="6" t="s">
        <v>14</v>
      </c>
      <c r="F673" s="6" t="s">
        <v>15</v>
      </c>
      <c r="G673" s="6" t="s">
        <v>1440</v>
      </c>
      <c r="H673" s="6" t="s">
        <v>1272</v>
      </c>
      <c r="I673" s="6">
        <v>9324</v>
      </c>
      <c r="J673" s="6" t="s">
        <v>29</v>
      </c>
      <c r="K673" s="6" t="s">
        <v>1286</v>
      </c>
    </row>
    <row r="674" spans="1:11" x14ac:dyDescent="0.25">
      <c r="A674" s="5" t="s">
        <v>715</v>
      </c>
      <c r="B674" s="5" t="s">
        <v>1817</v>
      </c>
      <c r="C674" s="5" t="s">
        <v>1264</v>
      </c>
      <c r="D674" s="5" t="s">
        <v>26</v>
      </c>
      <c r="E674" s="5" t="s">
        <v>20</v>
      </c>
      <c r="F674" s="5" t="s">
        <v>21</v>
      </c>
      <c r="G674" s="5" t="s">
        <v>1271</v>
      </c>
      <c r="H674" s="5" t="s">
        <v>1261</v>
      </c>
      <c r="I674" s="5">
        <v>6269</v>
      </c>
      <c r="J674" s="5" t="s">
        <v>22</v>
      </c>
      <c r="K674" s="5" t="s">
        <v>1273</v>
      </c>
    </row>
    <row r="675" spans="1:11" x14ac:dyDescent="0.25">
      <c r="A675" s="6" t="s">
        <v>716</v>
      </c>
      <c r="B675" s="6" t="s">
        <v>1339</v>
      </c>
      <c r="C675" s="6" t="s">
        <v>62</v>
      </c>
      <c r="D675" s="6" t="s">
        <v>26</v>
      </c>
      <c r="E675" s="6" t="s">
        <v>41</v>
      </c>
      <c r="F675" s="6" t="s">
        <v>42</v>
      </c>
      <c r="G675" s="6" t="s">
        <v>1260</v>
      </c>
      <c r="H675" s="6" t="s">
        <v>1325</v>
      </c>
      <c r="I675" s="6">
        <v>17257</v>
      </c>
      <c r="J675" s="6" t="s">
        <v>16</v>
      </c>
      <c r="K675" s="6" t="s">
        <v>1273</v>
      </c>
    </row>
    <row r="676" spans="1:11" x14ac:dyDescent="0.25">
      <c r="A676" s="5" t="s">
        <v>717</v>
      </c>
      <c r="B676" s="5" t="s">
        <v>1858</v>
      </c>
      <c r="C676" s="5" t="s">
        <v>1269</v>
      </c>
      <c r="D676" s="5" t="s">
        <v>1283</v>
      </c>
      <c r="E676" s="5" t="s">
        <v>1401</v>
      </c>
      <c r="F676" s="5" t="s">
        <v>67</v>
      </c>
      <c r="G676" s="5" t="s">
        <v>1277</v>
      </c>
      <c r="H676" s="5" t="s">
        <v>1317</v>
      </c>
      <c r="I676" s="5">
        <v>1834</v>
      </c>
      <c r="J676" s="5" t="s">
        <v>22</v>
      </c>
      <c r="K676" s="5"/>
    </row>
    <row r="677" spans="1:11" x14ac:dyDescent="0.25">
      <c r="A677" s="6" t="s">
        <v>718</v>
      </c>
      <c r="B677" s="6" t="s">
        <v>1602</v>
      </c>
      <c r="C677" s="6" t="s">
        <v>62</v>
      </c>
      <c r="D677" s="6" t="s">
        <v>1255</v>
      </c>
      <c r="E677" s="6" t="s">
        <v>41</v>
      </c>
      <c r="F677" s="6" t="s">
        <v>42</v>
      </c>
      <c r="G677" s="6" t="s">
        <v>1294</v>
      </c>
      <c r="H677" s="6" t="s">
        <v>1311</v>
      </c>
      <c r="I677" s="6">
        <v>18022</v>
      </c>
      <c r="J677" s="6" t="s">
        <v>1267</v>
      </c>
      <c r="K677" s="6" t="s">
        <v>1286</v>
      </c>
    </row>
    <row r="678" spans="1:11" x14ac:dyDescent="0.25">
      <c r="A678" s="5" t="s">
        <v>719</v>
      </c>
      <c r="B678" s="5" t="s">
        <v>1859</v>
      </c>
      <c r="C678" s="5" t="s">
        <v>1264</v>
      </c>
      <c r="D678" s="5" t="s">
        <v>1283</v>
      </c>
      <c r="E678" s="5" t="s">
        <v>66</v>
      </c>
      <c r="F678" s="5" t="s">
        <v>67</v>
      </c>
      <c r="G678" s="5" t="s">
        <v>1301</v>
      </c>
      <c r="H678" s="5" t="s">
        <v>1317</v>
      </c>
      <c r="I678" s="5">
        <v>1721</v>
      </c>
      <c r="J678" s="5" t="s">
        <v>1267</v>
      </c>
      <c r="K678" s="5" t="s">
        <v>17</v>
      </c>
    </row>
    <row r="679" spans="1:11" x14ac:dyDescent="0.25">
      <c r="A679" s="6" t="s">
        <v>720</v>
      </c>
      <c r="B679" s="6" t="s">
        <v>1860</v>
      </c>
      <c r="C679" s="6" t="s">
        <v>1269</v>
      </c>
      <c r="D679" s="6" t="s">
        <v>36</v>
      </c>
      <c r="E679" s="6" t="s">
        <v>20</v>
      </c>
      <c r="F679" s="6" t="s">
        <v>21</v>
      </c>
      <c r="G679" s="6" t="s">
        <v>1297</v>
      </c>
      <c r="H679" s="6" t="s">
        <v>1261</v>
      </c>
      <c r="I679" s="6">
        <v>5577</v>
      </c>
      <c r="J679" s="6" t="s">
        <v>16</v>
      </c>
      <c r="K679" s="6" t="s">
        <v>1273</v>
      </c>
    </row>
    <row r="680" spans="1:11" x14ac:dyDescent="0.25">
      <c r="A680" s="5" t="s">
        <v>721</v>
      </c>
      <c r="B680" s="5" t="s">
        <v>1465</v>
      </c>
      <c r="C680" s="5" t="s">
        <v>1288</v>
      </c>
      <c r="D680" s="5" t="s">
        <v>1270</v>
      </c>
      <c r="E680" s="5" t="s">
        <v>55</v>
      </c>
      <c r="F680" s="5" t="s">
        <v>34</v>
      </c>
      <c r="G680" s="5" t="s">
        <v>1364</v>
      </c>
      <c r="H680" s="5" t="s">
        <v>1395</v>
      </c>
      <c r="I680" s="5">
        <v>26173</v>
      </c>
      <c r="J680" s="5" t="s">
        <v>45</v>
      </c>
      <c r="K680" s="5" t="s">
        <v>17</v>
      </c>
    </row>
    <row r="681" spans="1:11" x14ac:dyDescent="0.25">
      <c r="A681" s="6" t="s">
        <v>722</v>
      </c>
      <c r="B681" s="6" t="s">
        <v>1334</v>
      </c>
      <c r="C681" s="6" t="s">
        <v>1269</v>
      </c>
      <c r="D681" s="6" t="s">
        <v>1255</v>
      </c>
      <c r="E681" s="6" t="s">
        <v>1330</v>
      </c>
      <c r="F681" s="6" t="s">
        <v>28</v>
      </c>
      <c r="G681" s="6" t="s">
        <v>1560</v>
      </c>
      <c r="H681" s="6" t="s">
        <v>1458</v>
      </c>
      <c r="I681" s="6">
        <v>11160</v>
      </c>
      <c r="J681" s="6" t="s">
        <v>22</v>
      </c>
      <c r="K681" s="6" t="s">
        <v>1262</v>
      </c>
    </row>
    <row r="682" spans="1:11" x14ac:dyDescent="0.25">
      <c r="A682" s="5" t="s">
        <v>723</v>
      </c>
      <c r="B682" s="5" t="s">
        <v>1804</v>
      </c>
      <c r="C682" s="5" t="s">
        <v>1288</v>
      </c>
      <c r="D682" s="5" t="s">
        <v>36</v>
      </c>
      <c r="E682" s="5" t="s">
        <v>14</v>
      </c>
      <c r="F682" s="5" t="s">
        <v>15</v>
      </c>
      <c r="G682" s="5" t="s">
        <v>1405</v>
      </c>
      <c r="H682" s="5" t="s">
        <v>1257</v>
      </c>
      <c r="I682" s="5">
        <v>9646</v>
      </c>
      <c r="J682" s="5" t="s">
        <v>22</v>
      </c>
      <c r="K682" s="5" t="s">
        <v>1286</v>
      </c>
    </row>
    <row r="683" spans="1:11" x14ac:dyDescent="0.25">
      <c r="A683" s="6" t="s">
        <v>724</v>
      </c>
      <c r="B683" s="6" t="s">
        <v>1861</v>
      </c>
      <c r="C683" s="6" t="s">
        <v>73</v>
      </c>
      <c r="D683" s="6" t="s">
        <v>1270</v>
      </c>
      <c r="E683" s="6" t="s">
        <v>63</v>
      </c>
      <c r="F683" s="6" t="s">
        <v>59</v>
      </c>
      <c r="G683" s="6" t="s">
        <v>1280</v>
      </c>
      <c r="H683" s="6" t="s">
        <v>1308</v>
      </c>
      <c r="I683" s="6">
        <v>3315</v>
      </c>
      <c r="J683" s="6" t="s">
        <v>1267</v>
      </c>
      <c r="K683" s="6" t="s">
        <v>1286</v>
      </c>
    </row>
    <row r="684" spans="1:11" x14ac:dyDescent="0.25">
      <c r="A684" s="5" t="s">
        <v>725</v>
      </c>
      <c r="B684" s="5" t="s">
        <v>1488</v>
      </c>
      <c r="C684" s="5" t="s">
        <v>1264</v>
      </c>
      <c r="D684" s="5" t="s">
        <v>1296</v>
      </c>
      <c r="E684" s="5" t="s">
        <v>14</v>
      </c>
      <c r="F684" s="5" t="s">
        <v>15</v>
      </c>
      <c r="G684" s="5" t="s">
        <v>1315</v>
      </c>
      <c r="H684" s="5" t="s">
        <v>1257</v>
      </c>
      <c r="I684" s="5">
        <v>9638</v>
      </c>
      <c r="J684" s="5" t="s">
        <v>45</v>
      </c>
      <c r="K684" s="5" t="s">
        <v>46</v>
      </c>
    </row>
    <row r="685" spans="1:11" x14ac:dyDescent="0.25">
      <c r="A685" s="6" t="s">
        <v>726</v>
      </c>
      <c r="B685" s="6" t="s">
        <v>1862</v>
      </c>
      <c r="C685" s="6" t="s">
        <v>1254</v>
      </c>
      <c r="D685" s="6" t="s">
        <v>36</v>
      </c>
      <c r="E685" s="6" t="s">
        <v>14</v>
      </c>
      <c r="F685" s="6" t="s">
        <v>15</v>
      </c>
      <c r="G685" s="6" t="s">
        <v>1271</v>
      </c>
      <c r="H685" s="6" t="s">
        <v>1272</v>
      </c>
      <c r="I685" s="6">
        <v>9854</v>
      </c>
      <c r="J685" s="6" t="s">
        <v>45</v>
      </c>
      <c r="K685" s="6" t="s">
        <v>1262</v>
      </c>
    </row>
    <row r="686" spans="1:11" x14ac:dyDescent="0.25">
      <c r="A686" s="5" t="s">
        <v>727</v>
      </c>
      <c r="B686" s="5" t="s">
        <v>1685</v>
      </c>
      <c r="C686" s="5" t="s">
        <v>1264</v>
      </c>
      <c r="D686" s="5" t="s">
        <v>36</v>
      </c>
      <c r="E686" s="5" t="s">
        <v>1587</v>
      </c>
      <c r="F686" s="5" t="s">
        <v>21</v>
      </c>
      <c r="G686" s="5" t="s">
        <v>1280</v>
      </c>
      <c r="H686" s="5" t="s">
        <v>1261</v>
      </c>
      <c r="I686" s="5">
        <v>6576</v>
      </c>
      <c r="J686" s="5" t="s">
        <v>22</v>
      </c>
      <c r="K686" s="5" t="s">
        <v>17</v>
      </c>
    </row>
    <row r="687" spans="1:11" x14ac:dyDescent="0.25">
      <c r="A687" s="6" t="s">
        <v>728</v>
      </c>
      <c r="B687" s="6" t="s">
        <v>1863</v>
      </c>
      <c r="C687" s="6" t="s">
        <v>1288</v>
      </c>
      <c r="D687" s="6" t="s">
        <v>1296</v>
      </c>
      <c r="E687" s="6" t="s">
        <v>49</v>
      </c>
      <c r="F687" s="6" t="s">
        <v>50</v>
      </c>
      <c r="G687" s="6" t="s">
        <v>1294</v>
      </c>
      <c r="H687" s="6" t="s">
        <v>1304</v>
      </c>
      <c r="I687" s="6">
        <v>58109</v>
      </c>
      <c r="J687" s="6" t="s">
        <v>16</v>
      </c>
      <c r="K687" s="6" t="s">
        <v>17</v>
      </c>
    </row>
    <row r="688" spans="1:11" x14ac:dyDescent="0.25">
      <c r="A688" s="5" t="s">
        <v>729</v>
      </c>
      <c r="B688" s="5" t="s">
        <v>1447</v>
      </c>
      <c r="C688" s="5" t="s">
        <v>48</v>
      </c>
      <c r="D688" s="5" t="s">
        <v>1275</v>
      </c>
      <c r="E688" s="5" t="s">
        <v>20</v>
      </c>
      <c r="F688" s="5" t="s">
        <v>21</v>
      </c>
      <c r="G688" s="5" t="s">
        <v>1297</v>
      </c>
      <c r="H688" s="5" t="s">
        <v>1261</v>
      </c>
      <c r="I688" s="5">
        <v>6295</v>
      </c>
      <c r="J688" s="5" t="s">
        <v>29</v>
      </c>
      <c r="K688" s="5" t="s">
        <v>1262</v>
      </c>
    </row>
    <row r="689" spans="1:11" x14ac:dyDescent="0.25">
      <c r="A689" s="6" t="s">
        <v>730</v>
      </c>
      <c r="B689" s="6" t="s">
        <v>1605</v>
      </c>
      <c r="C689" s="6" t="s">
        <v>1264</v>
      </c>
      <c r="D689" s="6" t="s">
        <v>26</v>
      </c>
      <c r="E689" s="6" t="s">
        <v>66</v>
      </c>
      <c r="F689" s="6" t="s">
        <v>67</v>
      </c>
      <c r="G689" s="6" t="s">
        <v>1289</v>
      </c>
      <c r="H689" s="6" t="s">
        <v>1335</v>
      </c>
      <c r="I689" s="6">
        <v>1704</v>
      </c>
      <c r="J689" s="6" t="s">
        <v>45</v>
      </c>
      <c r="K689" s="6" t="s">
        <v>46</v>
      </c>
    </row>
    <row r="690" spans="1:11" x14ac:dyDescent="0.25">
      <c r="A690" s="5" t="s">
        <v>731</v>
      </c>
      <c r="B690" s="5" t="s">
        <v>1741</v>
      </c>
      <c r="C690" s="5" t="s">
        <v>1269</v>
      </c>
      <c r="D690" s="5" t="s">
        <v>26</v>
      </c>
      <c r="E690" s="5" t="s">
        <v>14</v>
      </c>
      <c r="F690" s="5" t="s">
        <v>15</v>
      </c>
      <c r="G690" s="5" t="s">
        <v>1260</v>
      </c>
      <c r="H690" s="5" t="s">
        <v>1257</v>
      </c>
      <c r="I690" s="5">
        <v>9030</v>
      </c>
      <c r="J690" s="5" t="s">
        <v>1267</v>
      </c>
      <c r="K690" s="5" t="s">
        <v>17</v>
      </c>
    </row>
    <row r="691" spans="1:11" x14ac:dyDescent="0.25">
      <c r="A691" s="6" t="s">
        <v>732</v>
      </c>
      <c r="B691" s="6" t="s">
        <v>1864</v>
      </c>
      <c r="C691" s="6" t="s">
        <v>48</v>
      </c>
      <c r="D691" s="6" t="s">
        <v>1270</v>
      </c>
      <c r="E691" s="6" t="s">
        <v>1330</v>
      </c>
      <c r="F691" s="6" t="s">
        <v>28</v>
      </c>
      <c r="G691" s="6" t="s">
        <v>1280</v>
      </c>
      <c r="H691" s="6" t="s">
        <v>1266</v>
      </c>
      <c r="I691" s="6">
        <v>11037</v>
      </c>
      <c r="J691" s="6" t="s">
        <v>22</v>
      </c>
      <c r="K691" s="6" t="s">
        <v>1286</v>
      </c>
    </row>
    <row r="692" spans="1:11" x14ac:dyDescent="0.25">
      <c r="A692" s="5" t="s">
        <v>733</v>
      </c>
      <c r="B692" s="5" t="s">
        <v>1865</v>
      </c>
      <c r="C692" s="5" t="s">
        <v>48</v>
      </c>
      <c r="D692" s="5" t="s">
        <v>36</v>
      </c>
      <c r="E692" s="5" t="s">
        <v>14</v>
      </c>
      <c r="F692" s="5" t="s">
        <v>15</v>
      </c>
      <c r="G692" s="5" t="s">
        <v>1337</v>
      </c>
      <c r="H692" s="5" t="s">
        <v>1257</v>
      </c>
      <c r="I692" s="5">
        <v>7785</v>
      </c>
      <c r="J692" s="5" t="s">
        <v>1267</v>
      </c>
      <c r="K692" s="5" t="s">
        <v>1262</v>
      </c>
    </row>
    <row r="693" spans="1:11" x14ac:dyDescent="0.25">
      <c r="A693" s="6" t="s">
        <v>734</v>
      </c>
      <c r="B693" s="6" t="s">
        <v>1866</v>
      </c>
      <c r="C693" s="6" t="s">
        <v>62</v>
      </c>
      <c r="D693" s="6" t="s">
        <v>1255</v>
      </c>
      <c r="E693" s="6" t="s">
        <v>37</v>
      </c>
      <c r="F693" s="6" t="s">
        <v>38</v>
      </c>
      <c r="G693" s="6" t="s">
        <v>1303</v>
      </c>
      <c r="H693" s="6" t="s">
        <v>1342</v>
      </c>
      <c r="I693" s="6">
        <v>40694</v>
      </c>
      <c r="J693" s="6" t="s">
        <v>45</v>
      </c>
      <c r="K693" s="6" t="s">
        <v>1273</v>
      </c>
    </row>
    <row r="694" spans="1:11" x14ac:dyDescent="0.25">
      <c r="A694" s="5" t="s">
        <v>735</v>
      </c>
      <c r="B694" s="5" t="s">
        <v>1867</v>
      </c>
      <c r="C694" s="5" t="s">
        <v>1288</v>
      </c>
      <c r="D694" s="5" t="s">
        <v>1270</v>
      </c>
      <c r="E694" s="5" t="s">
        <v>63</v>
      </c>
      <c r="F694" s="5" t="s">
        <v>59</v>
      </c>
      <c r="G694" s="5" t="s">
        <v>1297</v>
      </c>
      <c r="H694" s="5" t="s">
        <v>1403</v>
      </c>
      <c r="I694" s="5">
        <v>2713</v>
      </c>
      <c r="J694" s="5" t="s">
        <v>1267</v>
      </c>
      <c r="K694" s="5" t="s">
        <v>1273</v>
      </c>
    </row>
    <row r="695" spans="1:11" x14ac:dyDescent="0.25">
      <c r="A695" s="6" t="s">
        <v>736</v>
      </c>
      <c r="B695" s="6" t="s">
        <v>1523</v>
      </c>
      <c r="C695" s="6" t="s">
        <v>1264</v>
      </c>
      <c r="D695" s="6" t="s">
        <v>1296</v>
      </c>
      <c r="E695" s="6" t="s">
        <v>37</v>
      </c>
      <c r="F695" s="6" t="s">
        <v>38</v>
      </c>
      <c r="G695" s="6" t="s">
        <v>1265</v>
      </c>
      <c r="H695" s="6" t="s">
        <v>1281</v>
      </c>
      <c r="I695" s="6">
        <v>36971</v>
      </c>
      <c r="J695" s="6" t="s">
        <v>29</v>
      </c>
      <c r="K695" s="6" t="s">
        <v>1273</v>
      </c>
    </row>
    <row r="696" spans="1:11" x14ac:dyDescent="0.25">
      <c r="A696" s="5" t="s">
        <v>737</v>
      </c>
      <c r="B696" s="5" t="s">
        <v>1622</v>
      </c>
      <c r="C696" s="5" t="s">
        <v>1269</v>
      </c>
      <c r="D696" s="5" t="s">
        <v>1270</v>
      </c>
      <c r="E696" s="5" t="s">
        <v>1319</v>
      </c>
      <c r="F696" s="5" t="s">
        <v>59</v>
      </c>
      <c r="G696" s="5" t="s">
        <v>1297</v>
      </c>
      <c r="H696" s="5" t="s">
        <v>1308</v>
      </c>
      <c r="I696" s="5">
        <v>2954</v>
      </c>
      <c r="J696" s="5" t="s">
        <v>1267</v>
      </c>
      <c r="K696" s="5" t="s">
        <v>46</v>
      </c>
    </row>
    <row r="697" spans="1:11" x14ac:dyDescent="0.25">
      <c r="A697" s="6" t="s">
        <v>738</v>
      </c>
      <c r="B697" s="6" t="s">
        <v>1868</v>
      </c>
      <c r="C697" s="6" t="s">
        <v>1269</v>
      </c>
      <c r="D697" s="6" t="s">
        <v>26</v>
      </c>
      <c r="E697" s="6" t="s">
        <v>66</v>
      </c>
      <c r="F697" s="6" t="s">
        <v>67</v>
      </c>
      <c r="G697" s="6" t="s">
        <v>1440</v>
      </c>
      <c r="H697" s="6" t="s">
        <v>1335</v>
      </c>
      <c r="I697" s="6">
        <v>1521</v>
      </c>
      <c r="J697" s="6" t="s">
        <v>16</v>
      </c>
      <c r="K697" s="6" t="s">
        <v>1262</v>
      </c>
    </row>
    <row r="698" spans="1:11" x14ac:dyDescent="0.25">
      <c r="A698" s="5" t="s">
        <v>739</v>
      </c>
      <c r="B698" s="5" t="s">
        <v>1697</v>
      </c>
      <c r="C698" s="5" t="s">
        <v>1259</v>
      </c>
      <c r="D698" s="5" t="s">
        <v>26</v>
      </c>
      <c r="E698" s="5" t="s">
        <v>63</v>
      </c>
      <c r="F698" s="5" t="s">
        <v>59</v>
      </c>
      <c r="G698" s="5" t="s">
        <v>1313</v>
      </c>
      <c r="H698" s="5" t="s">
        <v>1308</v>
      </c>
      <c r="I698" s="5">
        <v>3250</v>
      </c>
      <c r="J698" s="5" t="s">
        <v>29</v>
      </c>
      <c r="K698" s="5" t="s">
        <v>1262</v>
      </c>
    </row>
    <row r="699" spans="1:11" x14ac:dyDescent="0.25">
      <c r="A699" s="6" t="s">
        <v>740</v>
      </c>
      <c r="B699" s="6" t="s">
        <v>1577</v>
      </c>
      <c r="C699" s="6" t="s">
        <v>73</v>
      </c>
      <c r="D699" s="6" t="s">
        <v>1275</v>
      </c>
      <c r="E699" s="6" t="s">
        <v>27</v>
      </c>
      <c r="F699" s="6" t="s">
        <v>28</v>
      </c>
      <c r="G699" s="6" t="s">
        <v>1277</v>
      </c>
      <c r="H699" s="6" t="s">
        <v>1266</v>
      </c>
      <c r="I699" s="6">
        <v>10958</v>
      </c>
      <c r="J699" s="6" t="s">
        <v>29</v>
      </c>
      <c r="K699" s="6" t="s">
        <v>1262</v>
      </c>
    </row>
    <row r="700" spans="1:11" x14ac:dyDescent="0.25">
      <c r="A700" s="5" t="s">
        <v>741</v>
      </c>
      <c r="B700" s="5" t="s">
        <v>1869</v>
      </c>
      <c r="C700" s="5" t="s">
        <v>1254</v>
      </c>
      <c r="D700" s="5" t="s">
        <v>26</v>
      </c>
      <c r="E700" s="5" t="s">
        <v>63</v>
      </c>
      <c r="F700" s="5" t="s">
        <v>59</v>
      </c>
      <c r="G700" s="5" t="s">
        <v>1260</v>
      </c>
      <c r="H700" s="5" t="s">
        <v>1308</v>
      </c>
      <c r="I700" s="5">
        <v>3586</v>
      </c>
      <c r="J700" s="5" t="s">
        <v>16</v>
      </c>
      <c r="K700" s="5" t="s">
        <v>1286</v>
      </c>
    </row>
    <row r="701" spans="1:11" x14ac:dyDescent="0.25">
      <c r="A701" s="6" t="s">
        <v>742</v>
      </c>
      <c r="B701" s="6" t="s">
        <v>1691</v>
      </c>
      <c r="C701" s="6" t="s">
        <v>1259</v>
      </c>
      <c r="D701" s="6"/>
      <c r="E701" s="6" t="s">
        <v>1293</v>
      </c>
      <c r="F701" s="6" t="s">
        <v>28</v>
      </c>
      <c r="G701" s="6" t="s">
        <v>1364</v>
      </c>
      <c r="H701" s="6" t="s">
        <v>1458</v>
      </c>
      <c r="I701" s="6">
        <v>9747</v>
      </c>
      <c r="J701" s="6" t="s">
        <v>16</v>
      </c>
      <c r="K701" s="6" t="s">
        <v>17</v>
      </c>
    </row>
    <row r="702" spans="1:11" x14ac:dyDescent="0.25">
      <c r="A702" s="5" t="s">
        <v>743</v>
      </c>
      <c r="B702" s="5" t="s">
        <v>1870</v>
      </c>
      <c r="C702" s="5" t="s">
        <v>1254</v>
      </c>
      <c r="D702" s="5" t="s">
        <v>1270</v>
      </c>
      <c r="E702" s="5" t="s">
        <v>27</v>
      </c>
      <c r="F702" s="5" t="s">
        <v>28</v>
      </c>
      <c r="G702" s="5" t="s">
        <v>1331</v>
      </c>
      <c r="H702" s="5" t="s">
        <v>1266</v>
      </c>
      <c r="I702" s="5">
        <v>9432</v>
      </c>
      <c r="J702" s="5" t="s">
        <v>16</v>
      </c>
      <c r="K702" s="5" t="s">
        <v>17</v>
      </c>
    </row>
    <row r="703" spans="1:11" x14ac:dyDescent="0.25">
      <c r="A703" s="6" t="s">
        <v>744</v>
      </c>
      <c r="B703" s="6" t="s">
        <v>1871</v>
      </c>
      <c r="C703" s="6" t="s">
        <v>1269</v>
      </c>
      <c r="D703" s="6" t="s">
        <v>1296</v>
      </c>
      <c r="E703" s="6" t="s">
        <v>66</v>
      </c>
      <c r="F703" s="6" t="s">
        <v>67</v>
      </c>
      <c r="G703" s="6" t="s">
        <v>1260</v>
      </c>
      <c r="H703" s="6" t="s">
        <v>1317</v>
      </c>
      <c r="I703" s="6">
        <v>1667</v>
      </c>
      <c r="J703" s="6" t="s">
        <v>16</v>
      </c>
      <c r="K703" s="6" t="s">
        <v>1286</v>
      </c>
    </row>
    <row r="704" spans="1:11" x14ac:dyDescent="0.25">
      <c r="A704" s="5" t="s">
        <v>745</v>
      </c>
      <c r="B704" s="5" t="s">
        <v>1872</v>
      </c>
      <c r="C704" s="5" t="s">
        <v>1259</v>
      </c>
      <c r="D704" s="5" t="s">
        <v>1283</v>
      </c>
      <c r="E704" s="5" t="s">
        <v>63</v>
      </c>
      <c r="F704" s="5" t="s">
        <v>59</v>
      </c>
      <c r="G704" s="5" t="s">
        <v>1303</v>
      </c>
      <c r="H704" s="5" t="s">
        <v>1308</v>
      </c>
      <c r="I704" s="5">
        <v>3220</v>
      </c>
      <c r="J704" s="5" t="s">
        <v>16</v>
      </c>
      <c r="K704" s="5" t="s">
        <v>46</v>
      </c>
    </row>
    <row r="705" spans="1:11" x14ac:dyDescent="0.25">
      <c r="A705" s="6" t="s">
        <v>746</v>
      </c>
      <c r="B705" s="6" t="s">
        <v>1873</v>
      </c>
      <c r="C705" s="6" t="s">
        <v>1288</v>
      </c>
      <c r="D705" s="6" t="s">
        <v>1283</v>
      </c>
      <c r="E705" s="6" t="s">
        <v>41</v>
      </c>
      <c r="F705" s="6" t="s">
        <v>42</v>
      </c>
      <c r="G705" s="6" t="s">
        <v>1341</v>
      </c>
      <c r="H705" s="6" t="s">
        <v>1311</v>
      </c>
      <c r="I705" s="6">
        <v>20017</v>
      </c>
      <c r="J705" s="6" t="s">
        <v>29</v>
      </c>
      <c r="K705" s="6" t="s">
        <v>46</v>
      </c>
    </row>
    <row r="706" spans="1:11" x14ac:dyDescent="0.25">
      <c r="A706" s="5" t="s">
        <v>747</v>
      </c>
      <c r="B706" s="5" t="s">
        <v>1874</v>
      </c>
      <c r="C706" s="5" t="s">
        <v>1254</v>
      </c>
      <c r="D706" s="5" t="s">
        <v>1283</v>
      </c>
      <c r="E706" s="5" t="s">
        <v>1636</v>
      </c>
      <c r="F706" s="5" t="s">
        <v>50</v>
      </c>
      <c r="G706" s="5" t="s">
        <v>1315</v>
      </c>
      <c r="H706" s="5" t="s">
        <v>1291</v>
      </c>
      <c r="I706" s="5">
        <v>50149</v>
      </c>
      <c r="J706" s="5" t="s">
        <v>1267</v>
      </c>
      <c r="K706" s="5" t="s">
        <v>1286</v>
      </c>
    </row>
    <row r="707" spans="1:11" x14ac:dyDescent="0.25">
      <c r="A707" s="6" t="s">
        <v>748</v>
      </c>
      <c r="B707" s="6" t="s">
        <v>1388</v>
      </c>
      <c r="C707" s="6" t="s">
        <v>1259</v>
      </c>
      <c r="D707" s="6" t="s">
        <v>1296</v>
      </c>
      <c r="E707" s="6" t="s">
        <v>55</v>
      </c>
      <c r="F707" s="6" t="s">
        <v>34</v>
      </c>
      <c r="G707" s="6" t="s">
        <v>1265</v>
      </c>
      <c r="H707" s="6" t="s">
        <v>1278</v>
      </c>
      <c r="I707" s="6">
        <v>26819</v>
      </c>
      <c r="J707" s="6" t="s">
        <v>16</v>
      </c>
      <c r="K707" s="6" t="s">
        <v>1262</v>
      </c>
    </row>
    <row r="708" spans="1:11" x14ac:dyDescent="0.25">
      <c r="A708" s="5" t="s">
        <v>749</v>
      </c>
      <c r="B708" s="5" t="s">
        <v>1656</v>
      </c>
      <c r="C708" s="5" t="s">
        <v>62</v>
      </c>
      <c r="D708" s="5" t="s">
        <v>1296</v>
      </c>
      <c r="E708" s="5" t="s">
        <v>49</v>
      </c>
      <c r="F708" s="5" t="s">
        <v>50</v>
      </c>
      <c r="G708" s="5" t="s">
        <v>1284</v>
      </c>
      <c r="H708" s="5" t="s">
        <v>1304</v>
      </c>
      <c r="I708" s="5">
        <v>52148</v>
      </c>
      <c r="J708" s="5" t="s">
        <v>45</v>
      </c>
      <c r="K708" s="5" t="s">
        <v>1262</v>
      </c>
    </row>
    <row r="709" spans="1:11" x14ac:dyDescent="0.25">
      <c r="A709" s="6" t="s">
        <v>750</v>
      </c>
      <c r="B709" s="6" t="s">
        <v>1875</v>
      </c>
      <c r="C709" s="6" t="s">
        <v>1288</v>
      </c>
      <c r="D709" s="6" t="s">
        <v>1296</v>
      </c>
      <c r="E709" s="6" t="s">
        <v>41</v>
      </c>
      <c r="F709" s="6" t="s">
        <v>42</v>
      </c>
      <c r="G709" s="6" t="s">
        <v>1256</v>
      </c>
      <c r="H709" s="6" t="s">
        <v>1311</v>
      </c>
      <c r="I709" s="6">
        <v>20028</v>
      </c>
      <c r="J709" s="6" t="s">
        <v>45</v>
      </c>
      <c r="K709" s="6" t="s">
        <v>17</v>
      </c>
    </row>
    <row r="710" spans="1:11" x14ac:dyDescent="0.25">
      <c r="A710" s="5" t="s">
        <v>751</v>
      </c>
      <c r="B710" s="5" t="s">
        <v>1448</v>
      </c>
      <c r="C710" s="5" t="s">
        <v>53</v>
      </c>
      <c r="D710" s="5" t="s">
        <v>26</v>
      </c>
      <c r="E710" s="5" t="s">
        <v>37</v>
      </c>
      <c r="F710" s="5" t="s">
        <v>38</v>
      </c>
      <c r="G710" s="5" t="s">
        <v>1405</v>
      </c>
      <c r="H710" s="5" t="s">
        <v>1281</v>
      </c>
      <c r="I710" s="5">
        <v>42507</v>
      </c>
      <c r="J710" s="5" t="s">
        <v>16</v>
      </c>
      <c r="K710" s="5" t="s">
        <v>46</v>
      </c>
    </row>
    <row r="711" spans="1:11" x14ac:dyDescent="0.25">
      <c r="A711" s="6" t="s">
        <v>752</v>
      </c>
      <c r="B711" s="6" t="s">
        <v>1657</v>
      </c>
      <c r="C711" s="6" t="s">
        <v>48</v>
      </c>
      <c r="D711" s="6" t="s">
        <v>1255</v>
      </c>
      <c r="E711" s="6" t="s">
        <v>1519</v>
      </c>
      <c r="F711" s="6" t="s">
        <v>21</v>
      </c>
      <c r="G711" s="6" t="s">
        <v>1284</v>
      </c>
      <c r="H711" s="6" t="s">
        <v>1261</v>
      </c>
      <c r="I711" s="6">
        <v>6052</v>
      </c>
      <c r="J711" s="6" t="s">
        <v>22</v>
      </c>
      <c r="K711" s="6" t="s">
        <v>17</v>
      </c>
    </row>
    <row r="712" spans="1:11" x14ac:dyDescent="0.25">
      <c r="A712" s="5" t="s">
        <v>753</v>
      </c>
      <c r="B712" s="5" t="s">
        <v>1826</v>
      </c>
      <c r="C712" s="5" t="s">
        <v>53</v>
      </c>
      <c r="D712" s="5" t="s">
        <v>1255</v>
      </c>
      <c r="E712" s="5" t="s">
        <v>55</v>
      </c>
      <c r="F712" s="5" t="s">
        <v>34</v>
      </c>
      <c r="G712" s="5" t="s">
        <v>1256</v>
      </c>
      <c r="H712" s="5" t="s">
        <v>1278</v>
      </c>
      <c r="I712" s="5">
        <v>21375</v>
      </c>
      <c r="J712" s="5" t="s">
        <v>29</v>
      </c>
      <c r="K712" s="5" t="s">
        <v>1273</v>
      </c>
    </row>
    <row r="713" spans="1:11" x14ac:dyDescent="0.25">
      <c r="A713" s="6" t="s">
        <v>754</v>
      </c>
      <c r="B713" s="6" t="s">
        <v>1876</v>
      </c>
      <c r="C713" s="6" t="s">
        <v>1269</v>
      </c>
      <c r="D713" s="6" t="s">
        <v>36</v>
      </c>
      <c r="E713" s="6" t="s">
        <v>20</v>
      </c>
      <c r="F713" s="6" t="s">
        <v>21</v>
      </c>
      <c r="G713" s="6" t="s">
        <v>1310</v>
      </c>
      <c r="H713" s="6" t="s">
        <v>1377</v>
      </c>
      <c r="I713" s="6">
        <v>6695</v>
      </c>
      <c r="J713" s="6" t="s">
        <v>22</v>
      </c>
      <c r="K713" s="6" t="s">
        <v>1286</v>
      </c>
    </row>
    <row r="714" spans="1:11" x14ac:dyDescent="0.25">
      <c r="A714" s="5" t="s">
        <v>755</v>
      </c>
      <c r="B714" s="5" t="s">
        <v>1753</v>
      </c>
      <c r="C714" s="5" t="s">
        <v>73</v>
      </c>
      <c r="D714" s="5" t="s">
        <v>26</v>
      </c>
      <c r="E714" s="5" t="s">
        <v>49</v>
      </c>
      <c r="F714" s="5" t="s">
        <v>50</v>
      </c>
      <c r="G714" s="5" t="s">
        <v>1337</v>
      </c>
      <c r="H714" s="5" t="s">
        <v>1291</v>
      </c>
      <c r="I714" s="5">
        <v>49604</v>
      </c>
      <c r="J714" s="5" t="s">
        <v>29</v>
      </c>
      <c r="K714" s="5" t="s">
        <v>1286</v>
      </c>
    </row>
    <row r="715" spans="1:11" x14ac:dyDescent="0.25">
      <c r="A715" s="6" t="s">
        <v>756</v>
      </c>
      <c r="B715" s="6" t="s">
        <v>1877</v>
      </c>
      <c r="C715" s="6" t="s">
        <v>48</v>
      </c>
      <c r="D715" s="6" t="s">
        <v>1296</v>
      </c>
      <c r="E715" s="6" t="s">
        <v>66</v>
      </c>
      <c r="F715" s="6" t="s">
        <v>67</v>
      </c>
      <c r="G715" s="6" t="s">
        <v>1313</v>
      </c>
      <c r="H715" s="6" t="s">
        <v>1482</v>
      </c>
      <c r="I715" s="6">
        <v>1536</v>
      </c>
      <c r="J715" s="6" t="s">
        <v>22</v>
      </c>
      <c r="K715" s="6" t="s">
        <v>46</v>
      </c>
    </row>
    <row r="716" spans="1:11" x14ac:dyDescent="0.25">
      <c r="A716" s="5" t="s">
        <v>757</v>
      </c>
      <c r="B716" s="5" t="s">
        <v>1878</v>
      </c>
      <c r="C716" s="5" t="s">
        <v>1254</v>
      </c>
      <c r="D716" s="5" t="s">
        <v>1275</v>
      </c>
      <c r="E716" s="5" t="s">
        <v>1489</v>
      </c>
      <c r="F716" s="5" t="s">
        <v>67</v>
      </c>
      <c r="G716" s="5" t="s">
        <v>1301</v>
      </c>
      <c r="H716" s="5" t="s">
        <v>1317</v>
      </c>
      <c r="I716" s="5">
        <v>1571</v>
      </c>
      <c r="J716" s="5" t="s">
        <v>1267</v>
      </c>
      <c r="K716" s="5" t="s">
        <v>1273</v>
      </c>
    </row>
    <row r="717" spans="1:11" x14ac:dyDescent="0.25">
      <c r="A717" s="6" t="s">
        <v>758</v>
      </c>
      <c r="B717" s="6" t="s">
        <v>1802</v>
      </c>
      <c r="C717" s="6" t="s">
        <v>53</v>
      </c>
      <c r="D717" s="6" t="s">
        <v>36</v>
      </c>
      <c r="E717" s="6" t="s">
        <v>27</v>
      </c>
      <c r="F717" s="6" t="s">
        <v>28</v>
      </c>
      <c r="G717" s="6" t="s">
        <v>1307</v>
      </c>
      <c r="H717" s="6" t="s">
        <v>1458</v>
      </c>
      <c r="I717" s="6">
        <v>10591</v>
      </c>
      <c r="J717" s="6" t="s">
        <v>1267</v>
      </c>
      <c r="K717" s="6" t="s">
        <v>17</v>
      </c>
    </row>
    <row r="718" spans="1:11" x14ac:dyDescent="0.25">
      <c r="A718" s="5" t="s">
        <v>759</v>
      </c>
      <c r="B718" s="5" t="s">
        <v>1879</v>
      </c>
      <c r="C718" s="5" t="s">
        <v>1254</v>
      </c>
      <c r="D718" s="5" t="s">
        <v>1275</v>
      </c>
      <c r="E718" s="5" t="s">
        <v>37</v>
      </c>
      <c r="F718" s="5" t="s">
        <v>38</v>
      </c>
      <c r="G718" s="5" t="s">
        <v>1284</v>
      </c>
      <c r="H718" s="5" t="s">
        <v>1281</v>
      </c>
      <c r="I718" s="5">
        <v>42211</v>
      </c>
      <c r="J718" s="5" t="s">
        <v>45</v>
      </c>
      <c r="K718" s="5" t="s">
        <v>17</v>
      </c>
    </row>
    <row r="719" spans="1:11" x14ac:dyDescent="0.25">
      <c r="A719" s="6" t="s">
        <v>760</v>
      </c>
      <c r="B719" s="6" t="s">
        <v>1880</v>
      </c>
      <c r="C719" s="6" t="s">
        <v>62</v>
      </c>
      <c r="D719" s="6" t="s">
        <v>36</v>
      </c>
      <c r="E719" s="6" t="s">
        <v>41</v>
      </c>
      <c r="F719" s="6" t="s">
        <v>42</v>
      </c>
      <c r="G719" s="6" t="s">
        <v>1265</v>
      </c>
      <c r="H719" s="6" t="s">
        <v>1325</v>
      </c>
      <c r="I719" s="6">
        <v>19044</v>
      </c>
      <c r="J719" s="6" t="s">
        <v>22</v>
      </c>
      <c r="K719" s="6" t="s">
        <v>1273</v>
      </c>
    </row>
    <row r="720" spans="1:11" x14ac:dyDescent="0.25">
      <c r="A720" s="5" t="s">
        <v>761</v>
      </c>
      <c r="B720" s="5" t="s">
        <v>1881</v>
      </c>
      <c r="C720" s="5" t="s">
        <v>1259</v>
      </c>
      <c r="D720" s="5" t="s">
        <v>1270</v>
      </c>
      <c r="E720" s="5" t="s">
        <v>14</v>
      </c>
      <c r="F720" s="5" t="s">
        <v>15</v>
      </c>
      <c r="G720" s="5" t="s">
        <v>1380</v>
      </c>
      <c r="H720" s="5" t="s">
        <v>1257</v>
      </c>
      <c r="I720" s="5">
        <v>9522</v>
      </c>
      <c r="J720" s="5" t="s">
        <v>29</v>
      </c>
      <c r="K720" s="5" t="s">
        <v>17</v>
      </c>
    </row>
    <row r="721" spans="1:11" x14ac:dyDescent="0.25">
      <c r="A721" s="6" t="s">
        <v>762</v>
      </c>
      <c r="B721" s="6" t="s">
        <v>1882</v>
      </c>
      <c r="C721" s="6" t="s">
        <v>1269</v>
      </c>
      <c r="D721" s="6" t="s">
        <v>36</v>
      </c>
      <c r="E721" s="6" t="s">
        <v>1346</v>
      </c>
      <c r="F721" s="6" t="s">
        <v>15</v>
      </c>
      <c r="G721" s="6" t="s">
        <v>1560</v>
      </c>
      <c r="H721" s="6" t="s">
        <v>1272</v>
      </c>
      <c r="I721" s="6">
        <v>9329</v>
      </c>
      <c r="J721" s="6" t="s">
        <v>45</v>
      </c>
      <c r="K721" s="6"/>
    </row>
    <row r="722" spans="1:11" x14ac:dyDescent="0.25">
      <c r="A722" s="5" t="s">
        <v>763</v>
      </c>
      <c r="B722" s="5" t="s">
        <v>1883</v>
      </c>
      <c r="C722" s="5" t="s">
        <v>73</v>
      </c>
      <c r="D722" s="5" t="s">
        <v>36</v>
      </c>
      <c r="E722" s="5" t="s">
        <v>37</v>
      </c>
      <c r="F722" s="5" t="s">
        <v>38</v>
      </c>
      <c r="G722" s="5" t="s">
        <v>1280</v>
      </c>
      <c r="H722" s="5" t="s">
        <v>1367</v>
      </c>
      <c r="I722" s="5">
        <v>36687</v>
      </c>
      <c r="J722" s="5" t="s">
        <v>29</v>
      </c>
      <c r="K722" s="5" t="s">
        <v>1262</v>
      </c>
    </row>
    <row r="723" spans="1:11" x14ac:dyDescent="0.25">
      <c r="A723" s="6" t="s">
        <v>764</v>
      </c>
      <c r="B723" s="6" t="s">
        <v>1613</v>
      </c>
      <c r="C723" s="6" t="s">
        <v>1288</v>
      </c>
      <c r="D723" s="6" t="s">
        <v>1296</v>
      </c>
      <c r="E723" s="6" t="s">
        <v>20</v>
      </c>
      <c r="F723" s="6" t="s">
        <v>21</v>
      </c>
      <c r="G723" s="6" t="s">
        <v>1364</v>
      </c>
      <c r="H723" s="6" t="s">
        <v>1261</v>
      </c>
      <c r="I723" s="6">
        <v>5756</v>
      </c>
      <c r="J723" s="6" t="s">
        <v>16</v>
      </c>
      <c r="K723" s="6" t="s">
        <v>1262</v>
      </c>
    </row>
    <row r="724" spans="1:11" x14ac:dyDescent="0.25">
      <c r="A724" s="5" t="s">
        <v>765</v>
      </c>
      <c r="B724" s="5" t="s">
        <v>1503</v>
      </c>
      <c r="C724" s="5" t="s">
        <v>1269</v>
      </c>
      <c r="D724" s="5" t="s">
        <v>26</v>
      </c>
      <c r="E724" s="5" t="s">
        <v>41</v>
      </c>
      <c r="F724" s="5" t="s">
        <v>42</v>
      </c>
      <c r="G724" s="5" t="s">
        <v>1307</v>
      </c>
      <c r="H724" s="5" t="s">
        <v>1325</v>
      </c>
      <c r="I724" s="5">
        <v>21806</v>
      </c>
      <c r="J724" s="5" t="s">
        <v>29</v>
      </c>
      <c r="K724" s="5" t="s">
        <v>1262</v>
      </c>
    </row>
    <row r="725" spans="1:11" x14ac:dyDescent="0.25">
      <c r="A725" s="6" t="s">
        <v>766</v>
      </c>
      <c r="B725" s="6" t="s">
        <v>1884</v>
      </c>
      <c r="C725" s="6" t="s">
        <v>1264</v>
      </c>
      <c r="D725" s="6" t="s">
        <v>1283</v>
      </c>
      <c r="E725" s="6" t="s">
        <v>41</v>
      </c>
      <c r="F725" s="6" t="s">
        <v>42</v>
      </c>
      <c r="G725" s="6" t="s">
        <v>1331</v>
      </c>
      <c r="H725" s="6" t="s">
        <v>1311</v>
      </c>
      <c r="I725" s="6">
        <v>21167</v>
      </c>
      <c r="J725" s="6" t="s">
        <v>29</v>
      </c>
      <c r="K725" s="6" t="s">
        <v>1286</v>
      </c>
    </row>
    <row r="726" spans="1:11" x14ac:dyDescent="0.25">
      <c r="A726" s="5" t="s">
        <v>767</v>
      </c>
      <c r="B726" s="5" t="s">
        <v>1740</v>
      </c>
      <c r="C726" s="5" t="s">
        <v>1269</v>
      </c>
      <c r="D726" s="5" t="s">
        <v>1270</v>
      </c>
      <c r="E726" s="5" t="s">
        <v>1394</v>
      </c>
      <c r="F726" s="5" t="s">
        <v>34</v>
      </c>
      <c r="G726" s="5" t="s">
        <v>1284</v>
      </c>
      <c r="H726" s="5" t="s">
        <v>1278</v>
      </c>
      <c r="I726" s="5">
        <v>23244</v>
      </c>
      <c r="J726" s="5" t="s">
        <v>1267</v>
      </c>
      <c r="K726" s="5" t="s">
        <v>1273</v>
      </c>
    </row>
    <row r="727" spans="1:11" x14ac:dyDescent="0.25">
      <c r="A727" s="6" t="s">
        <v>768</v>
      </c>
      <c r="B727" s="6" t="s">
        <v>1885</v>
      </c>
      <c r="C727" s="6" t="s">
        <v>48</v>
      </c>
      <c r="D727" s="6" t="s">
        <v>1270</v>
      </c>
      <c r="E727" s="6" t="s">
        <v>37</v>
      </c>
      <c r="F727" s="6" t="s">
        <v>38</v>
      </c>
      <c r="G727" s="6" t="s">
        <v>1315</v>
      </c>
      <c r="H727" s="6" t="s">
        <v>1281</v>
      </c>
      <c r="I727" s="6">
        <v>39524</v>
      </c>
      <c r="J727" s="6" t="s">
        <v>22</v>
      </c>
      <c r="K727" s="6" t="s">
        <v>1286</v>
      </c>
    </row>
    <row r="728" spans="1:11" x14ac:dyDescent="0.25">
      <c r="A728" s="5" t="s">
        <v>769</v>
      </c>
      <c r="B728" s="5" t="s">
        <v>1488</v>
      </c>
      <c r="C728" s="5" t="s">
        <v>1254</v>
      </c>
      <c r="D728" s="5" t="s">
        <v>1296</v>
      </c>
      <c r="E728" s="5" t="s">
        <v>55</v>
      </c>
      <c r="F728" s="5" t="s">
        <v>34</v>
      </c>
      <c r="G728" s="5" t="s">
        <v>1256</v>
      </c>
      <c r="H728" s="5" t="s">
        <v>1278</v>
      </c>
      <c r="I728" s="5">
        <v>24715</v>
      </c>
      <c r="J728" s="5" t="s">
        <v>45</v>
      </c>
      <c r="K728" s="5" t="s">
        <v>1273</v>
      </c>
    </row>
    <row r="729" spans="1:11" x14ac:dyDescent="0.25">
      <c r="A729" s="6" t="s">
        <v>770</v>
      </c>
      <c r="B729" s="6" t="s">
        <v>1886</v>
      </c>
      <c r="C729" s="6" t="s">
        <v>1288</v>
      </c>
      <c r="D729" s="6" t="s">
        <v>1296</v>
      </c>
      <c r="E729" s="6" t="s">
        <v>37</v>
      </c>
      <c r="F729" s="6" t="s">
        <v>38</v>
      </c>
      <c r="G729" s="6" t="s">
        <v>1576</v>
      </c>
      <c r="H729" s="6" t="s">
        <v>1342</v>
      </c>
      <c r="I729" s="6">
        <v>43902</v>
      </c>
      <c r="J729" s="6" t="s">
        <v>1267</v>
      </c>
      <c r="K729" s="6" t="s">
        <v>46</v>
      </c>
    </row>
    <row r="730" spans="1:11" x14ac:dyDescent="0.25">
      <c r="A730" s="5" t="s">
        <v>771</v>
      </c>
      <c r="B730" s="5" t="s">
        <v>1797</v>
      </c>
      <c r="C730" s="5" t="s">
        <v>53</v>
      </c>
      <c r="D730" s="5" t="s">
        <v>26</v>
      </c>
      <c r="E730" s="5" t="s">
        <v>37</v>
      </c>
      <c r="F730" s="5" t="s">
        <v>38</v>
      </c>
      <c r="G730" s="5" t="s">
        <v>1280</v>
      </c>
      <c r="H730" s="5" t="s">
        <v>1281</v>
      </c>
      <c r="I730" s="5">
        <v>34896</v>
      </c>
      <c r="J730" s="5" t="s">
        <v>45</v>
      </c>
      <c r="K730" s="5" t="s">
        <v>1286</v>
      </c>
    </row>
    <row r="731" spans="1:11" x14ac:dyDescent="0.25">
      <c r="A731" s="6" t="s">
        <v>772</v>
      </c>
      <c r="B731" s="6" t="s">
        <v>1887</v>
      </c>
      <c r="C731" s="6" t="s">
        <v>73</v>
      </c>
      <c r="D731" s="6" t="s">
        <v>36</v>
      </c>
      <c r="E731" s="6" t="s">
        <v>1607</v>
      </c>
      <c r="F731" s="6" t="s">
        <v>28</v>
      </c>
      <c r="G731" s="6" t="s">
        <v>1280</v>
      </c>
      <c r="H731" s="6" t="s">
        <v>1266</v>
      </c>
      <c r="I731" s="6">
        <v>10685</v>
      </c>
      <c r="J731" s="6" t="s">
        <v>16</v>
      </c>
      <c r="K731" s="6" t="s">
        <v>1262</v>
      </c>
    </row>
    <row r="732" spans="1:11" x14ac:dyDescent="0.25">
      <c r="A732" s="5" t="s">
        <v>773</v>
      </c>
      <c r="B732" s="5" t="s">
        <v>1888</v>
      </c>
      <c r="C732" s="5" t="s">
        <v>1269</v>
      </c>
      <c r="D732" s="5" t="s">
        <v>1296</v>
      </c>
      <c r="E732" s="5" t="s">
        <v>27</v>
      </c>
      <c r="F732" s="5" t="s">
        <v>28</v>
      </c>
      <c r="G732" s="5" t="s">
        <v>1331</v>
      </c>
      <c r="H732" s="5" t="s">
        <v>1266</v>
      </c>
      <c r="I732" s="5">
        <v>11153</v>
      </c>
      <c r="J732" s="5" t="s">
        <v>16</v>
      </c>
      <c r="K732" s="5" t="s">
        <v>1262</v>
      </c>
    </row>
    <row r="733" spans="1:11" x14ac:dyDescent="0.25">
      <c r="A733" s="6" t="s">
        <v>774</v>
      </c>
      <c r="B733" s="6" t="s">
        <v>1889</v>
      </c>
      <c r="C733" s="6" t="s">
        <v>1254</v>
      </c>
      <c r="D733" s="6" t="s">
        <v>36</v>
      </c>
      <c r="E733" s="6" t="s">
        <v>20</v>
      </c>
      <c r="F733" s="6" t="s">
        <v>21</v>
      </c>
      <c r="G733" s="6" t="s">
        <v>1280</v>
      </c>
      <c r="H733" s="6" t="s">
        <v>1377</v>
      </c>
      <c r="I733" s="6">
        <v>5771</v>
      </c>
      <c r="J733" s="6" t="s">
        <v>22</v>
      </c>
      <c r="K733" s="6" t="s">
        <v>17</v>
      </c>
    </row>
    <row r="734" spans="1:11" x14ac:dyDescent="0.25">
      <c r="A734" s="5" t="s">
        <v>775</v>
      </c>
      <c r="B734" s="5" t="s">
        <v>1686</v>
      </c>
      <c r="C734" s="5" t="s">
        <v>73</v>
      </c>
      <c r="D734" s="5" t="s">
        <v>1283</v>
      </c>
      <c r="E734" s="5" t="s">
        <v>20</v>
      </c>
      <c r="F734" s="5" t="s">
        <v>21</v>
      </c>
      <c r="G734" s="5" t="s">
        <v>1380</v>
      </c>
      <c r="H734" s="5" t="s">
        <v>1261</v>
      </c>
      <c r="I734" s="5">
        <v>6086</v>
      </c>
      <c r="J734" s="5" t="s">
        <v>29</v>
      </c>
      <c r="K734" s="5" t="s">
        <v>1286</v>
      </c>
    </row>
    <row r="735" spans="1:11" x14ac:dyDescent="0.25">
      <c r="A735" s="6" t="s">
        <v>776</v>
      </c>
      <c r="B735" s="6" t="s">
        <v>1533</v>
      </c>
      <c r="C735" s="6" t="s">
        <v>48</v>
      </c>
      <c r="D735" s="6" t="s">
        <v>36</v>
      </c>
      <c r="E735" s="6" t="s">
        <v>41</v>
      </c>
      <c r="F735" s="6" t="s">
        <v>42</v>
      </c>
      <c r="G735" s="6" t="s">
        <v>1284</v>
      </c>
      <c r="H735" s="6" t="s">
        <v>1325</v>
      </c>
      <c r="I735" s="6">
        <v>18696</v>
      </c>
      <c r="J735" s="6" t="s">
        <v>22</v>
      </c>
      <c r="K735" s="6" t="s">
        <v>17</v>
      </c>
    </row>
    <row r="736" spans="1:11" x14ac:dyDescent="0.25">
      <c r="A736" s="5" t="s">
        <v>777</v>
      </c>
      <c r="B736" s="5" t="s">
        <v>1890</v>
      </c>
      <c r="C736" s="5" t="s">
        <v>62</v>
      </c>
      <c r="D736" s="5"/>
      <c r="E736" s="5" t="s">
        <v>1495</v>
      </c>
      <c r="F736" s="5" t="s">
        <v>50</v>
      </c>
      <c r="G736" s="5" t="s">
        <v>1265</v>
      </c>
      <c r="H736" s="5" t="s">
        <v>1304</v>
      </c>
      <c r="I736" s="5">
        <v>57521</v>
      </c>
      <c r="J736" s="5" t="s">
        <v>16</v>
      </c>
      <c r="K736" s="5" t="s">
        <v>46</v>
      </c>
    </row>
    <row r="737" spans="1:11" x14ac:dyDescent="0.25">
      <c r="A737" s="6" t="s">
        <v>778</v>
      </c>
      <c r="B737" s="6" t="s">
        <v>1446</v>
      </c>
      <c r="C737" s="6" t="s">
        <v>1254</v>
      </c>
      <c r="D737" s="6" t="s">
        <v>1283</v>
      </c>
      <c r="E737" s="6" t="s">
        <v>41</v>
      </c>
      <c r="F737" s="6" t="s">
        <v>42</v>
      </c>
      <c r="G737" s="6" t="s">
        <v>1517</v>
      </c>
      <c r="H737" s="6" t="s">
        <v>1311</v>
      </c>
      <c r="I737" s="6">
        <v>17270</v>
      </c>
      <c r="J737" s="6" t="s">
        <v>45</v>
      </c>
      <c r="K737" s="6" t="s">
        <v>46</v>
      </c>
    </row>
    <row r="738" spans="1:11" x14ac:dyDescent="0.25">
      <c r="A738" s="5" t="s">
        <v>779</v>
      </c>
      <c r="B738" s="5" t="s">
        <v>1891</v>
      </c>
      <c r="C738" s="5" t="s">
        <v>53</v>
      </c>
      <c r="D738" s="5" t="s">
        <v>1283</v>
      </c>
      <c r="E738" s="5" t="s">
        <v>27</v>
      </c>
      <c r="F738" s="5" t="s">
        <v>28</v>
      </c>
      <c r="G738" s="5" t="s">
        <v>1277</v>
      </c>
      <c r="H738" s="5" t="s">
        <v>1266</v>
      </c>
      <c r="I738" s="5">
        <v>9379</v>
      </c>
      <c r="J738" s="5" t="s">
        <v>16</v>
      </c>
      <c r="K738" s="5" t="s">
        <v>17</v>
      </c>
    </row>
    <row r="739" spans="1:11" x14ac:dyDescent="0.25">
      <c r="A739" s="6" t="s">
        <v>780</v>
      </c>
      <c r="B739" s="6" t="s">
        <v>1892</v>
      </c>
      <c r="C739" s="6" t="s">
        <v>1254</v>
      </c>
      <c r="D739" s="6" t="s">
        <v>36</v>
      </c>
      <c r="E739" s="6" t="s">
        <v>37</v>
      </c>
      <c r="F739" s="6" t="s">
        <v>38</v>
      </c>
      <c r="G739" s="6" t="s">
        <v>1303</v>
      </c>
      <c r="H739" s="6" t="s">
        <v>1281</v>
      </c>
      <c r="I739" s="6">
        <v>38999</v>
      </c>
      <c r="J739" s="6" t="s">
        <v>22</v>
      </c>
      <c r="K739" s="6" t="s">
        <v>1286</v>
      </c>
    </row>
    <row r="740" spans="1:11" x14ac:dyDescent="0.25">
      <c r="A740" s="5" t="s">
        <v>781</v>
      </c>
      <c r="B740" s="5" t="s">
        <v>1810</v>
      </c>
      <c r="C740" s="5" t="s">
        <v>1254</v>
      </c>
      <c r="D740" s="5" t="s">
        <v>1296</v>
      </c>
      <c r="E740" s="5" t="s">
        <v>14</v>
      </c>
      <c r="F740" s="5" t="s">
        <v>15</v>
      </c>
      <c r="G740" s="5" t="s">
        <v>1380</v>
      </c>
      <c r="H740" s="5" t="s">
        <v>1257</v>
      </c>
      <c r="I740" s="5">
        <v>9203</v>
      </c>
      <c r="J740" s="5" t="s">
        <v>29</v>
      </c>
      <c r="K740" s="5" t="s">
        <v>1286</v>
      </c>
    </row>
    <row r="741" spans="1:11" x14ac:dyDescent="0.25">
      <c r="A741" s="6" t="s">
        <v>782</v>
      </c>
      <c r="B741" s="6" t="s">
        <v>1661</v>
      </c>
      <c r="C741" s="6" t="s">
        <v>53</v>
      </c>
      <c r="D741" s="6" t="s">
        <v>1255</v>
      </c>
      <c r="E741" s="6" t="s">
        <v>1361</v>
      </c>
      <c r="F741" s="6" t="s">
        <v>42</v>
      </c>
      <c r="G741" s="6" t="s">
        <v>1260</v>
      </c>
      <c r="H741" s="6" t="s">
        <v>1311</v>
      </c>
      <c r="I741" s="6">
        <v>21514</v>
      </c>
      <c r="J741" s="6" t="s">
        <v>45</v>
      </c>
      <c r="K741" s="6" t="s">
        <v>1273</v>
      </c>
    </row>
    <row r="742" spans="1:11" x14ac:dyDescent="0.25">
      <c r="A742" s="5" t="s">
        <v>783</v>
      </c>
      <c r="B742" s="5" t="s">
        <v>1893</v>
      </c>
      <c r="C742" s="5" t="s">
        <v>62</v>
      </c>
      <c r="D742" s="5" t="s">
        <v>1270</v>
      </c>
      <c r="E742" s="5" t="s">
        <v>49</v>
      </c>
      <c r="F742" s="5" t="s">
        <v>50</v>
      </c>
      <c r="G742" s="5" t="s">
        <v>1313</v>
      </c>
      <c r="H742" s="5" t="s">
        <v>1291</v>
      </c>
      <c r="I742" s="5">
        <v>59569</v>
      </c>
      <c r="J742" s="5" t="s">
        <v>29</v>
      </c>
      <c r="K742" s="5" t="s">
        <v>1273</v>
      </c>
    </row>
    <row r="743" spans="1:11" x14ac:dyDescent="0.25">
      <c r="A743" s="6" t="s">
        <v>784</v>
      </c>
      <c r="B743" s="6" t="s">
        <v>1290</v>
      </c>
      <c r="C743" s="6" t="s">
        <v>53</v>
      </c>
      <c r="D743" s="6" t="s">
        <v>36</v>
      </c>
      <c r="E743" s="6" t="s">
        <v>14</v>
      </c>
      <c r="F743" s="6" t="s">
        <v>15</v>
      </c>
      <c r="G743" s="6" t="s">
        <v>1331</v>
      </c>
      <c r="H743" s="6" t="s">
        <v>1347</v>
      </c>
      <c r="I743" s="6">
        <v>9195</v>
      </c>
      <c r="J743" s="6" t="s">
        <v>1267</v>
      </c>
      <c r="K743" s="6" t="s">
        <v>1273</v>
      </c>
    </row>
    <row r="744" spans="1:11" x14ac:dyDescent="0.25">
      <c r="A744" s="5" t="s">
        <v>785</v>
      </c>
      <c r="B744" s="5" t="s">
        <v>1350</v>
      </c>
      <c r="C744" s="5" t="s">
        <v>1288</v>
      </c>
      <c r="D744" s="5" t="s">
        <v>1283</v>
      </c>
      <c r="E744" s="5" t="s">
        <v>27</v>
      </c>
      <c r="F744" s="5" t="s">
        <v>28</v>
      </c>
      <c r="G744" s="5" t="s">
        <v>1297</v>
      </c>
      <c r="H744" s="5" t="s">
        <v>1266</v>
      </c>
      <c r="I744" s="5">
        <v>9079</v>
      </c>
      <c r="J744" s="5" t="s">
        <v>1267</v>
      </c>
      <c r="K744" s="5" t="s">
        <v>1286</v>
      </c>
    </row>
    <row r="745" spans="1:11" x14ac:dyDescent="0.25">
      <c r="A745" s="6" t="s">
        <v>786</v>
      </c>
      <c r="B745" s="6" t="s">
        <v>1894</v>
      </c>
      <c r="C745" s="6" t="s">
        <v>1269</v>
      </c>
      <c r="D745" s="6" t="s">
        <v>1270</v>
      </c>
      <c r="E745" s="6" t="s">
        <v>41</v>
      </c>
      <c r="F745" s="6" t="s">
        <v>42</v>
      </c>
      <c r="G745" s="6" t="s">
        <v>1684</v>
      </c>
      <c r="H745" s="6" t="s">
        <v>1311</v>
      </c>
      <c r="I745" s="6">
        <v>17842</v>
      </c>
      <c r="J745" s="6" t="s">
        <v>1267</v>
      </c>
      <c r="K745" s="6" t="s">
        <v>1286</v>
      </c>
    </row>
    <row r="746" spans="1:11" x14ac:dyDescent="0.25">
      <c r="A746" s="5" t="s">
        <v>787</v>
      </c>
      <c r="B746" s="5" t="s">
        <v>1673</v>
      </c>
      <c r="C746" s="5" t="s">
        <v>1254</v>
      </c>
      <c r="D746" s="5" t="s">
        <v>1296</v>
      </c>
      <c r="E746" s="5" t="s">
        <v>1529</v>
      </c>
      <c r="F746" s="5" t="s">
        <v>67</v>
      </c>
      <c r="G746" s="5" t="s">
        <v>1331</v>
      </c>
      <c r="H746" s="5" t="s">
        <v>1317</v>
      </c>
      <c r="I746" s="5">
        <v>1888</v>
      </c>
      <c r="J746" s="5" t="s">
        <v>1267</v>
      </c>
      <c r="K746" s="5" t="s">
        <v>1262</v>
      </c>
    </row>
    <row r="747" spans="1:11" x14ac:dyDescent="0.25">
      <c r="A747" s="6" t="s">
        <v>788</v>
      </c>
      <c r="B747" s="6" t="s">
        <v>1895</v>
      </c>
      <c r="C747" s="6" t="s">
        <v>53</v>
      </c>
      <c r="D747" s="6" t="s">
        <v>26</v>
      </c>
      <c r="E747" s="6" t="s">
        <v>49</v>
      </c>
      <c r="F747" s="6" t="s">
        <v>50</v>
      </c>
      <c r="G747" s="6" t="s">
        <v>1280</v>
      </c>
      <c r="H747" s="6" t="s">
        <v>1291</v>
      </c>
      <c r="I747" s="6">
        <v>51079</v>
      </c>
      <c r="J747" s="6" t="s">
        <v>16</v>
      </c>
      <c r="K747" s="6" t="s">
        <v>1286</v>
      </c>
    </row>
    <row r="748" spans="1:11" x14ac:dyDescent="0.25">
      <c r="A748" s="5" t="s">
        <v>789</v>
      </c>
      <c r="B748" s="5" t="s">
        <v>1884</v>
      </c>
      <c r="C748" s="5" t="s">
        <v>53</v>
      </c>
      <c r="D748" s="5" t="s">
        <v>1296</v>
      </c>
      <c r="E748" s="5" t="s">
        <v>37</v>
      </c>
      <c r="F748" s="5" t="s">
        <v>38</v>
      </c>
      <c r="G748" s="5" t="s">
        <v>1284</v>
      </c>
      <c r="H748" s="5" t="s">
        <v>1281</v>
      </c>
      <c r="I748" s="5">
        <v>40011</v>
      </c>
      <c r="J748" s="5" t="s">
        <v>45</v>
      </c>
      <c r="K748" s="5" t="s">
        <v>17</v>
      </c>
    </row>
    <row r="749" spans="1:11" x14ac:dyDescent="0.25">
      <c r="A749" s="6" t="s">
        <v>790</v>
      </c>
      <c r="B749" s="6" t="s">
        <v>1896</v>
      </c>
      <c r="C749" s="6" t="s">
        <v>1264</v>
      </c>
      <c r="D749" s="6" t="s">
        <v>1270</v>
      </c>
      <c r="E749" s="6" t="s">
        <v>66</v>
      </c>
      <c r="F749" s="6" t="s">
        <v>67</v>
      </c>
      <c r="G749" s="6" t="s">
        <v>1405</v>
      </c>
      <c r="H749" s="6" t="s">
        <v>1335</v>
      </c>
      <c r="I749" s="6">
        <v>1884</v>
      </c>
      <c r="J749" s="6" t="s">
        <v>16</v>
      </c>
      <c r="K749" s="6" t="s">
        <v>1286</v>
      </c>
    </row>
    <row r="750" spans="1:11" x14ac:dyDescent="0.25">
      <c r="A750" s="5" t="s">
        <v>791</v>
      </c>
      <c r="B750" s="5" t="s">
        <v>1835</v>
      </c>
      <c r="C750" s="5" t="s">
        <v>1264</v>
      </c>
      <c r="D750" s="5" t="s">
        <v>26</v>
      </c>
      <c r="E750" s="5" t="s">
        <v>20</v>
      </c>
      <c r="F750" s="5" t="s">
        <v>21</v>
      </c>
      <c r="G750" s="5" t="s">
        <v>1337</v>
      </c>
      <c r="H750" s="5" t="s">
        <v>1454</v>
      </c>
      <c r="I750" s="5">
        <v>5534</v>
      </c>
      <c r="J750" s="5" t="s">
        <v>16</v>
      </c>
      <c r="K750" s="5" t="s">
        <v>1286</v>
      </c>
    </row>
    <row r="751" spans="1:11" x14ac:dyDescent="0.25">
      <c r="A751" s="6" t="s">
        <v>792</v>
      </c>
      <c r="B751" s="6" t="s">
        <v>1897</v>
      </c>
      <c r="C751" s="6" t="s">
        <v>53</v>
      </c>
      <c r="D751" s="6" t="s">
        <v>1275</v>
      </c>
      <c r="E751" s="6" t="s">
        <v>1583</v>
      </c>
      <c r="F751" s="6" t="s">
        <v>38</v>
      </c>
      <c r="G751" s="6" t="s">
        <v>1277</v>
      </c>
      <c r="H751" s="6" t="s">
        <v>1281</v>
      </c>
      <c r="I751" s="6">
        <v>42820</v>
      </c>
      <c r="J751" s="6" t="s">
        <v>22</v>
      </c>
      <c r="K751" s="6" t="s">
        <v>46</v>
      </c>
    </row>
    <row r="752" spans="1:11" x14ac:dyDescent="0.25">
      <c r="A752" s="5" t="s">
        <v>793</v>
      </c>
      <c r="B752" s="5" t="s">
        <v>1898</v>
      </c>
      <c r="C752" s="5" t="s">
        <v>1288</v>
      </c>
      <c r="D752" s="5" t="s">
        <v>36</v>
      </c>
      <c r="E752" s="5" t="s">
        <v>49</v>
      </c>
      <c r="F752" s="5" t="s">
        <v>50</v>
      </c>
      <c r="G752" s="5" t="s">
        <v>1364</v>
      </c>
      <c r="H752" s="5" t="s">
        <v>1291</v>
      </c>
      <c r="I752" s="5">
        <v>48351</v>
      </c>
      <c r="J752" s="5" t="s">
        <v>22</v>
      </c>
      <c r="K752" s="5" t="s">
        <v>46</v>
      </c>
    </row>
    <row r="753" spans="1:11" x14ac:dyDescent="0.25">
      <c r="A753" s="6" t="s">
        <v>794</v>
      </c>
      <c r="B753" s="6" t="s">
        <v>1662</v>
      </c>
      <c r="C753" s="6" t="s">
        <v>62</v>
      </c>
      <c r="D753" s="6" t="s">
        <v>1255</v>
      </c>
      <c r="E753" s="6" t="s">
        <v>49</v>
      </c>
      <c r="F753" s="6" t="s">
        <v>50</v>
      </c>
      <c r="G753" s="6" t="s">
        <v>1289</v>
      </c>
      <c r="H753" s="6" t="s">
        <v>1359</v>
      </c>
      <c r="I753" s="6">
        <v>46716</v>
      </c>
      <c r="J753" s="6" t="s">
        <v>29</v>
      </c>
      <c r="K753" s="6" t="s">
        <v>1262</v>
      </c>
    </row>
    <row r="754" spans="1:11" x14ac:dyDescent="0.25">
      <c r="A754" s="5" t="s">
        <v>795</v>
      </c>
      <c r="B754" s="5" t="s">
        <v>1899</v>
      </c>
      <c r="C754" s="5" t="s">
        <v>1264</v>
      </c>
      <c r="D754" s="5" t="s">
        <v>1296</v>
      </c>
      <c r="E754" s="5" t="s">
        <v>20</v>
      </c>
      <c r="F754" s="5" t="s">
        <v>21</v>
      </c>
      <c r="G754" s="5" t="s">
        <v>1307</v>
      </c>
      <c r="H754" s="5" t="s">
        <v>1261</v>
      </c>
      <c r="I754" s="5">
        <v>5121</v>
      </c>
      <c r="J754" s="5" t="s">
        <v>1267</v>
      </c>
      <c r="K754" s="5" t="s">
        <v>46</v>
      </c>
    </row>
    <row r="755" spans="1:11" x14ac:dyDescent="0.25">
      <c r="A755" s="6" t="s">
        <v>796</v>
      </c>
      <c r="B755" s="6" t="s">
        <v>1900</v>
      </c>
      <c r="C755" s="6" t="s">
        <v>1254</v>
      </c>
      <c r="D755" s="6" t="s">
        <v>1275</v>
      </c>
      <c r="E755" s="6" t="s">
        <v>49</v>
      </c>
      <c r="F755" s="6" t="s">
        <v>50</v>
      </c>
      <c r="G755" s="6" t="s">
        <v>1364</v>
      </c>
      <c r="H755" s="6" t="s">
        <v>1291</v>
      </c>
      <c r="I755" s="6">
        <v>48533</v>
      </c>
      <c r="J755" s="6" t="s">
        <v>1267</v>
      </c>
      <c r="K755" s="6" t="s">
        <v>1273</v>
      </c>
    </row>
    <row r="756" spans="1:11" x14ac:dyDescent="0.25">
      <c r="A756" s="5" t="s">
        <v>797</v>
      </c>
      <c r="B756" s="5" t="s">
        <v>1901</v>
      </c>
      <c r="C756" s="5" t="s">
        <v>1269</v>
      </c>
      <c r="D756" s="5" t="s">
        <v>1283</v>
      </c>
      <c r="E756" s="5" t="s">
        <v>1330</v>
      </c>
      <c r="F756" s="5" t="s">
        <v>28</v>
      </c>
      <c r="G756" s="5" t="s">
        <v>1331</v>
      </c>
      <c r="H756" s="5" t="s">
        <v>1266</v>
      </c>
      <c r="I756" s="5">
        <v>10998</v>
      </c>
      <c r="J756" s="5" t="s">
        <v>22</v>
      </c>
      <c r="K756" s="5" t="s">
        <v>17</v>
      </c>
    </row>
    <row r="757" spans="1:11" x14ac:dyDescent="0.25">
      <c r="A757" s="6" t="s">
        <v>798</v>
      </c>
      <c r="B757" s="6" t="s">
        <v>1902</v>
      </c>
      <c r="C757" s="6" t="s">
        <v>1259</v>
      </c>
      <c r="D757" s="6" t="s">
        <v>26</v>
      </c>
      <c r="E757" s="6" t="s">
        <v>66</v>
      </c>
      <c r="F757" s="6" t="s">
        <v>67</v>
      </c>
      <c r="G757" s="6" t="s">
        <v>1337</v>
      </c>
      <c r="H757" s="6" t="s">
        <v>1335</v>
      </c>
      <c r="I757" s="6">
        <v>1604</v>
      </c>
      <c r="J757" s="6" t="s">
        <v>22</v>
      </c>
      <c r="K757" s="6" t="s">
        <v>46</v>
      </c>
    </row>
    <row r="758" spans="1:11" x14ac:dyDescent="0.25">
      <c r="A758" s="5" t="s">
        <v>799</v>
      </c>
      <c r="B758" s="5" t="s">
        <v>1763</v>
      </c>
      <c r="C758" s="5" t="s">
        <v>1269</v>
      </c>
      <c r="D758" s="5" t="s">
        <v>1275</v>
      </c>
      <c r="E758" s="5" t="s">
        <v>37</v>
      </c>
      <c r="F758" s="5" t="s">
        <v>38</v>
      </c>
      <c r="G758" s="5" t="s">
        <v>1307</v>
      </c>
      <c r="H758" s="5" t="s">
        <v>1281</v>
      </c>
      <c r="I758" s="5">
        <v>35009</v>
      </c>
      <c r="J758" s="5" t="s">
        <v>22</v>
      </c>
      <c r="K758" s="5" t="s">
        <v>1286</v>
      </c>
    </row>
    <row r="759" spans="1:11" x14ac:dyDescent="0.25">
      <c r="A759" s="6" t="s">
        <v>800</v>
      </c>
      <c r="B759" s="6" t="s">
        <v>1349</v>
      </c>
      <c r="C759" s="6" t="s">
        <v>73</v>
      </c>
      <c r="D759" s="6" t="s">
        <v>36</v>
      </c>
      <c r="E759" s="6" t="s">
        <v>55</v>
      </c>
      <c r="F759" s="6" t="s">
        <v>34</v>
      </c>
      <c r="G759" s="6" t="s">
        <v>1337</v>
      </c>
      <c r="H759" s="6" t="s">
        <v>1278</v>
      </c>
      <c r="I759" s="6">
        <v>21556</v>
      </c>
      <c r="J759" s="6" t="s">
        <v>45</v>
      </c>
      <c r="K759" s="6" t="s">
        <v>1286</v>
      </c>
    </row>
    <row r="760" spans="1:11" x14ac:dyDescent="0.25">
      <c r="A760" s="5" t="s">
        <v>801</v>
      </c>
      <c r="B760" s="5" t="s">
        <v>1373</v>
      </c>
      <c r="C760" s="5" t="s">
        <v>1254</v>
      </c>
      <c r="D760" s="5" t="s">
        <v>1270</v>
      </c>
      <c r="E760" s="5" t="s">
        <v>66</v>
      </c>
      <c r="F760" s="5" t="s">
        <v>67</v>
      </c>
      <c r="G760" s="5" t="s">
        <v>1303</v>
      </c>
      <c r="H760" s="5" t="s">
        <v>1317</v>
      </c>
      <c r="I760" s="5">
        <v>1574</v>
      </c>
      <c r="J760" s="5" t="s">
        <v>16</v>
      </c>
      <c r="K760" s="5" t="s">
        <v>1262</v>
      </c>
    </row>
    <row r="761" spans="1:11" x14ac:dyDescent="0.25">
      <c r="A761" s="6" t="s">
        <v>802</v>
      </c>
      <c r="B761" s="6" t="s">
        <v>1689</v>
      </c>
      <c r="C761" s="6" t="s">
        <v>1254</v>
      </c>
      <c r="D761" s="6" t="s">
        <v>1255</v>
      </c>
      <c r="E761" s="6" t="s">
        <v>1444</v>
      </c>
      <c r="F761" s="6" t="s">
        <v>38</v>
      </c>
      <c r="G761" s="6" t="s">
        <v>1440</v>
      </c>
      <c r="H761" s="6" t="s">
        <v>1342</v>
      </c>
      <c r="I761" s="6">
        <v>38819</v>
      </c>
      <c r="J761" s="6" t="s">
        <v>1267</v>
      </c>
      <c r="K761" s="6" t="s">
        <v>46</v>
      </c>
    </row>
    <row r="762" spans="1:11" x14ac:dyDescent="0.25">
      <c r="A762" s="5" t="s">
        <v>803</v>
      </c>
      <c r="B762" s="5" t="s">
        <v>1316</v>
      </c>
      <c r="C762" s="5" t="s">
        <v>48</v>
      </c>
      <c r="D762" s="5" t="s">
        <v>36</v>
      </c>
      <c r="E762" s="5" t="s">
        <v>37</v>
      </c>
      <c r="F762" s="5" t="s">
        <v>38</v>
      </c>
      <c r="G762" s="5" t="s">
        <v>1315</v>
      </c>
      <c r="H762" s="5" t="s">
        <v>1281</v>
      </c>
      <c r="I762" s="5">
        <v>42714</v>
      </c>
      <c r="J762" s="5" t="s">
        <v>22</v>
      </c>
      <c r="K762" s="5" t="s">
        <v>46</v>
      </c>
    </row>
    <row r="763" spans="1:11" x14ac:dyDescent="0.25">
      <c r="A763" s="6" t="s">
        <v>804</v>
      </c>
      <c r="B763" s="6" t="s">
        <v>1903</v>
      </c>
      <c r="C763" s="6" t="s">
        <v>1288</v>
      </c>
      <c r="D763" s="6" t="s">
        <v>1296</v>
      </c>
      <c r="E763" s="6" t="s">
        <v>27</v>
      </c>
      <c r="F763" s="6" t="s">
        <v>28</v>
      </c>
      <c r="G763" s="6" t="s">
        <v>1364</v>
      </c>
      <c r="H763" s="6" t="s">
        <v>1266</v>
      </c>
      <c r="I763" s="6">
        <v>10872</v>
      </c>
      <c r="J763" s="6" t="s">
        <v>16</v>
      </c>
      <c r="K763" s="6" t="s">
        <v>1262</v>
      </c>
    </row>
    <row r="764" spans="1:11" x14ac:dyDescent="0.25">
      <c r="A764" s="5" t="s">
        <v>805</v>
      </c>
      <c r="B764" s="5" t="s">
        <v>1904</v>
      </c>
      <c r="C764" s="5" t="s">
        <v>1264</v>
      </c>
      <c r="D764" s="5" t="s">
        <v>1270</v>
      </c>
      <c r="E764" s="5" t="s">
        <v>63</v>
      </c>
      <c r="F764" s="5" t="s">
        <v>59</v>
      </c>
      <c r="G764" s="5" t="s">
        <v>1337</v>
      </c>
      <c r="H764" s="5" t="s">
        <v>1403</v>
      </c>
      <c r="I764" s="5">
        <v>3220</v>
      </c>
      <c r="J764" s="5" t="s">
        <v>29</v>
      </c>
      <c r="K764" s="5" t="s">
        <v>1262</v>
      </c>
    </row>
    <row r="765" spans="1:11" x14ac:dyDescent="0.25">
      <c r="A765" s="6" t="s">
        <v>806</v>
      </c>
      <c r="B765" s="6" t="s">
        <v>1886</v>
      </c>
      <c r="C765" s="6" t="s">
        <v>53</v>
      </c>
      <c r="D765" s="6" t="s">
        <v>1296</v>
      </c>
      <c r="E765" s="6" t="s">
        <v>41</v>
      </c>
      <c r="F765" s="6" t="s">
        <v>42</v>
      </c>
      <c r="G765" s="6" t="s">
        <v>1301</v>
      </c>
      <c r="H765" s="6" t="s">
        <v>1311</v>
      </c>
      <c r="I765" s="6">
        <v>19617</v>
      </c>
      <c r="J765" s="6" t="s">
        <v>16</v>
      </c>
      <c r="K765" s="6" t="s">
        <v>1286</v>
      </c>
    </row>
    <row r="766" spans="1:11" x14ac:dyDescent="0.25">
      <c r="A766" s="5" t="s">
        <v>807</v>
      </c>
      <c r="B766" s="5" t="s">
        <v>1905</v>
      </c>
      <c r="C766" s="5" t="s">
        <v>62</v>
      </c>
      <c r="D766" s="5" t="s">
        <v>1283</v>
      </c>
      <c r="E766" s="5" t="s">
        <v>1587</v>
      </c>
      <c r="F766" s="5" t="s">
        <v>21</v>
      </c>
      <c r="G766" s="5" t="s">
        <v>1380</v>
      </c>
      <c r="H766" s="5" t="s">
        <v>1261</v>
      </c>
      <c r="I766" s="5">
        <v>6214</v>
      </c>
      <c r="J766" s="5" t="s">
        <v>16</v>
      </c>
      <c r="K766" s="5"/>
    </row>
    <row r="767" spans="1:11" x14ac:dyDescent="0.25">
      <c r="A767" s="6" t="s">
        <v>808</v>
      </c>
      <c r="B767" s="6" t="s">
        <v>1906</v>
      </c>
      <c r="C767" s="6" t="s">
        <v>53</v>
      </c>
      <c r="D767" s="6" t="s">
        <v>36</v>
      </c>
      <c r="E767" s="6" t="s">
        <v>66</v>
      </c>
      <c r="F767" s="6" t="s">
        <v>67</v>
      </c>
      <c r="G767" s="6" t="s">
        <v>1380</v>
      </c>
      <c r="H767" s="6" t="s">
        <v>1317</v>
      </c>
      <c r="I767" s="6">
        <v>1855</v>
      </c>
      <c r="J767" s="6" t="s">
        <v>16</v>
      </c>
      <c r="K767" s="6" t="s">
        <v>1273</v>
      </c>
    </row>
    <row r="768" spans="1:11" x14ac:dyDescent="0.25">
      <c r="A768" s="5" t="s">
        <v>809</v>
      </c>
      <c r="B768" s="5" t="s">
        <v>1810</v>
      </c>
      <c r="C768" s="5" t="s">
        <v>1288</v>
      </c>
      <c r="D768" s="5" t="s">
        <v>1275</v>
      </c>
      <c r="E768" s="5" t="s">
        <v>20</v>
      </c>
      <c r="F768" s="5" t="s">
        <v>21</v>
      </c>
      <c r="G768" s="5" t="s">
        <v>1256</v>
      </c>
      <c r="H768" s="5" t="s">
        <v>1261</v>
      </c>
      <c r="I768" s="5">
        <v>6614</v>
      </c>
      <c r="J768" s="5" t="s">
        <v>45</v>
      </c>
      <c r="K768" s="5" t="s">
        <v>46</v>
      </c>
    </row>
    <row r="769" spans="1:11" x14ac:dyDescent="0.25">
      <c r="A769" s="6" t="s">
        <v>810</v>
      </c>
      <c r="B769" s="6" t="s">
        <v>1547</v>
      </c>
      <c r="C769" s="6" t="s">
        <v>53</v>
      </c>
      <c r="D769" s="6" t="s">
        <v>1296</v>
      </c>
      <c r="E769" s="6" t="s">
        <v>27</v>
      </c>
      <c r="F769" s="6" t="s">
        <v>28</v>
      </c>
      <c r="G769" s="6" t="s">
        <v>1310</v>
      </c>
      <c r="H769" s="6" t="s">
        <v>1458</v>
      </c>
      <c r="I769" s="6">
        <v>9569</v>
      </c>
      <c r="J769" s="6" t="s">
        <v>22</v>
      </c>
      <c r="K769" s="6" t="s">
        <v>1286</v>
      </c>
    </row>
    <row r="770" spans="1:11" x14ac:dyDescent="0.25">
      <c r="A770" s="5" t="s">
        <v>811</v>
      </c>
      <c r="B770" s="5" t="s">
        <v>1709</v>
      </c>
      <c r="C770" s="5" t="s">
        <v>48</v>
      </c>
      <c r="D770" s="5" t="s">
        <v>1255</v>
      </c>
      <c r="E770" s="5" t="s">
        <v>20</v>
      </c>
      <c r="F770" s="5" t="s">
        <v>21</v>
      </c>
      <c r="G770" s="5" t="s">
        <v>1307</v>
      </c>
      <c r="H770" s="5" t="s">
        <v>1261</v>
      </c>
      <c r="I770" s="5">
        <v>5987</v>
      </c>
      <c r="J770" s="5" t="s">
        <v>45</v>
      </c>
      <c r="K770" s="5" t="s">
        <v>46</v>
      </c>
    </row>
    <row r="771" spans="1:11" x14ac:dyDescent="0.25">
      <c r="A771" s="6" t="s">
        <v>812</v>
      </c>
      <c r="B771" s="6" t="s">
        <v>1671</v>
      </c>
      <c r="C771" s="6" t="s">
        <v>53</v>
      </c>
      <c r="D771" s="6"/>
      <c r="E771" s="6" t="s">
        <v>1383</v>
      </c>
      <c r="F771" s="6" t="s">
        <v>42</v>
      </c>
      <c r="G771" s="6" t="s">
        <v>1256</v>
      </c>
      <c r="H771" s="6" t="s">
        <v>1285</v>
      </c>
      <c r="I771" s="6">
        <v>18681</v>
      </c>
      <c r="J771" s="6" t="s">
        <v>1267</v>
      </c>
      <c r="K771" s="6" t="s">
        <v>17</v>
      </c>
    </row>
    <row r="772" spans="1:11" x14ac:dyDescent="0.25">
      <c r="A772" s="5" t="s">
        <v>813</v>
      </c>
      <c r="B772" s="5" t="s">
        <v>1300</v>
      </c>
      <c r="C772" s="5" t="s">
        <v>48</v>
      </c>
      <c r="D772" s="5" t="s">
        <v>36</v>
      </c>
      <c r="E772" s="5" t="s">
        <v>37</v>
      </c>
      <c r="F772" s="5" t="s">
        <v>38</v>
      </c>
      <c r="G772" s="5" t="s">
        <v>1364</v>
      </c>
      <c r="H772" s="5" t="s">
        <v>1281</v>
      </c>
      <c r="I772" s="5">
        <v>39496</v>
      </c>
      <c r="J772" s="5" t="s">
        <v>22</v>
      </c>
      <c r="K772" s="5" t="s">
        <v>1273</v>
      </c>
    </row>
    <row r="773" spans="1:11" x14ac:dyDescent="0.25">
      <c r="A773" s="6" t="s">
        <v>814</v>
      </c>
      <c r="B773" s="6" t="s">
        <v>1339</v>
      </c>
      <c r="C773" s="6" t="s">
        <v>73</v>
      </c>
      <c r="D773" s="6" t="s">
        <v>1283</v>
      </c>
      <c r="E773" s="6" t="s">
        <v>20</v>
      </c>
      <c r="F773" s="6" t="s">
        <v>21</v>
      </c>
      <c r="G773" s="6" t="s">
        <v>1277</v>
      </c>
      <c r="H773" s="6" t="s">
        <v>1377</v>
      </c>
      <c r="I773" s="6">
        <v>6381</v>
      </c>
      <c r="J773" s="6" t="s">
        <v>29</v>
      </c>
      <c r="K773" s="6" t="s">
        <v>17</v>
      </c>
    </row>
    <row r="774" spans="1:11" x14ac:dyDescent="0.25">
      <c r="A774" s="5" t="s">
        <v>815</v>
      </c>
      <c r="B774" s="5" t="s">
        <v>1907</v>
      </c>
      <c r="C774" s="5" t="s">
        <v>73</v>
      </c>
      <c r="D774" s="5" t="s">
        <v>36</v>
      </c>
      <c r="E774" s="5" t="s">
        <v>41</v>
      </c>
      <c r="F774" s="5" t="s">
        <v>42</v>
      </c>
      <c r="G774" s="5" t="s">
        <v>1301</v>
      </c>
      <c r="H774" s="5" t="s">
        <v>1325</v>
      </c>
      <c r="I774" s="5">
        <v>18854</v>
      </c>
      <c r="J774" s="5" t="s">
        <v>22</v>
      </c>
      <c r="K774" s="5" t="s">
        <v>17</v>
      </c>
    </row>
    <row r="775" spans="1:11" x14ac:dyDescent="0.25">
      <c r="A775" s="6" t="s">
        <v>816</v>
      </c>
      <c r="B775" s="6" t="s">
        <v>1908</v>
      </c>
      <c r="C775" s="6" t="s">
        <v>48</v>
      </c>
      <c r="D775" s="6" t="s">
        <v>1283</v>
      </c>
      <c r="E775" s="6" t="s">
        <v>37</v>
      </c>
      <c r="F775" s="6" t="s">
        <v>38</v>
      </c>
      <c r="G775" s="6" t="s">
        <v>1315</v>
      </c>
      <c r="H775" s="6" t="s">
        <v>1281</v>
      </c>
      <c r="I775" s="6">
        <v>37680</v>
      </c>
      <c r="J775" s="6" t="s">
        <v>16</v>
      </c>
      <c r="K775" s="6" t="s">
        <v>17</v>
      </c>
    </row>
    <row r="776" spans="1:11" x14ac:dyDescent="0.25">
      <c r="A776" s="5" t="s">
        <v>817</v>
      </c>
      <c r="B776" s="5" t="s">
        <v>1858</v>
      </c>
      <c r="C776" s="5" t="s">
        <v>62</v>
      </c>
      <c r="D776" s="5" t="s">
        <v>1270</v>
      </c>
      <c r="E776" s="5" t="s">
        <v>1361</v>
      </c>
      <c r="F776" s="5" t="s">
        <v>42</v>
      </c>
      <c r="G776" s="5" t="s">
        <v>1405</v>
      </c>
      <c r="H776" s="5" t="s">
        <v>1325</v>
      </c>
      <c r="I776" s="5">
        <v>18959</v>
      </c>
      <c r="J776" s="5" t="s">
        <v>29</v>
      </c>
      <c r="K776" s="5" t="s">
        <v>1262</v>
      </c>
    </row>
    <row r="777" spans="1:11" x14ac:dyDescent="0.25">
      <c r="A777" s="6" t="s">
        <v>818</v>
      </c>
      <c r="B777" s="6" t="s">
        <v>1909</v>
      </c>
      <c r="C777" s="6" t="s">
        <v>73</v>
      </c>
      <c r="D777" s="6" t="s">
        <v>1275</v>
      </c>
      <c r="E777" s="6" t="s">
        <v>14</v>
      </c>
      <c r="F777" s="6" t="s">
        <v>15</v>
      </c>
      <c r="G777" s="6" t="s">
        <v>1576</v>
      </c>
      <c r="H777" s="6" t="s">
        <v>1272</v>
      </c>
      <c r="I777" s="6">
        <v>9338</v>
      </c>
      <c r="J777" s="6" t="s">
        <v>1267</v>
      </c>
      <c r="K777" s="6" t="s">
        <v>1262</v>
      </c>
    </row>
    <row r="778" spans="1:11" x14ac:dyDescent="0.25">
      <c r="A778" s="5" t="s">
        <v>819</v>
      </c>
      <c r="B778" s="5" t="s">
        <v>1910</v>
      </c>
      <c r="C778" s="5" t="s">
        <v>1288</v>
      </c>
      <c r="D778" s="5" t="s">
        <v>1255</v>
      </c>
      <c r="E778" s="5" t="s">
        <v>49</v>
      </c>
      <c r="F778" s="5" t="s">
        <v>50</v>
      </c>
      <c r="G778" s="5" t="s">
        <v>1271</v>
      </c>
      <c r="H778" s="5" t="s">
        <v>1304</v>
      </c>
      <c r="I778" s="5">
        <v>48916</v>
      </c>
      <c r="J778" s="5" t="s">
        <v>22</v>
      </c>
      <c r="K778" s="5" t="s">
        <v>46</v>
      </c>
    </row>
    <row r="779" spans="1:11" x14ac:dyDescent="0.25">
      <c r="A779" s="6" t="s">
        <v>820</v>
      </c>
      <c r="B779" s="6" t="s">
        <v>1911</v>
      </c>
      <c r="C779" s="6" t="s">
        <v>73</v>
      </c>
      <c r="D779" s="6" t="s">
        <v>1296</v>
      </c>
      <c r="E779" s="6" t="s">
        <v>63</v>
      </c>
      <c r="F779" s="6" t="s">
        <v>59</v>
      </c>
      <c r="G779" s="6" t="s">
        <v>1303</v>
      </c>
      <c r="H779" s="6" t="s">
        <v>1308</v>
      </c>
      <c r="I779" s="6">
        <v>3163</v>
      </c>
      <c r="J779" s="6" t="s">
        <v>22</v>
      </c>
      <c r="K779" s="6" t="s">
        <v>1262</v>
      </c>
    </row>
    <row r="780" spans="1:11" x14ac:dyDescent="0.25">
      <c r="A780" s="5" t="s">
        <v>821</v>
      </c>
      <c r="B780" s="5" t="s">
        <v>1912</v>
      </c>
      <c r="C780" s="5" t="s">
        <v>1269</v>
      </c>
      <c r="D780" s="5" t="s">
        <v>1296</v>
      </c>
      <c r="E780" s="5" t="s">
        <v>66</v>
      </c>
      <c r="F780" s="5" t="s">
        <v>67</v>
      </c>
      <c r="G780" s="5" t="s">
        <v>1315</v>
      </c>
      <c r="H780" s="5" t="s">
        <v>1317</v>
      </c>
      <c r="I780" s="5">
        <v>1830</v>
      </c>
      <c r="J780" s="5" t="s">
        <v>29</v>
      </c>
      <c r="K780" s="5" t="s">
        <v>17</v>
      </c>
    </row>
    <row r="781" spans="1:11" x14ac:dyDescent="0.25">
      <c r="A781" s="6" t="s">
        <v>1913</v>
      </c>
      <c r="B781" s="6" t="s">
        <v>1914</v>
      </c>
      <c r="C781" s="6" t="s">
        <v>1264</v>
      </c>
      <c r="D781" s="6" t="s">
        <v>26</v>
      </c>
      <c r="E781" s="6" t="s">
        <v>1319</v>
      </c>
      <c r="F781" s="6" t="s">
        <v>59</v>
      </c>
      <c r="G781" s="6" t="s">
        <v>1915</v>
      </c>
      <c r="H781" s="6" t="s">
        <v>1320</v>
      </c>
      <c r="I781" s="6">
        <v>3461</v>
      </c>
      <c r="J781" s="6" t="s">
        <v>1267</v>
      </c>
      <c r="K781" s="6" t="s">
        <v>1286</v>
      </c>
    </row>
    <row r="782" spans="1:11" x14ac:dyDescent="0.25">
      <c r="A782" s="5" t="s">
        <v>822</v>
      </c>
      <c r="B782" s="5" t="s">
        <v>1916</v>
      </c>
      <c r="C782" s="5" t="s">
        <v>1264</v>
      </c>
      <c r="D782" s="5" t="s">
        <v>1255</v>
      </c>
      <c r="E782" s="5" t="s">
        <v>14</v>
      </c>
      <c r="F782" s="5" t="s">
        <v>15</v>
      </c>
      <c r="G782" s="5" t="s">
        <v>1260</v>
      </c>
      <c r="H782" s="5" t="s">
        <v>1257</v>
      </c>
      <c r="I782" s="5">
        <v>7782</v>
      </c>
      <c r="J782" s="5" t="s">
        <v>29</v>
      </c>
      <c r="K782" s="5" t="s">
        <v>1286</v>
      </c>
    </row>
    <row r="783" spans="1:11" x14ac:dyDescent="0.25">
      <c r="A783" s="6" t="s">
        <v>823</v>
      </c>
      <c r="B783" s="6" t="s">
        <v>1886</v>
      </c>
      <c r="C783" s="6" t="s">
        <v>48</v>
      </c>
      <c r="D783" s="6" t="s">
        <v>1270</v>
      </c>
      <c r="E783" s="6" t="s">
        <v>27</v>
      </c>
      <c r="F783" s="6" t="s">
        <v>28</v>
      </c>
      <c r="G783" s="6" t="s">
        <v>1265</v>
      </c>
      <c r="H783" s="6" t="s">
        <v>1266</v>
      </c>
      <c r="I783" s="6">
        <v>9666</v>
      </c>
      <c r="J783" s="6" t="s">
        <v>22</v>
      </c>
      <c r="K783" s="6" t="s">
        <v>17</v>
      </c>
    </row>
    <row r="784" spans="1:11" x14ac:dyDescent="0.25">
      <c r="A784" s="5" t="s">
        <v>824</v>
      </c>
      <c r="B784" s="5" t="s">
        <v>1781</v>
      </c>
      <c r="C784" s="5" t="s">
        <v>1254</v>
      </c>
      <c r="D784" s="5" t="s">
        <v>1283</v>
      </c>
      <c r="E784" s="5" t="s">
        <v>63</v>
      </c>
      <c r="F784" s="5" t="s">
        <v>59</v>
      </c>
      <c r="G784" s="5" t="s">
        <v>1265</v>
      </c>
      <c r="H784" s="5" t="s">
        <v>1308</v>
      </c>
      <c r="I784" s="5">
        <v>3040</v>
      </c>
      <c r="J784" s="5" t="s">
        <v>1267</v>
      </c>
      <c r="K784" s="5" t="s">
        <v>1273</v>
      </c>
    </row>
    <row r="785" spans="1:11" x14ac:dyDescent="0.25">
      <c r="A785" s="6" t="s">
        <v>825</v>
      </c>
      <c r="B785" s="6" t="s">
        <v>1414</v>
      </c>
      <c r="C785" s="6" t="s">
        <v>1264</v>
      </c>
      <c r="D785" s="6" t="s">
        <v>1275</v>
      </c>
      <c r="E785" s="6" t="s">
        <v>63</v>
      </c>
      <c r="F785" s="6" t="s">
        <v>59</v>
      </c>
      <c r="G785" s="6" t="s">
        <v>1328</v>
      </c>
      <c r="H785" s="6" t="s">
        <v>1320</v>
      </c>
      <c r="I785" s="6">
        <v>2918</v>
      </c>
      <c r="J785" s="6" t="s">
        <v>29</v>
      </c>
      <c r="K785" s="6" t="s">
        <v>17</v>
      </c>
    </row>
    <row r="786" spans="1:11" x14ac:dyDescent="0.25">
      <c r="A786" s="5" t="s">
        <v>826</v>
      </c>
      <c r="B786" s="5" t="s">
        <v>1677</v>
      </c>
      <c r="C786" s="5" t="s">
        <v>1288</v>
      </c>
      <c r="D786" s="5" t="s">
        <v>1255</v>
      </c>
      <c r="E786" s="5" t="s">
        <v>1607</v>
      </c>
      <c r="F786" s="5" t="s">
        <v>28</v>
      </c>
      <c r="G786" s="5" t="s">
        <v>1380</v>
      </c>
      <c r="H786" s="5" t="s">
        <v>1266</v>
      </c>
      <c r="I786" s="5">
        <v>9771</v>
      </c>
      <c r="J786" s="5" t="s">
        <v>45</v>
      </c>
      <c r="K786" s="5" t="s">
        <v>1286</v>
      </c>
    </row>
    <row r="787" spans="1:11" x14ac:dyDescent="0.25">
      <c r="A787" s="6" t="s">
        <v>827</v>
      </c>
      <c r="B787" s="6" t="s">
        <v>1917</v>
      </c>
      <c r="C787" s="6" t="s">
        <v>1269</v>
      </c>
      <c r="D787" s="6" t="s">
        <v>1255</v>
      </c>
      <c r="E787" s="6" t="s">
        <v>49</v>
      </c>
      <c r="F787" s="6" t="s">
        <v>50</v>
      </c>
      <c r="G787" s="6" t="s">
        <v>1405</v>
      </c>
      <c r="H787" s="6" t="s">
        <v>1291</v>
      </c>
      <c r="I787" s="6">
        <v>58067</v>
      </c>
      <c r="J787" s="6" t="s">
        <v>1267</v>
      </c>
      <c r="K787" s="6" t="s">
        <v>1273</v>
      </c>
    </row>
    <row r="788" spans="1:11" x14ac:dyDescent="0.25">
      <c r="A788" s="5" t="s">
        <v>828</v>
      </c>
      <c r="B788" s="5" t="s">
        <v>1545</v>
      </c>
      <c r="C788" s="5" t="s">
        <v>1254</v>
      </c>
      <c r="D788" s="5" t="s">
        <v>1270</v>
      </c>
      <c r="E788" s="5" t="s">
        <v>37</v>
      </c>
      <c r="F788" s="5" t="s">
        <v>38</v>
      </c>
      <c r="G788" s="5" t="s">
        <v>1277</v>
      </c>
      <c r="H788" s="5" t="s">
        <v>1281</v>
      </c>
      <c r="I788" s="5">
        <v>38455</v>
      </c>
      <c r="J788" s="5" t="s">
        <v>16</v>
      </c>
      <c r="K788" s="5" t="s">
        <v>1273</v>
      </c>
    </row>
    <row r="789" spans="1:11" x14ac:dyDescent="0.25">
      <c r="A789" s="6" t="s">
        <v>829</v>
      </c>
      <c r="B789" s="6" t="s">
        <v>1754</v>
      </c>
      <c r="C789" s="6" t="s">
        <v>62</v>
      </c>
      <c r="D789" s="6" t="s">
        <v>36</v>
      </c>
      <c r="E789" s="6" t="s">
        <v>37</v>
      </c>
      <c r="F789" s="6" t="s">
        <v>38</v>
      </c>
      <c r="G789" s="6" t="s">
        <v>1294</v>
      </c>
      <c r="H789" s="6" t="s">
        <v>1342</v>
      </c>
      <c r="I789" s="6">
        <v>33261</v>
      </c>
      <c r="J789" s="6" t="s">
        <v>45</v>
      </c>
      <c r="K789" s="6" t="s">
        <v>1286</v>
      </c>
    </row>
    <row r="790" spans="1:11" x14ac:dyDescent="0.25">
      <c r="A790" s="5" t="s">
        <v>830</v>
      </c>
      <c r="B790" s="5" t="s">
        <v>1918</v>
      </c>
      <c r="C790" s="5" t="s">
        <v>1288</v>
      </c>
      <c r="D790" s="5" t="s">
        <v>1296</v>
      </c>
      <c r="E790" s="5" t="s">
        <v>41</v>
      </c>
      <c r="F790" s="5" t="s">
        <v>42</v>
      </c>
      <c r="G790" s="5" t="s">
        <v>1331</v>
      </c>
      <c r="H790" s="5" t="s">
        <v>1325</v>
      </c>
      <c r="I790" s="5">
        <v>18750</v>
      </c>
      <c r="J790" s="5" t="s">
        <v>16</v>
      </c>
      <c r="K790" s="5" t="s">
        <v>17</v>
      </c>
    </row>
    <row r="791" spans="1:11" x14ac:dyDescent="0.25">
      <c r="A791" s="6" t="s">
        <v>831</v>
      </c>
      <c r="B791" s="6" t="s">
        <v>1919</v>
      </c>
      <c r="C791" s="6" t="s">
        <v>62</v>
      </c>
      <c r="D791" s="6" t="s">
        <v>26</v>
      </c>
      <c r="E791" s="6" t="s">
        <v>1489</v>
      </c>
      <c r="F791" s="6" t="s">
        <v>67</v>
      </c>
      <c r="G791" s="6" t="s">
        <v>1405</v>
      </c>
      <c r="H791" s="6" t="s">
        <v>1317</v>
      </c>
      <c r="I791" s="6">
        <v>1833</v>
      </c>
      <c r="J791" s="6" t="s">
        <v>1267</v>
      </c>
      <c r="K791" s="6" t="s">
        <v>1273</v>
      </c>
    </row>
    <row r="792" spans="1:11" x14ac:dyDescent="0.25">
      <c r="A792" s="5" t="s">
        <v>832</v>
      </c>
      <c r="B792" s="5" t="s">
        <v>1423</v>
      </c>
      <c r="C792" s="5" t="s">
        <v>1259</v>
      </c>
      <c r="D792" s="5" t="s">
        <v>36</v>
      </c>
      <c r="E792" s="5" t="s">
        <v>49</v>
      </c>
      <c r="F792" s="5" t="s">
        <v>50</v>
      </c>
      <c r="G792" s="5" t="s">
        <v>1337</v>
      </c>
      <c r="H792" s="5" t="s">
        <v>1304</v>
      </c>
      <c r="I792" s="5">
        <v>52997</v>
      </c>
      <c r="J792" s="5" t="s">
        <v>29</v>
      </c>
      <c r="K792" s="5" t="s">
        <v>1286</v>
      </c>
    </row>
    <row r="793" spans="1:11" x14ac:dyDescent="0.25">
      <c r="A793" s="6" t="s">
        <v>833</v>
      </c>
      <c r="B793" s="6" t="s">
        <v>1920</v>
      </c>
      <c r="C793" s="6" t="s">
        <v>73</v>
      </c>
      <c r="D793" s="6" t="s">
        <v>1296</v>
      </c>
      <c r="E793" s="6" t="s">
        <v>55</v>
      </c>
      <c r="F793" s="6" t="s">
        <v>34</v>
      </c>
      <c r="G793" s="6" t="s">
        <v>1541</v>
      </c>
      <c r="H793" s="6" t="s">
        <v>1299</v>
      </c>
      <c r="I793" s="6">
        <v>26495</v>
      </c>
      <c r="J793" s="6" t="s">
        <v>1267</v>
      </c>
      <c r="K793" s="6" t="s">
        <v>17</v>
      </c>
    </row>
    <row r="794" spans="1:11" x14ac:dyDescent="0.25">
      <c r="A794" s="5" t="s">
        <v>834</v>
      </c>
      <c r="B794" s="5" t="s">
        <v>1727</v>
      </c>
      <c r="C794" s="5" t="s">
        <v>53</v>
      </c>
      <c r="D794" s="5" t="s">
        <v>1255</v>
      </c>
      <c r="E794" s="5" t="s">
        <v>27</v>
      </c>
      <c r="F794" s="5" t="s">
        <v>28</v>
      </c>
      <c r="G794" s="5" t="s">
        <v>1331</v>
      </c>
      <c r="H794" s="5" t="s">
        <v>1266</v>
      </c>
      <c r="I794" s="5">
        <v>10450</v>
      </c>
      <c r="J794" s="5" t="s">
        <v>1267</v>
      </c>
      <c r="K794" s="5" t="s">
        <v>46</v>
      </c>
    </row>
    <row r="795" spans="1:11" x14ac:dyDescent="0.25">
      <c r="A795" s="6" t="s">
        <v>835</v>
      </c>
      <c r="B795" s="6" t="s">
        <v>1578</v>
      </c>
      <c r="C795" s="6" t="s">
        <v>1264</v>
      </c>
      <c r="D795" s="6" t="s">
        <v>1296</v>
      </c>
      <c r="E795" s="6" t="s">
        <v>63</v>
      </c>
      <c r="F795" s="6" t="s">
        <v>59</v>
      </c>
      <c r="G795" s="6" t="s">
        <v>1280</v>
      </c>
      <c r="H795" s="6" t="s">
        <v>1308</v>
      </c>
      <c r="I795" s="6">
        <v>3256</v>
      </c>
      <c r="J795" s="6" t="s">
        <v>29</v>
      </c>
      <c r="K795" s="6" t="s">
        <v>1262</v>
      </c>
    </row>
    <row r="796" spans="1:11" x14ac:dyDescent="0.25">
      <c r="A796" s="5" t="s">
        <v>836</v>
      </c>
      <c r="B796" s="5" t="s">
        <v>1689</v>
      </c>
      <c r="C796" s="5" t="s">
        <v>53</v>
      </c>
      <c r="D796" s="5" t="s">
        <v>26</v>
      </c>
      <c r="E796" s="5" t="s">
        <v>1389</v>
      </c>
      <c r="F796" s="5" t="s">
        <v>34</v>
      </c>
      <c r="G796" s="5" t="s">
        <v>1364</v>
      </c>
      <c r="H796" s="5" t="s">
        <v>1278</v>
      </c>
      <c r="I796" s="5">
        <v>25932</v>
      </c>
      <c r="J796" s="5" t="s">
        <v>16</v>
      </c>
      <c r="K796" s="5" t="s">
        <v>46</v>
      </c>
    </row>
    <row r="797" spans="1:11" x14ac:dyDescent="0.25">
      <c r="A797" s="6" t="s">
        <v>837</v>
      </c>
      <c r="B797" s="6" t="s">
        <v>1835</v>
      </c>
      <c r="C797" s="6" t="s">
        <v>53</v>
      </c>
      <c r="D797" s="6" t="s">
        <v>1270</v>
      </c>
      <c r="E797" s="6" t="s">
        <v>14</v>
      </c>
      <c r="F797" s="6" t="s">
        <v>15</v>
      </c>
      <c r="G797" s="6" t="s">
        <v>1364</v>
      </c>
      <c r="H797" s="6" t="s">
        <v>1272</v>
      </c>
      <c r="I797" s="6">
        <v>9245</v>
      </c>
      <c r="J797" s="6" t="s">
        <v>16</v>
      </c>
      <c r="K797" s="6" t="s">
        <v>17</v>
      </c>
    </row>
    <row r="798" spans="1:11" x14ac:dyDescent="0.25">
      <c r="A798" s="5" t="s">
        <v>838</v>
      </c>
      <c r="B798" s="5" t="s">
        <v>1321</v>
      </c>
      <c r="C798" s="5" t="s">
        <v>1254</v>
      </c>
      <c r="D798" s="5" t="s">
        <v>26</v>
      </c>
      <c r="E798" s="5" t="s">
        <v>49</v>
      </c>
      <c r="F798" s="5" t="s">
        <v>50</v>
      </c>
      <c r="G798" s="5" t="s">
        <v>1271</v>
      </c>
      <c r="H798" s="5" t="s">
        <v>1291</v>
      </c>
      <c r="I798" s="5">
        <v>48734</v>
      </c>
      <c r="J798" s="5" t="s">
        <v>45</v>
      </c>
      <c r="K798" s="5" t="s">
        <v>1273</v>
      </c>
    </row>
    <row r="799" spans="1:11" x14ac:dyDescent="0.25">
      <c r="A799" s="6" t="s">
        <v>839</v>
      </c>
      <c r="B799" s="6" t="s">
        <v>1921</v>
      </c>
      <c r="C799" s="6" t="s">
        <v>73</v>
      </c>
      <c r="D799" s="6" t="s">
        <v>1275</v>
      </c>
      <c r="E799" s="6" t="s">
        <v>55</v>
      </c>
      <c r="F799" s="6" t="s">
        <v>34</v>
      </c>
      <c r="G799" s="6" t="s">
        <v>1297</v>
      </c>
      <c r="H799" s="6" t="s">
        <v>1395</v>
      </c>
      <c r="I799" s="6">
        <v>23069</v>
      </c>
      <c r="J799" s="6" t="s">
        <v>29</v>
      </c>
      <c r="K799" s="6" t="s">
        <v>46</v>
      </c>
    </row>
    <row r="800" spans="1:11" x14ac:dyDescent="0.25">
      <c r="A800" s="5" t="s">
        <v>840</v>
      </c>
      <c r="B800" s="5" t="s">
        <v>1922</v>
      </c>
      <c r="C800" s="5" t="s">
        <v>53</v>
      </c>
      <c r="D800" s="5" t="s">
        <v>1275</v>
      </c>
      <c r="E800" s="5" t="s">
        <v>37</v>
      </c>
      <c r="F800" s="5" t="s">
        <v>38</v>
      </c>
      <c r="G800" s="5" t="s">
        <v>1315</v>
      </c>
      <c r="H800" s="5" t="s">
        <v>1281</v>
      </c>
      <c r="I800" s="5">
        <v>38736</v>
      </c>
      <c r="J800" s="5" t="s">
        <v>16</v>
      </c>
      <c r="K800" s="5" t="s">
        <v>1286</v>
      </c>
    </row>
    <row r="801" spans="1:11" x14ac:dyDescent="0.25">
      <c r="A801" s="6" t="s">
        <v>841</v>
      </c>
      <c r="B801" s="6" t="s">
        <v>1923</v>
      </c>
      <c r="C801" s="6" t="s">
        <v>48</v>
      </c>
      <c r="D801" s="6" t="s">
        <v>26</v>
      </c>
      <c r="E801" s="6" t="s">
        <v>1636</v>
      </c>
      <c r="F801" s="6" t="s">
        <v>50</v>
      </c>
      <c r="G801" s="6" t="s">
        <v>1499</v>
      </c>
      <c r="H801" s="6" t="s">
        <v>1359</v>
      </c>
      <c r="I801" s="6">
        <v>58957</v>
      </c>
      <c r="J801" s="6" t="s">
        <v>29</v>
      </c>
      <c r="K801" s="6" t="s">
        <v>1262</v>
      </c>
    </row>
    <row r="802" spans="1:11" x14ac:dyDescent="0.25">
      <c r="A802" s="5" t="s">
        <v>842</v>
      </c>
      <c r="B802" s="5" t="s">
        <v>1838</v>
      </c>
      <c r="C802" s="5" t="s">
        <v>62</v>
      </c>
      <c r="D802" s="5" t="s">
        <v>1283</v>
      </c>
      <c r="E802" s="5" t="s">
        <v>37</v>
      </c>
      <c r="F802" s="5" t="s">
        <v>38</v>
      </c>
      <c r="G802" s="5" t="s">
        <v>1277</v>
      </c>
      <c r="H802" s="5" t="s">
        <v>1281</v>
      </c>
      <c r="I802" s="5">
        <v>41084</v>
      </c>
      <c r="J802" s="5" t="s">
        <v>45</v>
      </c>
      <c r="K802" s="5" t="s">
        <v>46</v>
      </c>
    </row>
    <row r="803" spans="1:11" x14ac:dyDescent="0.25">
      <c r="A803" s="6" t="s">
        <v>843</v>
      </c>
      <c r="B803" s="6" t="s">
        <v>1924</v>
      </c>
      <c r="C803" s="6" t="s">
        <v>62</v>
      </c>
      <c r="D803" s="6" t="s">
        <v>1255</v>
      </c>
      <c r="E803" s="6" t="s">
        <v>66</v>
      </c>
      <c r="F803" s="6" t="s">
        <v>67</v>
      </c>
      <c r="G803" s="6" t="s">
        <v>1280</v>
      </c>
      <c r="H803" s="6" t="s">
        <v>1317</v>
      </c>
      <c r="I803" s="6">
        <v>1849</v>
      </c>
      <c r="J803" s="6" t="s">
        <v>16</v>
      </c>
      <c r="K803" s="6" t="s">
        <v>1286</v>
      </c>
    </row>
    <row r="804" spans="1:11" x14ac:dyDescent="0.25">
      <c r="A804" s="5" t="s">
        <v>844</v>
      </c>
      <c r="B804" s="5" t="s">
        <v>1925</v>
      </c>
      <c r="C804" s="5" t="s">
        <v>1264</v>
      </c>
      <c r="D804" s="5" t="s">
        <v>1255</v>
      </c>
      <c r="E804" s="5" t="s">
        <v>20</v>
      </c>
      <c r="F804" s="5" t="s">
        <v>21</v>
      </c>
      <c r="G804" s="5" t="s">
        <v>1256</v>
      </c>
      <c r="H804" s="5" t="s">
        <v>1261</v>
      </c>
      <c r="I804" s="5">
        <v>5462</v>
      </c>
      <c r="J804" s="5" t="s">
        <v>29</v>
      </c>
      <c r="K804" s="5" t="s">
        <v>1262</v>
      </c>
    </row>
    <row r="805" spans="1:11" x14ac:dyDescent="0.25">
      <c r="A805" s="6" t="s">
        <v>845</v>
      </c>
      <c r="B805" s="6" t="s">
        <v>1926</v>
      </c>
      <c r="C805" s="6" t="s">
        <v>73</v>
      </c>
      <c r="D805" s="6" t="s">
        <v>36</v>
      </c>
      <c r="E805" s="6" t="s">
        <v>14</v>
      </c>
      <c r="F805" s="6" t="s">
        <v>15</v>
      </c>
      <c r="G805" s="6" t="s">
        <v>1303</v>
      </c>
      <c r="H805" s="6" t="s">
        <v>1272</v>
      </c>
      <c r="I805" s="6">
        <v>8700</v>
      </c>
      <c r="J805" s="6" t="s">
        <v>29</v>
      </c>
      <c r="K805" s="6" t="s">
        <v>46</v>
      </c>
    </row>
    <row r="806" spans="1:11" x14ac:dyDescent="0.25">
      <c r="A806" s="5" t="s">
        <v>846</v>
      </c>
      <c r="B806" s="5" t="s">
        <v>1544</v>
      </c>
      <c r="C806" s="5" t="s">
        <v>48</v>
      </c>
      <c r="D806" s="5"/>
      <c r="E806" s="5" t="s">
        <v>1529</v>
      </c>
      <c r="F806" s="5" t="s">
        <v>67</v>
      </c>
      <c r="G806" s="5" t="s">
        <v>1364</v>
      </c>
      <c r="H806" s="5" t="s">
        <v>1482</v>
      </c>
      <c r="I806" s="5">
        <v>1958</v>
      </c>
      <c r="J806" s="5" t="s">
        <v>1267</v>
      </c>
      <c r="K806" s="5" t="s">
        <v>1273</v>
      </c>
    </row>
    <row r="807" spans="1:11" x14ac:dyDescent="0.25">
      <c r="A807" s="6" t="s">
        <v>847</v>
      </c>
      <c r="B807" s="6" t="s">
        <v>1927</v>
      </c>
      <c r="C807" s="6" t="s">
        <v>1288</v>
      </c>
      <c r="D807" s="6" t="s">
        <v>26</v>
      </c>
      <c r="E807" s="6" t="s">
        <v>41</v>
      </c>
      <c r="F807" s="6" t="s">
        <v>42</v>
      </c>
      <c r="G807" s="6" t="s">
        <v>1284</v>
      </c>
      <c r="H807" s="6" t="s">
        <v>1325</v>
      </c>
      <c r="I807" s="6">
        <v>18232</v>
      </c>
      <c r="J807" s="6" t="s">
        <v>22</v>
      </c>
      <c r="K807" s="6" t="s">
        <v>1286</v>
      </c>
    </row>
    <row r="808" spans="1:11" x14ac:dyDescent="0.25">
      <c r="A808" s="5" t="s">
        <v>848</v>
      </c>
      <c r="B808" s="5" t="s">
        <v>1928</v>
      </c>
      <c r="C808" s="5" t="s">
        <v>48</v>
      </c>
      <c r="D808" s="5" t="s">
        <v>1275</v>
      </c>
      <c r="E808" s="5" t="s">
        <v>41</v>
      </c>
      <c r="F808" s="5" t="s">
        <v>42</v>
      </c>
      <c r="G808" s="5" t="s">
        <v>1301</v>
      </c>
      <c r="H808" s="5" t="s">
        <v>1325</v>
      </c>
      <c r="I808" s="5">
        <v>17004</v>
      </c>
      <c r="J808" s="5" t="s">
        <v>1267</v>
      </c>
      <c r="K808" s="5" t="s">
        <v>17</v>
      </c>
    </row>
    <row r="809" spans="1:11" x14ac:dyDescent="0.25">
      <c r="A809" s="6" t="s">
        <v>849</v>
      </c>
      <c r="B809" s="6" t="s">
        <v>1929</v>
      </c>
      <c r="C809" s="6" t="s">
        <v>53</v>
      </c>
      <c r="D809" s="6" t="s">
        <v>1283</v>
      </c>
      <c r="E809" s="6" t="s">
        <v>55</v>
      </c>
      <c r="F809" s="6" t="s">
        <v>34</v>
      </c>
      <c r="G809" s="6" t="s">
        <v>1517</v>
      </c>
      <c r="H809" s="6" t="s">
        <v>1299</v>
      </c>
      <c r="I809" s="6">
        <v>25982</v>
      </c>
      <c r="J809" s="6" t="s">
        <v>1267</v>
      </c>
      <c r="K809" s="6" t="s">
        <v>1262</v>
      </c>
    </row>
    <row r="810" spans="1:11" x14ac:dyDescent="0.25">
      <c r="A810" s="5" t="s">
        <v>850</v>
      </c>
      <c r="B810" s="5" t="s">
        <v>1930</v>
      </c>
      <c r="C810" s="5" t="s">
        <v>1264</v>
      </c>
      <c r="D810" s="5" t="s">
        <v>1255</v>
      </c>
      <c r="E810" s="5" t="s">
        <v>37</v>
      </c>
      <c r="F810" s="5" t="s">
        <v>38</v>
      </c>
      <c r="G810" s="5" t="s">
        <v>1315</v>
      </c>
      <c r="H810" s="5" t="s">
        <v>1281</v>
      </c>
      <c r="I810" s="5">
        <v>37053</v>
      </c>
      <c r="J810" s="5" t="s">
        <v>29</v>
      </c>
      <c r="K810" s="5" t="s">
        <v>17</v>
      </c>
    </row>
    <row r="811" spans="1:11" x14ac:dyDescent="0.25">
      <c r="A811" s="6" t="s">
        <v>851</v>
      </c>
      <c r="B811" s="6" t="s">
        <v>1931</v>
      </c>
      <c r="C811" s="6" t="s">
        <v>1254</v>
      </c>
      <c r="D811" s="6" t="s">
        <v>1275</v>
      </c>
      <c r="E811" s="6" t="s">
        <v>1489</v>
      </c>
      <c r="F811" s="6" t="s">
        <v>67</v>
      </c>
      <c r="G811" s="6" t="s">
        <v>1307</v>
      </c>
      <c r="H811" s="6" t="s">
        <v>1317</v>
      </c>
      <c r="I811" s="6">
        <v>1590</v>
      </c>
      <c r="J811" s="6" t="s">
        <v>1267</v>
      </c>
      <c r="K811" s="6"/>
    </row>
    <row r="812" spans="1:11" x14ac:dyDescent="0.25">
      <c r="A812" s="5" t="s">
        <v>852</v>
      </c>
      <c r="B812" s="5" t="s">
        <v>1525</v>
      </c>
      <c r="C812" s="5" t="s">
        <v>1288</v>
      </c>
      <c r="D812" s="5" t="s">
        <v>1283</v>
      </c>
      <c r="E812" s="5" t="s">
        <v>20</v>
      </c>
      <c r="F812" s="5" t="s">
        <v>21</v>
      </c>
      <c r="G812" s="5" t="s">
        <v>1256</v>
      </c>
      <c r="H812" s="5" t="s">
        <v>1261</v>
      </c>
      <c r="I812" s="5">
        <v>5556</v>
      </c>
      <c r="J812" s="5" t="s">
        <v>45</v>
      </c>
      <c r="K812" s="5" t="s">
        <v>17</v>
      </c>
    </row>
    <row r="813" spans="1:11" x14ac:dyDescent="0.25">
      <c r="A813" s="6" t="s">
        <v>853</v>
      </c>
      <c r="B813" s="6" t="s">
        <v>1932</v>
      </c>
      <c r="C813" s="6" t="s">
        <v>1254</v>
      </c>
      <c r="D813" s="6" t="s">
        <v>26</v>
      </c>
      <c r="E813" s="6" t="s">
        <v>37</v>
      </c>
      <c r="F813" s="6" t="s">
        <v>38</v>
      </c>
      <c r="G813" s="6" t="s">
        <v>1364</v>
      </c>
      <c r="H813" s="6" t="s">
        <v>1342</v>
      </c>
      <c r="I813" s="6">
        <v>33952</v>
      </c>
      <c r="J813" s="6" t="s">
        <v>29</v>
      </c>
      <c r="K813" s="6" t="s">
        <v>17</v>
      </c>
    </row>
    <row r="814" spans="1:11" x14ac:dyDescent="0.25">
      <c r="A814" s="5" t="s">
        <v>854</v>
      </c>
      <c r="B814" s="5" t="s">
        <v>1933</v>
      </c>
      <c r="C814" s="5" t="s">
        <v>1254</v>
      </c>
      <c r="D814" s="5" t="s">
        <v>1255</v>
      </c>
      <c r="E814" s="5" t="s">
        <v>66</v>
      </c>
      <c r="F814" s="5" t="s">
        <v>67</v>
      </c>
      <c r="G814" s="5" t="s">
        <v>1284</v>
      </c>
      <c r="H814" s="5" t="s">
        <v>1317</v>
      </c>
      <c r="I814" s="5">
        <v>1581</v>
      </c>
      <c r="J814" s="5" t="s">
        <v>16</v>
      </c>
      <c r="K814" s="5" t="s">
        <v>1286</v>
      </c>
    </row>
    <row r="815" spans="1:11" x14ac:dyDescent="0.25">
      <c r="A815" s="6" t="s">
        <v>855</v>
      </c>
      <c r="B815" s="6" t="s">
        <v>1934</v>
      </c>
      <c r="C815" s="6" t="s">
        <v>53</v>
      </c>
      <c r="D815" s="6" t="s">
        <v>1270</v>
      </c>
      <c r="E815" s="6" t="s">
        <v>66</v>
      </c>
      <c r="F815" s="6" t="s">
        <v>67</v>
      </c>
      <c r="G815" s="6" t="s">
        <v>1364</v>
      </c>
      <c r="H815" s="6" t="s">
        <v>1317</v>
      </c>
      <c r="I815" s="6">
        <v>1957</v>
      </c>
      <c r="J815" s="6" t="s">
        <v>45</v>
      </c>
      <c r="K815" s="6" t="s">
        <v>1273</v>
      </c>
    </row>
    <row r="816" spans="1:11" x14ac:dyDescent="0.25">
      <c r="A816" s="5" t="s">
        <v>856</v>
      </c>
      <c r="B816" s="5" t="s">
        <v>1935</v>
      </c>
      <c r="C816" s="5" t="s">
        <v>73</v>
      </c>
      <c r="D816" s="5" t="s">
        <v>1270</v>
      </c>
      <c r="E816" s="5" t="s">
        <v>1529</v>
      </c>
      <c r="F816" s="5" t="s">
        <v>67</v>
      </c>
      <c r="G816" s="5" t="s">
        <v>1315</v>
      </c>
      <c r="H816" s="5" t="s">
        <v>1317</v>
      </c>
      <c r="I816" s="5">
        <v>1745</v>
      </c>
      <c r="J816" s="5" t="s">
        <v>1267</v>
      </c>
      <c r="K816" s="5" t="s">
        <v>17</v>
      </c>
    </row>
    <row r="817" spans="1:11" x14ac:dyDescent="0.25">
      <c r="A817" s="6" t="s">
        <v>857</v>
      </c>
      <c r="B817" s="6" t="s">
        <v>1936</v>
      </c>
      <c r="C817" s="6" t="s">
        <v>62</v>
      </c>
      <c r="D817" s="6" t="s">
        <v>1283</v>
      </c>
      <c r="E817" s="6" t="s">
        <v>20</v>
      </c>
      <c r="F817" s="6" t="s">
        <v>21</v>
      </c>
      <c r="G817" s="6" t="s">
        <v>1440</v>
      </c>
      <c r="H817" s="6" t="s">
        <v>1377</v>
      </c>
      <c r="I817" s="6">
        <v>5363</v>
      </c>
      <c r="J817" s="6" t="s">
        <v>45</v>
      </c>
      <c r="K817" s="6" t="s">
        <v>1262</v>
      </c>
    </row>
    <row r="818" spans="1:11" x14ac:dyDescent="0.25">
      <c r="A818" s="5" t="s">
        <v>858</v>
      </c>
      <c r="B818" s="5" t="s">
        <v>1937</v>
      </c>
      <c r="C818" s="5" t="s">
        <v>1288</v>
      </c>
      <c r="D818" s="5" t="s">
        <v>1283</v>
      </c>
      <c r="E818" s="5" t="s">
        <v>66</v>
      </c>
      <c r="F818" s="5" t="s">
        <v>67</v>
      </c>
      <c r="G818" s="5" t="s">
        <v>1256</v>
      </c>
      <c r="H818" s="5" t="s">
        <v>1317</v>
      </c>
      <c r="I818" s="5">
        <v>1662</v>
      </c>
      <c r="J818" s="5" t="s">
        <v>29</v>
      </c>
      <c r="K818" s="5" t="s">
        <v>1262</v>
      </c>
    </row>
    <row r="819" spans="1:11" x14ac:dyDescent="0.25">
      <c r="A819" s="6" t="s">
        <v>859</v>
      </c>
      <c r="B819" s="6" t="s">
        <v>1938</v>
      </c>
      <c r="C819" s="6" t="s">
        <v>73</v>
      </c>
      <c r="D819" s="6" t="s">
        <v>1255</v>
      </c>
      <c r="E819" s="6" t="s">
        <v>37</v>
      </c>
      <c r="F819" s="6" t="s">
        <v>38</v>
      </c>
      <c r="G819" s="6" t="s">
        <v>1405</v>
      </c>
      <c r="H819" s="6" t="s">
        <v>1281</v>
      </c>
      <c r="I819" s="6">
        <v>39414</v>
      </c>
      <c r="J819" s="6" t="s">
        <v>22</v>
      </c>
      <c r="K819" s="6" t="s">
        <v>17</v>
      </c>
    </row>
    <row r="820" spans="1:11" x14ac:dyDescent="0.25">
      <c r="A820" s="5" t="s">
        <v>860</v>
      </c>
      <c r="B820" s="5" t="s">
        <v>1939</v>
      </c>
      <c r="C820" s="5" t="s">
        <v>1288</v>
      </c>
      <c r="D820" s="5" t="s">
        <v>1283</v>
      </c>
      <c r="E820" s="5" t="s">
        <v>41</v>
      </c>
      <c r="F820" s="5" t="s">
        <v>42</v>
      </c>
      <c r="G820" s="5" t="s">
        <v>1301</v>
      </c>
      <c r="H820" s="5" t="s">
        <v>1285</v>
      </c>
      <c r="I820" s="5">
        <v>19919</v>
      </c>
      <c r="J820" s="5" t="s">
        <v>45</v>
      </c>
      <c r="K820" s="5" t="s">
        <v>1262</v>
      </c>
    </row>
    <row r="821" spans="1:11" x14ac:dyDescent="0.25">
      <c r="A821" s="6" t="s">
        <v>861</v>
      </c>
      <c r="B821" s="6" t="s">
        <v>1940</v>
      </c>
      <c r="C821" s="6" t="s">
        <v>1264</v>
      </c>
      <c r="D821" s="6" t="s">
        <v>26</v>
      </c>
      <c r="E821" s="6" t="s">
        <v>1529</v>
      </c>
      <c r="F821" s="6" t="s">
        <v>67</v>
      </c>
      <c r="G821" s="6" t="s">
        <v>1284</v>
      </c>
      <c r="H821" s="6" t="s">
        <v>1335</v>
      </c>
      <c r="I821" s="6">
        <v>1787</v>
      </c>
      <c r="J821" s="6" t="s">
        <v>29</v>
      </c>
      <c r="K821" s="6" t="s">
        <v>1273</v>
      </c>
    </row>
    <row r="822" spans="1:11" x14ac:dyDescent="0.25">
      <c r="A822" s="5" t="s">
        <v>862</v>
      </c>
      <c r="B822" s="5" t="s">
        <v>1817</v>
      </c>
      <c r="C822" s="5" t="s">
        <v>1264</v>
      </c>
      <c r="D822" s="5" t="s">
        <v>1270</v>
      </c>
      <c r="E822" s="5" t="s">
        <v>63</v>
      </c>
      <c r="F822" s="5" t="s">
        <v>59</v>
      </c>
      <c r="G822" s="5" t="s">
        <v>1380</v>
      </c>
      <c r="H822" s="5" t="s">
        <v>1308</v>
      </c>
      <c r="I822" s="5">
        <v>2850</v>
      </c>
      <c r="J822" s="5" t="s">
        <v>22</v>
      </c>
      <c r="K822" s="5" t="s">
        <v>1286</v>
      </c>
    </row>
    <row r="823" spans="1:11" x14ac:dyDescent="0.25">
      <c r="A823" s="6" t="s">
        <v>863</v>
      </c>
      <c r="B823" s="6" t="s">
        <v>1941</v>
      </c>
      <c r="C823" s="6" t="s">
        <v>1254</v>
      </c>
      <c r="D823" s="6" t="s">
        <v>36</v>
      </c>
      <c r="E823" s="6" t="s">
        <v>20</v>
      </c>
      <c r="F823" s="6" t="s">
        <v>21</v>
      </c>
      <c r="G823" s="6" t="s">
        <v>1294</v>
      </c>
      <c r="H823" s="6" t="s">
        <v>1261</v>
      </c>
      <c r="I823" s="6">
        <v>6049</v>
      </c>
      <c r="J823" s="6" t="s">
        <v>22</v>
      </c>
      <c r="K823" s="6" t="s">
        <v>1286</v>
      </c>
    </row>
    <row r="824" spans="1:11" x14ac:dyDescent="0.25">
      <c r="A824" s="5" t="s">
        <v>864</v>
      </c>
      <c r="B824" s="5" t="s">
        <v>1942</v>
      </c>
      <c r="C824" s="5" t="s">
        <v>1288</v>
      </c>
      <c r="D824" s="5" t="s">
        <v>36</v>
      </c>
      <c r="E824" s="5" t="s">
        <v>63</v>
      </c>
      <c r="F824" s="5" t="s">
        <v>59</v>
      </c>
      <c r="G824" s="5" t="s">
        <v>1315</v>
      </c>
      <c r="H824" s="5" t="s">
        <v>1308</v>
      </c>
      <c r="I824" s="5">
        <v>2867</v>
      </c>
      <c r="J824" s="5" t="s">
        <v>45</v>
      </c>
      <c r="K824" s="5" t="s">
        <v>1273</v>
      </c>
    </row>
    <row r="825" spans="1:11" x14ac:dyDescent="0.25">
      <c r="A825" s="6" t="s">
        <v>865</v>
      </c>
      <c r="B825" s="6" t="s">
        <v>1680</v>
      </c>
      <c r="C825" s="6" t="s">
        <v>48</v>
      </c>
      <c r="D825" s="6" t="s">
        <v>1275</v>
      </c>
      <c r="E825" s="6" t="s">
        <v>41</v>
      </c>
      <c r="F825" s="6" t="s">
        <v>42</v>
      </c>
      <c r="G825" s="6" t="s">
        <v>1517</v>
      </c>
      <c r="H825" s="6" t="s">
        <v>1311</v>
      </c>
      <c r="I825" s="6">
        <v>18823</v>
      </c>
      <c r="J825" s="6" t="s">
        <v>29</v>
      </c>
      <c r="K825" s="6" t="s">
        <v>46</v>
      </c>
    </row>
    <row r="826" spans="1:11" x14ac:dyDescent="0.25">
      <c r="A826" s="5" t="s">
        <v>866</v>
      </c>
      <c r="B826" s="5" t="s">
        <v>1943</v>
      </c>
      <c r="C826" s="5" t="s">
        <v>53</v>
      </c>
      <c r="D826" s="5" t="s">
        <v>36</v>
      </c>
      <c r="E826" s="5" t="s">
        <v>1276</v>
      </c>
      <c r="F826" s="5" t="s">
        <v>34</v>
      </c>
      <c r="G826" s="5" t="s">
        <v>1405</v>
      </c>
      <c r="H826" s="5" t="s">
        <v>1278</v>
      </c>
      <c r="I826" s="5">
        <v>24318</v>
      </c>
      <c r="J826" s="5" t="s">
        <v>45</v>
      </c>
      <c r="K826" s="5" t="s">
        <v>1273</v>
      </c>
    </row>
    <row r="827" spans="1:11" x14ac:dyDescent="0.25">
      <c r="A827" s="6" t="s">
        <v>867</v>
      </c>
      <c r="B827" s="6" t="s">
        <v>1349</v>
      </c>
      <c r="C827" s="6" t="s">
        <v>1269</v>
      </c>
      <c r="D827" s="6" t="s">
        <v>1275</v>
      </c>
      <c r="E827" s="6" t="s">
        <v>27</v>
      </c>
      <c r="F827" s="6" t="s">
        <v>28</v>
      </c>
      <c r="G827" s="6" t="s">
        <v>1271</v>
      </c>
      <c r="H827" s="6" t="s">
        <v>1356</v>
      </c>
      <c r="I827" s="6">
        <v>9760</v>
      </c>
      <c r="J827" s="6" t="s">
        <v>29</v>
      </c>
      <c r="K827" s="6" t="s">
        <v>17</v>
      </c>
    </row>
    <row r="828" spans="1:11" x14ac:dyDescent="0.25">
      <c r="A828" s="5" t="s">
        <v>868</v>
      </c>
      <c r="B828" s="5" t="s">
        <v>1944</v>
      </c>
      <c r="C828" s="5" t="s">
        <v>62</v>
      </c>
      <c r="D828" s="5" t="s">
        <v>1275</v>
      </c>
      <c r="E828" s="5" t="s">
        <v>49</v>
      </c>
      <c r="F828" s="5" t="s">
        <v>50</v>
      </c>
      <c r="G828" s="5" t="s">
        <v>1313</v>
      </c>
      <c r="H828" s="5" t="s">
        <v>1291</v>
      </c>
      <c r="I828" s="5">
        <v>51910</v>
      </c>
      <c r="J828" s="5" t="s">
        <v>22</v>
      </c>
      <c r="K828" s="5" t="s">
        <v>1286</v>
      </c>
    </row>
    <row r="829" spans="1:11" x14ac:dyDescent="0.25">
      <c r="A829" s="6" t="s">
        <v>869</v>
      </c>
      <c r="B829" s="6" t="s">
        <v>1945</v>
      </c>
      <c r="C829" s="6" t="s">
        <v>62</v>
      </c>
      <c r="D829" s="6" t="s">
        <v>1255</v>
      </c>
      <c r="E829" s="6" t="s">
        <v>20</v>
      </c>
      <c r="F829" s="6" t="s">
        <v>21</v>
      </c>
      <c r="G829" s="6" t="s">
        <v>1260</v>
      </c>
      <c r="H829" s="6" t="s">
        <v>1377</v>
      </c>
      <c r="I829" s="6">
        <v>5830</v>
      </c>
      <c r="J829" s="6" t="s">
        <v>22</v>
      </c>
      <c r="K829" s="6" t="s">
        <v>1273</v>
      </c>
    </row>
    <row r="830" spans="1:11" x14ac:dyDescent="0.25">
      <c r="A830" s="5" t="s">
        <v>870</v>
      </c>
      <c r="B830" s="5" t="s">
        <v>1316</v>
      </c>
      <c r="C830" s="5" t="s">
        <v>1264</v>
      </c>
      <c r="D830" s="5" t="s">
        <v>1283</v>
      </c>
      <c r="E830" s="5" t="s">
        <v>66</v>
      </c>
      <c r="F830" s="5" t="s">
        <v>67</v>
      </c>
      <c r="G830" s="5" t="s">
        <v>1301</v>
      </c>
      <c r="H830" s="5" t="s">
        <v>1317</v>
      </c>
      <c r="I830" s="5">
        <v>1942</v>
      </c>
      <c r="J830" s="5" t="s">
        <v>22</v>
      </c>
      <c r="K830" s="5" t="s">
        <v>1262</v>
      </c>
    </row>
    <row r="831" spans="1:11" x14ac:dyDescent="0.25">
      <c r="A831" s="6" t="s">
        <v>871</v>
      </c>
      <c r="B831" s="6" t="s">
        <v>1476</v>
      </c>
      <c r="C831" s="6" t="s">
        <v>1254</v>
      </c>
      <c r="D831" s="6" t="s">
        <v>1275</v>
      </c>
      <c r="E831" s="6" t="s">
        <v>1401</v>
      </c>
      <c r="F831" s="6" t="s">
        <v>67</v>
      </c>
      <c r="G831" s="6" t="s">
        <v>1256</v>
      </c>
      <c r="H831" s="6" t="s">
        <v>1317</v>
      </c>
      <c r="I831" s="6">
        <v>1968</v>
      </c>
      <c r="J831" s="6" t="s">
        <v>22</v>
      </c>
      <c r="K831" s="6" t="s">
        <v>46</v>
      </c>
    </row>
    <row r="832" spans="1:11" x14ac:dyDescent="0.25">
      <c r="A832" s="5" t="s">
        <v>872</v>
      </c>
      <c r="B832" s="5" t="s">
        <v>1946</v>
      </c>
      <c r="C832" s="5" t="s">
        <v>48</v>
      </c>
      <c r="D832" s="5" t="s">
        <v>1275</v>
      </c>
      <c r="E832" s="5" t="s">
        <v>49</v>
      </c>
      <c r="F832" s="5" t="s">
        <v>50</v>
      </c>
      <c r="G832" s="5" t="s">
        <v>1260</v>
      </c>
      <c r="H832" s="5" t="s">
        <v>1291</v>
      </c>
      <c r="I832" s="5">
        <v>48561</v>
      </c>
      <c r="J832" s="5" t="s">
        <v>22</v>
      </c>
      <c r="K832" s="5" t="s">
        <v>46</v>
      </c>
    </row>
    <row r="833" spans="1:11" x14ac:dyDescent="0.25">
      <c r="A833" s="6" t="s">
        <v>873</v>
      </c>
      <c r="B833" s="6" t="s">
        <v>1535</v>
      </c>
      <c r="C833" s="6" t="s">
        <v>1259</v>
      </c>
      <c r="D833" s="6" t="s">
        <v>1283</v>
      </c>
      <c r="E833" s="6" t="s">
        <v>41</v>
      </c>
      <c r="F833" s="6" t="s">
        <v>42</v>
      </c>
      <c r="G833" s="6" t="s">
        <v>1475</v>
      </c>
      <c r="H833" s="6" t="s">
        <v>1311</v>
      </c>
      <c r="I833" s="6">
        <v>18171</v>
      </c>
      <c r="J833" s="6" t="s">
        <v>16</v>
      </c>
      <c r="K833" s="6" t="s">
        <v>1286</v>
      </c>
    </row>
    <row r="834" spans="1:11" x14ac:dyDescent="0.25">
      <c r="A834" s="5" t="s">
        <v>874</v>
      </c>
      <c r="B834" s="5" t="s">
        <v>1767</v>
      </c>
      <c r="C834" s="5" t="s">
        <v>48</v>
      </c>
      <c r="D834" s="5" t="s">
        <v>1275</v>
      </c>
      <c r="E834" s="5" t="s">
        <v>55</v>
      </c>
      <c r="F834" s="5" t="s">
        <v>34</v>
      </c>
      <c r="G834" s="5" t="s">
        <v>1260</v>
      </c>
      <c r="H834" s="5" t="s">
        <v>1395</v>
      </c>
      <c r="I834" s="5">
        <v>24285</v>
      </c>
      <c r="J834" s="5" t="s">
        <v>22</v>
      </c>
      <c r="K834" s="5" t="s">
        <v>1273</v>
      </c>
    </row>
    <row r="835" spans="1:11" x14ac:dyDescent="0.25">
      <c r="A835" s="6" t="s">
        <v>875</v>
      </c>
      <c r="B835" s="6" t="s">
        <v>1947</v>
      </c>
      <c r="C835" s="6" t="s">
        <v>1259</v>
      </c>
      <c r="D835" s="6" t="s">
        <v>1296</v>
      </c>
      <c r="E835" s="6" t="s">
        <v>66</v>
      </c>
      <c r="F835" s="6" t="s">
        <v>67</v>
      </c>
      <c r="G835" s="6" t="s">
        <v>1315</v>
      </c>
      <c r="H835" s="6" t="s">
        <v>1317</v>
      </c>
      <c r="I835" s="6">
        <v>1819</v>
      </c>
      <c r="J835" s="6" t="s">
        <v>22</v>
      </c>
      <c r="K835" s="6" t="s">
        <v>1262</v>
      </c>
    </row>
    <row r="836" spans="1:11" x14ac:dyDescent="0.25">
      <c r="A836" s="5" t="s">
        <v>876</v>
      </c>
      <c r="B836" s="5" t="s">
        <v>1615</v>
      </c>
      <c r="C836" s="5" t="s">
        <v>1264</v>
      </c>
      <c r="D836" s="5" t="s">
        <v>1275</v>
      </c>
      <c r="E836" s="5" t="s">
        <v>1374</v>
      </c>
      <c r="F836" s="5" t="s">
        <v>50</v>
      </c>
      <c r="G836" s="5" t="s">
        <v>1331</v>
      </c>
      <c r="H836" s="5" t="s">
        <v>1291</v>
      </c>
      <c r="I836" s="5">
        <v>49774</v>
      </c>
      <c r="J836" s="5" t="s">
        <v>1267</v>
      </c>
      <c r="K836" s="5" t="s">
        <v>46</v>
      </c>
    </row>
    <row r="837" spans="1:11" x14ac:dyDescent="0.25">
      <c r="A837" s="6" t="s">
        <v>877</v>
      </c>
      <c r="B837" s="6" t="s">
        <v>1521</v>
      </c>
      <c r="C837" s="6" t="s">
        <v>62</v>
      </c>
      <c r="D837" s="6" t="s">
        <v>1296</v>
      </c>
      <c r="E837" s="6" t="s">
        <v>20</v>
      </c>
      <c r="F837" s="6" t="s">
        <v>21</v>
      </c>
      <c r="G837" s="6" t="s">
        <v>1256</v>
      </c>
      <c r="H837" s="6" t="s">
        <v>1377</v>
      </c>
      <c r="I837" s="6">
        <v>5304</v>
      </c>
      <c r="J837" s="6" t="s">
        <v>16</v>
      </c>
      <c r="K837" s="6" t="s">
        <v>1273</v>
      </c>
    </row>
    <row r="838" spans="1:11" x14ac:dyDescent="0.25">
      <c r="A838" s="5" t="s">
        <v>878</v>
      </c>
      <c r="B838" s="5" t="s">
        <v>1508</v>
      </c>
      <c r="C838" s="5" t="s">
        <v>1254</v>
      </c>
      <c r="D838" s="5" t="s">
        <v>26</v>
      </c>
      <c r="E838" s="5" t="s">
        <v>63</v>
      </c>
      <c r="F838" s="5" t="s">
        <v>59</v>
      </c>
      <c r="G838" s="5" t="s">
        <v>1294</v>
      </c>
      <c r="H838" s="5" t="s">
        <v>1308</v>
      </c>
      <c r="I838" s="5">
        <v>2779</v>
      </c>
      <c r="J838" s="5" t="s">
        <v>29</v>
      </c>
      <c r="K838" s="5" t="s">
        <v>1273</v>
      </c>
    </row>
    <row r="839" spans="1:11" x14ac:dyDescent="0.25">
      <c r="A839" s="6" t="s">
        <v>879</v>
      </c>
      <c r="B839" s="6" t="s">
        <v>1677</v>
      </c>
      <c r="C839" s="6" t="s">
        <v>1288</v>
      </c>
      <c r="D839" s="6" t="s">
        <v>1275</v>
      </c>
      <c r="E839" s="6" t="s">
        <v>63</v>
      </c>
      <c r="F839" s="6" t="s">
        <v>59</v>
      </c>
      <c r="G839" s="6" t="s">
        <v>1380</v>
      </c>
      <c r="H839" s="6" t="s">
        <v>1308</v>
      </c>
      <c r="I839" s="6">
        <v>3050</v>
      </c>
      <c r="J839" s="6" t="s">
        <v>45</v>
      </c>
      <c r="K839" s="6" t="s">
        <v>1286</v>
      </c>
    </row>
    <row r="840" spans="1:11" x14ac:dyDescent="0.25">
      <c r="A840" s="5" t="s">
        <v>880</v>
      </c>
      <c r="B840" s="5" t="s">
        <v>1948</v>
      </c>
      <c r="C840" s="5" t="s">
        <v>1288</v>
      </c>
      <c r="D840" s="5" t="s">
        <v>1275</v>
      </c>
      <c r="E840" s="5" t="s">
        <v>49</v>
      </c>
      <c r="F840" s="5" t="s">
        <v>50</v>
      </c>
      <c r="G840" s="5" t="s">
        <v>1313</v>
      </c>
      <c r="H840" s="5" t="s">
        <v>1291</v>
      </c>
      <c r="I840" s="5">
        <v>59993</v>
      </c>
      <c r="J840" s="5" t="s">
        <v>22</v>
      </c>
      <c r="K840" s="5" t="s">
        <v>17</v>
      </c>
    </row>
    <row r="841" spans="1:11" x14ac:dyDescent="0.25">
      <c r="A841" s="6" t="s">
        <v>881</v>
      </c>
      <c r="B841" s="6" t="s">
        <v>1640</v>
      </c>
      <c r="C841" s="6" t="s">
        <v>73</v>
      </c>
      <c r="D841" s="6"/>
      <c r="E841" s="6" t="s">
        <v>1330</v>
      </c>
      <c r="F841" s="6" t="s">
        <v>28</v>
      </c>
      <c r="G841" s="6" t="s">
        <v>1637</v>
      </c>
      <c r="H841" s="6" t="s">
        <v>1458</v>
      </c>
      <c r="I841" s="6">
        <v>9990</v>
      </c>
      <c r="J841" s="6" t="s">
        <v>29</v>
      </c>
      <c r="K841" s="6" t="s">
        <v>1273</v>
      </c>
    </row>
    <row r="842" spans="1:11" x14ac:dyDescent="0.25">
      <c r="A842" s="5" t="s">
        <v>882</v>
      </c>
      <c r="B842" s="5" t="s">
        <v>1949</v>
      </c>
      <c r="C842" s="5" t="s">
        <v>1254</v>
      </c>
      <c r="D842" s="5" t="s">
        <v>1296</v>
      </c>
      <c r="E842" s="5" t="s">
        <v>49</v>
      </c>
      <c r="F842" s="5" t="s">
        <v>50</v>
      </c>
      <c r="G842" s="5" t="s">
        <v>1331</v>
      </c>
      <c r="H842" s="5" t="s">
        <v>1291</v>
      </c>
      <c r="I842" s="5">
        <v>50360</v>
      </c>
      <c r="J842" s="5" t="s">
        <v>29</v>
      </c>
      <c r="K842" s="5" t="s">
        <v>46</v>
      </c>
    </row>
    <row r="843" spans="1:11" x14ac:dyDescent="0.25">
      <c r="A843" s="6" t="s">
        <v>883</v>
      </c>
      <c r="B843" s="6" t="s">
        <v>1758</v>
      </c>
      <c r="C843" s="6" t="s">
        <v>48</v>
      </c>
      <c r="D843" s="6" t="s">
        <v>26</v>
      </c>
      <c r="E843" s="6" t="s">
        <v>55</v>
      </c>
      <c r="F843" s="6" t="s">
        <v>34</v>
      </c>
      <c r="G843" s="6" t="s">
        <v>1260</v>
      </c>
      <c r="H843" s="6" t="s">
        <v>1278</v>
      </c>
      <c r="I843" s="6">
        <v>24156</v>
      </c>
      <c r="J843" s="6" t="s">
        <v>22</v>
      </c>
      <c r="K843" s="6" t="s">
        <v>17</v>
      </c>
    </row>
    <row r="844" spans="1:11" x14ac:dyDescent="0.25">
      <c r="A844" s="5" t="s">
        <v>884</v>
      </c>
      <c r="B844" s="5" t="s">
        <v>1655</v>
      </c>
      <c r="C844" s="5" t="s">
        <v>62</v>
      </c>
      <c r="D844" s="5" t="s">
        <v>1270</v>
      </c>
      <c r="E844" s="5" t="s">
        <v>37</v>
      </c>
      <c r="F844" s="5" t="s">
        <v>38</v>
      </c>
      <c r="G844" s="5" t="s">
        <v>1284</v>
      </c>
      <c r="H844" s="5" t="s">
        <v>1281</v>
      </c>
      <c r="I844" s="5">
        <v>33185</v>
      </c>
      <c r="J844" s="5" t="s">
        <v>1267</v>
      </c>
      <c r="K844" s="5" t="s">
        <v>1286</v>
      </c>
    </row>
    <row r="845" spans="1:11" x14ac:dyDescent="0.25">
      <c r="A845" s="6" t="s">
        <v>885</v>
      </c>
      <c r="B845" s="6" t="s">
        <v>1950</v>
      </c>
      <c r="C845" s="6" t="s">
        <v>1288</v>
      </c>
      <c r="D845" s="6" t="s">
        <v>26</v>
      </c>
      <c r="E845" s="6" t="s">
        <v>66</v>
      </c>
      <c r="F845" s="6" t="s">
        <v>67</v>
      </c>
      <c r="G845" s="6" t="s">
        <v>1405</v>
      </c>
      <c r="H845" s="6" t="s">
        <v>1335</v>
      </c>
      <c r="I845" s="6">
        <v>1581</v>
      </c>
      <c r="J845" s="6" t="s">
        <v>45</v>
      </c>
      <c r="K845" s="6" t="s">
        <v>1286</v>
      </c>
    </row>
    <row r="846" spans="1:11" x14ac:dyDescent="0.25">
      <c r="A846" s="5" t="s">
        <v>886</v>
      </c>
      <c r="B846" s="5" t="s">
        <v>1334</v>
      </c>
      <c r="C846" s="5" t="s">
        <v>53</v>
      </c>
      <c r="D846" s="5" t="s">
        <v>1270</v>
      </c>
      <c r="E846" s="5" t="s">
        <v>1583</v>
      </c>
      <c r="F846" s="5" t="s">
        <v>38</v>
      </c>
      <c r="G846" s="5" t="s">
        <v>1284</v>
      </c>
      <c r="H846" s="5" t="s">
        <v>1281</v>
      </c>
      <c r="I846" s="5">
        <v>36462</v>
      </c>
      <c r="J846" s="5" t="s">
        <v>22</v>
      </c>
      <c r="K846" s="5" t="s">
        <v>1262</v>
      </c>
    </row>
    <row r="847" spans="1:11" x14ac:dyDescent="0.25">
      <c r="A847" s="6" t="s">
        <v>887</v>
      </c>
      <c r="B847" s="6" t="s">
        <v>1897</v>
      </c>
      <c r="C847" s="6" t="s">
        <v>1259</v>
      </c>
      <c r="D847" s="6" t="s">
        <v>1275</v>
      </c>
      <c r="E847" s="6" t="s">
        <v>63</v>
      </c>
      <c r="F847" s="6" t="s">
        <v>59</v>
      </c>
      <c r="G847" s="6" t="s">
        <v>1294</v>
      </c>
      <c r="H847" s="6" t="s">
        <v>1308</v>
      </c>
      <c r="I847" s="6">
        <v>3542</v>
      </c>
      <c r="J847" s="6" t="s">
        <v>29</v>
      </c>
      <c r="K847" s="6" t="s">
        <v>1273</v>
      </c>
    </row>
    <row r="848" spans="1:11" x14ac:dyDescent="0.25">
      <c r="A848" s="5" t="s">
        <v>888</v>
      </c>
      <c r="B848" s="5" t="s">
        <v>1951</v>
      </c>
      <c r="C848" s="5" t="s">
        <v>1254</v>
      </c>
      <c r="D848" s="5" t="s">
        <v>1275</v>
      </c>
      <c r="E848" s="5" t="s">
        <v>49</v>
      </c>
      <c r="F848" s="5" t="s">
        <v>50</v>
      </c>
      <c r="G848" s="5" t="s">
        <v>1277</v>
      </c>
      <c r="H848" s="5" t="s">
        <v>1304</v>
      </c>
      <c r="I848" s="5">
        <v>57569</v>
      </c>
      <c r="J848" s="5" t="s">
        <v>22</v>
      </c>
      <c r="K848" s="5" t="s">
        <v>46</v>
      </c>
    </row>
    <row r="849" spans="1:11" x14ac:dyDescent="0.25">
      <c r="A849" s="6" t="s">
        <v>889</v>
      </c>
      <c r="B849" s="6" t="s">
        <v>1952</v>
      </c>
      <c r="C849" s="6" t="s">
        <v>1269</v>
      </c>
      <c r="D849" s="6" t="s">
        <v>1270</v>
      </c>
      <c r="E849" s="6" t="s">
        <v>63</v>
      </c>
      <c r="F849" s="6" t="s">
        <v>59</v>
      </c>
      <c r="G849" s="6" t="s">
        <v>1398</v>
      </c>
      <c r="H849" s="6" t="s">
        <v>1320</v>
      </c>
      <c r="I849" s="6">
        <v>3417</v>
      </c>
      <c r="J849" s="6" t="s">
        <v>1267</v>
      </c>
      <c r="K849" s="6" t="s">
        <v>1286</v>
      </c>
    </row>
    <row r="850" spans="1:11" x14ac:dyDescent="0.25">
      <c r="A850" s="5" t="s">
        <v>890</v>
      </c>
      <c r="B850" s="5" t="s">
        <v>1472</v>
      </c>
      <c r="C850" s="5" t="s">
        <v>48</v>
      </c>
      <c r="D850" s="5" t="s">
        <v>26</v>
      </c>
      <c r="E850" s="5" t="s">
        <v>14</v>
      </c>
      <c r="F850" s="5" t="s">
        <v>15</v>
      </c>
      <c r="G850" s="5" t="s">
        <v>1297</v>
      </c>
      <c r="H850" s="5" t="s">
        <v>1257</v>
      </c>
      <c r="I850" s="5">
        <v>8246</v>
      </c>
      <c r="J850" s="5" t="s">
        <v>16</v>
      </c>
      <c r="K850" s="5" t="s">
        <v>46</v>
      </c>
    </row>
    <row r="851" spans="1:11" x14ac:dyDescent="0.25">
      <c r="A851" s="6" t="s">
        <v>881</v>
      </c>
      <c r="B851" s="6" t="s">
        <v>1682</v>
      </c>
      <c r="C851" s="6" t="s">
        <v>53</v>
      </c>
      <c r="D851" s="6" t="s">
        <v>1275</v>
      </c>
      <c r="E851" s="6" t="s">
        <v>1319</v>
      </c>
      <c r="F851" s="6" t="s">
        <v>59</v>
      </c>
      <c r="G851" s="6" t="s">
        <v>1280</v>
      </c>
      <c r="H851" s="6" t="s">
        <v>1308</v>
      </c>
      <c r="I851" s="6">
        <v>3571</v>
      </c>
      <c r="J851" s="6" t="s">
        <v>45</v>
      </c>
      <c r="K851" s="6" t="s">
        <v>17</v>
      </c>
    </row>
    <row r="852" spans="1:11" x14ac:dyDescent="0.25">
      <c r="A852" s="5" t="s">
        <v>891</v>
      </c>
      <c r="B852" s="5" t="s">
        <v>1953</v>
      </c>
      <c r="C852" s="5" t="s">
        <v>1259</v>
      </c>
      <c r="D852" s="5" t="s">
        <v>26</v>
      </c>
      <c r="E852" s="5" t="s">
        <v>14</v>
      </c>
      <c r="F852" s="5" t="s">
        <v>15</v>
      </c>
      <c r="G852" s="5" t="s">
        <v>1297</v>
      </c>
      <c r="H852" s="5" t="s">
        <v>1257</v>
      </c>
      <c r="I852" s="5">
        <v>9518</v>
      </c>
      <c r="J852" s="5" t="s">
        <v>45</v>
      </c>
      <c r="K852" s="5" t="s">
        <v>1262</v>
      </c>
    </row>
    <row r="853" spans="1:11" x14ac:dyDescent="0.25">
      <c r="A853" s="6" t="s">
        <v>892</v>
      </c>
      <c r="B853" s="6" t="s">
        <v>1954</v>
      </c>
      <c r="C853" s="6" t="s">
        <v>62</v>
      </c>
      <c r="D853" s="6" t="s">
        <v>1283</v>
      </c>
      <c r="E853" s="6" t="s">
        <v>20</v>
      </c>
      <c r="F853" s="6" t="s">
        <v>21</v>
      </c>
      <c r="G853" s="6" t="s">
        <v>1297</v>
      </c>
      <c r="H853" s="6" t="s">
        <v>1377</v>
      </c>
      <c r="I853" s="6">
        <v>5614</v>
      </c>
      <c r="J853" s="6" t="s">
        <v>29</v>
      </c>
      <c r="K853" s="6" t="s">
        <v>46</v>
      </c>
    </row>
    <row r="854" spans="1:11" x14ac:dyDescent="0.25">
      <c r="A854" s="5" t="s">
        <v>893</v>
      </c>
      <c r="B854" s="5" t="s">
        <v>1911</v>
      </c>
      <c r="C854" s="5" t="s">
        <v>1264</v>
      </c>
      <c r="D854" s="5" t="s">
        <v>1283</v>
      </c>
      <c r="E854" s="5" t="s">
        <v>63</v>
      </c>
      <c r="F854" s="5" t="s">
        <v>59</v>
      </c>
      <c r="G854" s="5" t="s">
        <v>1337</v>
      </c>
      <c r="H854" s="5" t="s">
        <v>1308</v>
      </c>
      <c r="I854" s="5">
        <v>3030</v>
      </c>
      <c r="J854" s="5" t="s">
        <v>1267</v>
      </c>
      <c r="K854" s="5" t="s">
        <v>1273</v>
      </c>
    </row>
    <row r="855" spans="1:11" x14ac:dyDescent="0.25">
      <c r="A855" s="6" t="s">
        <v>894</v>
      </c>
      <c r="B855" s="6" t="s">
        <v>1349</v>
      </c>
      <c r="C855" s="6" t="s">
        <v>73</v>
      </c>
      <c r="D855" s="6" t="s">
        <v>1296</v>
      </c>
      <c r="E855" s="6" t="s">
        <v>37</v>
      </c>
      <c r="F855" s="6" t="s">
        <v>38</v>
      </c>
      <c r="G855" s="6" t="s">
        <v>1380</v>
      </c>
      <c r="H855" s="6" t="s">
        <v>1367</v>
      </c>
      <c r="I855" s="6">
        <v>40606</v>
      </c>
      <c r="J855" s="6" t="s">
        <v>16</v>
      </c>
      <c r="K855" s="6" t="s">
        <v>17</v>
      </c>
    </row>
    <row r="856" spans="1:11" x14ac:dyDescent="0.25">
      <c r="A856" s="5" t="s">
        <v>895</v>
      </c>
      <c r="B856" s="5" t="s">
        <v>1955</v>
      </c>
      <c r="C856" s="5" t="s">
        <v>62</v>
      </c>
      <c r="D856" s="5" t="s">
        <v>1296</v>
      </c>
      <c r="E856" s="5" t="s">
        <v>1389</v>
      </c>
      <c r="F856" s="5" t="s">
        <v>34</v>
      </c>
      <c r="G856" s="5" t="s">
        <v>1294</v>
      </c>
      <c r="H856" s="5" t="s">
        <v>1278</v>
      </c>
      <c r="I856" s="5">
        <v>22515</v>
      </c>
      <c r="J856" s="5" t="s">
        <v>16</v>
      </c>
      <c r="K856" s="5"/>
    </row>
    <row r="857" spans="1:11" x14ac:dyDescent="0.25">
      <c r="A857" s="6" t="s">
        <v>896</v>
      </c>
      <c r="B857" s="6" t="s">
        <v>1771</v>
      </c>
      <c r="C857" s="6" t="s">
        <v>1288</v>
      </c>
      <c r="D857" s="6" t="s">
        <v>36</v>
      </c>
      <c r="E857" s="6" t="s">
        <v>66</v>
      </c>
      <c r="F857" s="6" t="s">
        <v>67</v>
      </c>
      <c r="G857" s="6" t="s">
        <v>1560</v>
      </c>
      <c r="H857" s="6" t="s">
        <v>1335</v>
      </c>
      <c r="I857" s="6">
        <v>1729</v>
      </c>
      <c r="J857" s="6" t="s">
        <v>29</v>
      </c>
      <c r="K857" s="6" t="s">
        <v>1273</v>
      </c>
    </row>
    <row r="858" spans="1:11" x14ac:dyDescent="0.25">
      <c r="A858" s="5" t="s">
        <v>897</v>
      </c>
      <c r="B858" s="5" t="s">
        <v>1956</v>
      </c>
      <c r="C858" s="5" t="s">
        <v>48</v>
      </c>
      <c r="D858" s="5" t="s">
        <v>26</v>
      </c>
      <c r="E858" s="5" t="s">
        <v>63</v>
      </c>
      <c r="F858" s="5" t="s">
        <v>59</v>
      </c>
      <c r="G858" s="5" t="s">
        <v>1271</v>
      </c>
      <c r="H858" s="5" t="s">
        <v>1308</v>
      </c>
      <c r="I858" s="5">
        <v>3025</v>
      </c>
      <c r="J858" s="5" t="s">
        <v>29</v>
      </c>
      <c r="K858" s="5" t="s">
        <v>17</v>
      </c>
    </row>
    <row r="859" spans="1:11" x14ac:dyDescent="0.25">
      <c r="A859" s="6" t="s">
        <v>898</v>
      </c>
      <c r="B859" s="6" t="s">
        <v>1957</v>
      </c>
      <c r="C859" s="6" t="s">
        <v>1288</v>
      </c>
      <c r="D859" s="6" t="s">
        <v>1275</v>
      </c>
      <c r="E859" s="6" t="s">
        <v>66</v>
      </c>
      <c r="F859" s="6" t="s">
        <v>67</v>
      </c>
      <c r="G859" s="6" t="s">
        <v>1307</v>
      </c>
      <c r="H859" s="6" t="s">
        <v>1317</v>
      </c>
      <c r="I859" s="6">
        <v>1591</v>
      </c>
      <c r="J859" s="6" t="s">
        <v>16</v>
      </c>
      <c r="K859" s="6" t="s">
        <v>1273</v>
      </c>
    </row>
    <row r="860" spans="1:11" x14ac:dyDescent="0.25">
      <c r="A860" s="5" t="s">
        <v>899</v>
      </c>
      <c r="B860" s="5" t="s">
        <v>1958</v>
      </c>
      <c r="C860" s="5" t="s">
        <v>1254</v>
      </c>
      <c r="D860" s="5" t="s">
        <v>26</v>
      </c>
      <c r="E860" s="5" t="s">
        <v>41</v>
      </c>
      <c r="F860" s="5" t="s">
        <v>42</v>
      </c>
      <c r="G860" s="5" t="s">
        <v>1313</v>
      </c>
      <c r="H860" s="5" t="s">
        <v>1325</v>
      </c>
      <c r="I860" s="5">
        <v>22305</v>
      </c>
      <c r="J860" s="5" t="s">
        <v>16</v>
      </c>
      <c r="K860" s="5" t="s">
        <v>1262</v>
      </c>
    </row>
    <row r="861" spans="1:11" x14ac:dyDescent="0.25">
      <c r="A861" s="6" t="s">
        <v>900</v>
      </c>
      <c r="B861" s="6" t="s">
        <v>1819</v>
      </c>
      <c r="C861" s="6" t="s">
        <v>1269</v>
      </c>
      <c r="D861" s="6" t="s">
        <v>26</v>
      </c>
      <c r="E861" s="6" t="s">
        <v>1394</v>
      </c>
      <c r="F861" s="6" t="s">
        <v>34</v>
      </c>
      <c r="G861" s="6" t="s">
        <v>1297</v>
      </c>
      <c r="H861" s="6" t="s">
        <v>1299</v>
      </c>
      <c r="I861" s="6">
        <v>24799</v>
      </c>
      <c r="J861" s="6" t="s">
        <v>22</v>
      </c>
      <c r="K861" s="6" t="s">
        <v>17</v>
      </c>
    </row>
    <row r="862" spans="1:11" x14ac:dyDescent="0.25">
      <c r="A862" s="5" t="s">
        <v>901</v>
      </c>
      <c r="B862" s="5" t="s">
        <v>1922</v>
      </c>
      <c r="C862" s="5" t="s">
        <v>62</v>
      </c>
      <c r="D862" s="5" t="s">
        <v>36</v>
      </c>
      <c r="E862" s="5" t="s">
        <v>66</v>
      </c>
      <c r="F862" s="5" t="s">
        <v>67</v>
      </c>
      <c r="G862" s="5" t="s">
        <v>1303</v>
      </c>
      <c r="H862" s="5" t="s">
        <v>1482</v>
      </c>
      <c r="I862" s="5">
        <v>1908</v>
      </c>
      <c r="J862" s="5" t="s">
        <v>29</v>
      </c>
      <c r="K862" s="5" t="s">
        <v>46</v>
      </c>
    </row>
    <row r="863" spans="1:11" x14ac:dyDescent="0.25">
      <c r="A863" s="6" t="s">
        <v>902</v>
      </c>
      <c r="B863" s="6" t="s">
        <v>1552</v>
      </c>
      <c r="C863" s="6" t="s">
        <v>1288</v>
      </c>
      <c r="D863" s="6" t="s">
        <v>1275</v>
      </c>
      <c r="E863" s="6" t="s">
        <v>20</v>
      </c>
      <c r="F863" s="6" t="s">
        <v>21</v>
      </c>
      <c r="G863" s="6" t="s">
        <v>1271</v>
      </c>
      <c r="H863" s="6" t="s">
        <v>1261</v>
      </c>
      <c r="I863" s="6">
        <v>6146</v>
      </c>
      <c r="J863" s="6" t="s">
        <v>29</v>
      </c>
      <c r="K863" s="6" t="s">
        <v>1262</v>
      </c>
    </row>
    <row r="864" spans="1:11" x14ac:dyDescent="0.25">
      <c r="A864" s="5" t="s">
        <v>903</v>
      </c>
      <c r="B864" s="5" t="s">
        <v>1959</v>
      </c>
      <c r="C864" s="5" t="s">
        <v>1264</v>
      </c>
      <c r="D864" s="5" t="s">
        <v>1270</v>
      </c>
      <c r="E864" s="5" t="s">
        <v>20</v>
      </c>
      <c r="F864" s="5" t="s">
        <v>21</v>
      </c>
      <c r="G864" s="5" t="s">
        <v>1256</v>
      </c>
      <c r="H864" s="5" t="s">
        <v>1261</v>
      </c>
      <c r="I864" s="5">
        <v>5838</v>
      </c>
      <c r="J864" s="5" t="s">
        <v>16</v>
      </c>
      <c r="K864" s="5" t="s">
        <v>1273</v>
      </c>
    </row>
    <row r="865" spans="1:11" x14ac:dyDescent="0.25">
      <c r="A865" s="6" t="s">
        <v>904</v>
      </c>
      <c r="B865" s="6" t="s">
        <v>1960</v>
      </c>
      <c r="C865" s="6" t="s">
        <v>1254</v>
      </c>
      <c r="D865" s="6" t="s">
        <v>36</v>
      </c>
      <c r="E865" s="6" t="s">
        <v>20</v>
      </c>
      <c r="F865" s="6" t="s">
        <v>21</v>
      </c>
      <c r="G865" s="6" t="s">
        <v>1541</v>
      </c>
      <c r="H865" s="6" t="s">
        <v>1377</v>
      </c>
      <c r="I865" s="6">
        <v>5542</v>
      </c>
      <c r="J865" s="6" t="s">
        <v>22</v>
      </c>
      <c r="K865" s="6" t="s">
        <v>1273</v>
      </c>
    </row>
    <row r="866" spans="1:11" x14ac:dyDescent="0.25">
      <c r="A866" s="5" t="s">
        <v>905</v>
      </c>
      <c r="B866" s="5" t="s">
        <v>1961</v>
      </c>
      <c r="C866" s="5" t="s">
        <v>1269</v>
      </c>
      <c r="D866" s="5" t="s">
        <v>1275</v>
      </c>
      <c r="E866" s="5" t="s">
        <v>1361</v>
      </c>
      <c r="F866" s="5" t="s">
        <v>42</v>
      </c>
      <c r="G866" s="5" t="s">
        <v>1380</v>
      </c>
      <c r="H866" s="5" t="s">
        <v>1325</v>
      </c>
      <c r="I866" s="5">
        <v>19474</v>
      </c>
      <c r="J866" s="5" t="s">
        <v>29</v>
      </c>
      <c r="K866" s="5" t="s">
        <v>1262</v>
      </c>
    </row>
    <row r="867" spans="1:11" x14ac:dyDescent="0.25">
      <c r="A867" s="6" t="s">
        <v>906</v>
      </c>
      <c r="B867" s="6" t="s">
        <v>1362</v>
      </c>
      <c r="C867" s="6" t="s">
        <v>53</v>
      </c>
      <c r="D867" s="6" t="s">
        <v>1275</v>
      </c>
      <c r="E867" s="6" t="s">
        <v>20</v>
      </c>
      <c r="F867" s="6" t="s">
        <v>21</v>
      </c>
      <c r="G867" s="6" t="s">
        <v>1364</v>
      </c>
      <c r="H867" s="6" t="s">
        <v>1261</v>
      </c>
      <c r="I867" s="6">
        <v>5847</v>
      </c>
      <c r="J867" s="6" t="s">
        <v>29</v>
      </c>
      <c r="K867" s="6" t="s">
        <v>1273</v>
      </c>
    </row>
    <row r="868" spans="1:11" x14ac:dyDescent="0.25">
      <c r="A868" s="5" t="s">
        <v>907</v>
      </c>
      <c r="B868" s="5" t="s">
        <v>1502</v>
      </c>
      <c r="C868" s="5" t="s">
        <v>1254</v>
      </c>
      <c r="D868" s="5" t="s">
        <v>1283</v>
      </c>
      <c r="E868" s="5" t="s">
        <v>41</v>
      </c>
      <c r="F868" s="5" t="s">
        <v>42</v>
      </c>
      <c r="G868" s="5" t="s">
        <v>1297</v>
      </c>
      <c r="H868" s="5" t="s">
        <v>1325</v>
      </c>
      <c r="I868" s="5">
        <v>17634</v>
      </c>
      <c r="J868" s="5" t="s">
        <v>1267</v>
      </c>
      <c r="K868" s="5" t="s">
        <v>46</v>
      </c>
    </row>
    <row r="869" spans="1:11" x14ac:dyDescent="0.25">
      <c r="A869" s="6" t="s">
        <v>908</v>
      </c>
      <c r="B869" s="6" t="s">
        <v>1413</v>
      </c>
      <c r="C869" s="6" t="s">
        <v>73</v>
      </c>
      <c r="D869" s="6" t="s">
        <v>1296</v>
      </c>
      <c r="E869" s="6" t="s">
        <v>66</v>
      </c>
      <c r="F869" s="6" t="s">
        <v>67</v>
      </c>
      <c r="G869" s="6" t="s">
        <v>1380</v>
      </c>
      <c r="H869" s="6" t="s">
        <v>1335</v>
      </c>
      <c r="I869" s="6">
        <v>1624</v>
      </c>
      <c r="J869" s="6" t="s">
        <v>29</v>
      </c>
      <c r="K869" s="6" t="s">
        <v>1262</v>
      </c>
    </row>
    <row r="870" spans="1:11" x14ac:dyDescent="0.25">
      <c r="A870" s="5" t="s">
        <v>909</v>
      </c>
      <c r="B870" s="5" t="s">
        <v>1962</v>
      </c>
      <c r="C870" s="5" t="s">
        <v>62</v>
      </c>
      <c r="D870" s="5" t="s">
        <v>1296</v>
      </c>
      <c r="E870" s="5" t="s">
        <v>14</v>
      </c>
      <c r="F870" s="5" t="s">
        <v>15</v>
      </c>
      <c r="G870" s="5" t="s">
        <v>1331</v>
      </c>
      <c r="H870" s="5" t="s">
        <v>1257</v>
      </c>
      <c r="I870" s="5">
        <v>7605</v>
      </c>
      <c r="J870" s="5" t="s">
        <v>22</v>
      </c>
      <c r="K870" s="5" t="s">
        <v>1273</v>
      </c>
    </row>
    <row r="871" spans="1:11" x14ac:dyDescent="0.25">
      <c r="A871" s="6" t="s">
        <v>910</v>
      </c>
      <c r="B871" s="6" t="s">
        <v>1963</v>
      </c>
      <c r="C871" s="6" t="s">
        <v>1264</v>
      </c>
      <c r="D871" s="6" t="s">
        <v>26</v>
      </c>
      <c r="E871" s="6" t="s">
        <v>1319</v>
      </c>
      <c r="F871" s="6" t="s">
        <v>59</v>
      </c>
      <c r="G871" s="6" t="s">
        <v>1277</v>
      </c>
      <c r="H871" s="6" t="s">
        <v>1308</v>
      </c>
      <c r="I871" s="6">
        <v>2931</v>
      </c>
      <c r="J871" s="6" t="s">
        <v>29</v>
      </c>
      <c r="K871" s="6" t="s">
        <v>17</v>
      </c>
    </row>
    <row r="872" spans="1:11" x14ac:dyDescent="0.25">
      <c r="A872" s="5" t="s">
        <v>911</v>
      </c>
      <c r="B872" s="5" t="s">
        <v>1639</v>
      </c>
      <c r="C872" s="5" t="s">
        <v>1269</v>
      </c>
      <c r="D872" s="5" t="s">
        <v>1296</v>
      </c>
      <c r="E872" s="5" t="s">
        <v>41</v>
      </c>
      <c r="F872" s="5" t="s">
        <v>42</v>
      </c>
      <c r="G872" s="5" t="s">
        <v>1307</v>
      </c>
      <c r="H872" s="5" t="s">
        <v>1325</v>
      </c>
      <c r="I872" s="5">
        <v>17226</v>
      </c>
      <c r="J872" s="5" t="s">
        <v>22</v>
      </c>
      <c r="K872" s="5" t="s">
        <v>1286</v>
      </c>
    </row>
    <row r="873" spans="1:11" x14ac:dyDescent="0.25">
      <c r="A873" s="6" t="s">
        <v>912</v>
      </c>
      <c r="B873" s="6" t="s">
        <v>1756</v>
      </c>
      <c r="C873" s="6" t="s">
        <v>1269</v>
      </c>
      <c r="D873" s="6" t="s">
        <v>1296</v>
      </c>
      <c r="E873" s="6" t="s">
        <v>37</v>
      </c>
      <c r="F873" s="6" t="s">
        <v>38</v>
      </c>
      <c r="G873" s="6" t="s">
        <v>1517</v>
      </c>
      <c r="H873" s="6" t="s">
        <v>1342</v>
      </c>
      <c r="I873" s="6">
        <v>40691</v>
      </c>
      <c r="J873" s="6" t="s">
        <v>22</v>
      </c>
      <c r="K873" s="6" t="s">
        <v>1262</v>
      </c>
    </row>
    <row r="874" spans="1:11" x14ac:dyDescent="0.25">
      <c r="A874" s="5" t="s">
        <v>913</v>
      </c>
      <c r="B874" s="5" t="s">
        <v>1258</v>
      </c>
      <c r="C874" s="5" t="s">
        <v>62</v>
      </c>
      <c r="D874" s="5" t="s">
        <v>1275</v>
      </c>
      <c r="E874" s="5" t="s">
        <v>20</v>
      </c>
      <c r="F874" s="5" t="s">
        <v>21</v>
      </c>
      <c r="G874" s="5" t="s">
        <v>1280</v>
      </c>
      <c r="H874" s="5" t="s">
        <v>1261</v>
      </c>
      <c r="I874" s="5">
        <v>6436</v>
      </c>
      <c r="J874" s="5" t="s">
        <v>16</v>
      </c>
      <c r="K874" s="5" t="s">
        <v>46</v>
      </c>
    </row>
    <row r="875" spans="1:11" x14ac:dyDescent="0.25">
      <c r="A875" s="6" t="s">
        <v>914</v>
      </c>
      <c r="B875" s="6" t="s">
        <v>1534</v>
      </c>
      <c r="C875" s="6" t="s">
        <v>1254</v>
      </c>
      <c r="D875" s="6" t="s">
        <v>36</v>
      </c>
      <c r="E875" s="6" t="s">
        <v>20</v>
      </c>
      <c r="F875" s="6" t="s">
        <v>21</v>
      </c>
      <c r="G875" s="6" t="s">
        <v>1260</v>
      </c>
      <c r="H875" s="6" t="s">
        <v>1261</v>
      </c>
      <c r="I875" s="6">
        <v>5374</v>
      </c>
      <c r="J875" s="6" t="s">
        <v>45</v>
      </c>
      <c r="K875" s="6" t="s">
        <v>1286</v>
      </c>
    </row>
    <row r="876" spans="1:11" x14ac:dyDescent="0.25">
      <c r="A876" s="5" t="s">
        <v>915</v>
      </c>
      <c r="B876" s="5" t="s">
        <v>1964</v>
      </c>
      <c r="C876" s="5" t="s">
        <v>73</v>
      </c>
      <c r="D876" s="5"/>
      <c r="E876" s="5" t="s">
        <v>1636</v>
      </c>
      <c r="F876" s="5" t="s">
        <v>50</v>
      </c>
      <c r="G876" s="5" t="s">
        <v>1271</v>
      </c>
      <c r="H876" s="5" t="s">
        <v>1304</v>
      </c>
      <c r="I876" s="5">
        <v>59108</v>
      </c>
      <c r="J876" s="5" t="s">
        <v>22</v>
      </c>
      <c r="K876" s="5" t="s">
        <v>1273</v>
      </c>
    </row>
    <row r="877" spans="1:11" x14ac:dyDescent="0.25">
      <c r="A877" s="6" t="s">
        <v>916</v>
      </c>
      <c r="B877" s="6" t="s">
        <v>1965</v>
      </c>
      <c r="C877" s="6" t="s">
        <v>48</v>
      </c>
      <c r="D877" s="6" t="s">
        <v>26</v>
      </c>
      <c r="E877" s="6" t="s">
        <v>63</v>
      </c>
      <c r="F877" s="6" t="s">
        <v>59</v>
      </c>
      <c r="G877" s="6" t="s">
        <v>1280</v>
      </c>
      <c r="H877" s="6" t="s">
        <v>1320</v>
      </c>
      <c r="I877" s="6">
        <v>3430</v>
      </c>
      <c r="J877" s="6" t="s">
        <v>1267</v>
      </c>
      <c r="K877" s="6" t="s">
        <v>46</v>
      </c>
    </row>
    <row r="878" spans="1:11" x14ac:dyDescent="0.25">
      <c r="A878" s="5" t="s">
        <v>917</v>
      </c>
      <c r="B878" s="5" t="s">
        <v>1522</v>
      </c>
      <c r="C878" s="5" t="s">
        <v>62</v>
      </c>
      <c r="D878" s="5" t="s">
        <v>1255</v>
      </c>
      <c r="E878" s="5" t="s">
        <v>55</v>
      </c>
      <c r="F878" s="5" t="s">
        <v>34</v>
      </c>
      <c r="G878" s="5" t="s">
        <v>1307</v>
      </c>
      <c r="H878" s="5" t="s">
        <v>1278</v>
      </c>
      <c r="I878" s="5">
        <v>26811</v>
      </c>
      <c r="J878" s="5" t="s">
        <v>1267</v>
      </c>
      <c r="K878" s="5" t="s">
        <v>17</v>
      </c>
    </row>
    <row r="879" spans="1:11" x14ac:dyDescent="0.25">
      <c r="A879" s="6" t="s">
        <v>918</v>
      </c>
      <c r="B879" s="6" t="s">
        <v>1300</v>
      </c>
      <c r="C879" s="6" t="s">
        <v>1288</v>
      </c>
      <c r="D879" s="6" t="s">
        <v>1283</v>
      </c>
      <c r="E879" s="6" t="s">
        <v>55</v>
      </c>
      <c r="F879" s="6" t="s">
        <v>34</v>
      </c>
      <c r="G879" s="6" t="s">
        <v>1297</v>
      </c>
      <c r="H879" s="6" t="s">
        <v>1278</v>
      </c>
      <c r="I879" s="6">
        <v>24675</v>
      </c>
      <c r="J879" s="6" t="s">
        <v>16</v>
      </c>
      <c r="K879" s="6" t="s">
        <v>1262</v>
      </c>
    </row>
    <row r="880" spans="1:11" x14ac:dyDescent="0.25">
      <c r="A880" s="5" t="s">
        <v>919</v>
      </c>
      <c r="B880" s="5" t="s">
        <v>1966</v>
      </c>
      <c r="C880" s="5" t="s">
        <v>53</v>
      </c>
      <c r="D880" s="5" t="s">
        <v>1296</v>
      </c>
      <c r="E880" s="5" t="s">
        <v>41</v>
      </c>
      <c r="F880" s="5" t="s">
        <v>42</v>
      </c>
      <c r="G880" s="5" t="s">
        <v>1315</v>
      </c>
      <c r="H880" s="5" t="s">
        <v>1325</v>
      </c>
      <c r="I880" s="5">
        <v>21017</v>
      </c>
      <c r="J880" s="5" t="s">
        <v>16</v>
      </c>
      <c r="K880" s="5" t="s">
        <v>1262</v>
      </c>
    </row>
    <row r="881" spans="1:11" x14ac:dyDescent="0.25">
      <c r="A881" s="6" t="s">
        <v>920</v>
      </c>
      <c r="B881" s="6" t="s">
        <v>1967</v>
      </c>
      <c r="C881" s="6" t="s">
        <v>62</v>
      </c>
      <c r="D881" s="6" t="s">
        <v>1296</v>
      </c>
      <c r="E881" s="6" t="s">
        <v>1444</v>
      </c>
      <c r="F881" s="6" t="s">
        <v>38</v>
      </c>
      <c r="G881" s="6" t="s">
        <v>1560</v>
      </c>
      <c r="H881" s="6" t="s">
        <v>1342</v>
      </c>
      <c r="I881" s="6">
        <v>37160</v>
      </c>
      <c r="J881" s="6" t="s">
        <v>29</v>
      </c>
      <c r="K881" s="6" t="s">
        <v>1286</v>
      </c>
    </row>
    <row r="882" spans="1:11" x14ac:dyDescent="0.25">
      <c r="A882" s="5" t="s">
        <v>921</v>
      </c>
      <c r="B882" s="5" t="s">
        <v>1749</v>
      </c>
      <c r="C882" s="5" t="s">
        <v>62</v>
      </c>
      <c r="D882" s="5" t="s">
        <v>36</v>
      </c>
      <c r="E882" s="5" t="s">
        <v>41</v>
      </c>
      <c r="F882" s="5" t="s">
        <v>42</v>
      </c>
      <c r="G882" s="5" t="s">
        <v>1313</v>
      </c>
      <c r="H882" s="5" t="s">
        <v>1325</v>
      </c>
      <c r="I882" s="5">
        <v>19651</v>
      </c>
      <c r="J882" s="5" t="s">
        <v>16</v>
      </c>
      <c r="K882" s="5" t="s">
        <v>46</v>
      </c>
    </row>
    <row r="883" spans="1:11" x14ac:dyDescent="0.25">
      <c r="A883" s="6" t="s">
        <v>922</v>
      </c>
      <c r="B883" s="6" t="s">
        <v>1968</v>
      </c>
      <c r="C883" s="6" t="s">
        <v>53</v>
      </c>
      <c r="D883" s="6" t="s">
        <v>1255</v>
      </c>
      <c r="E883" s="6" t="s">
        <v>63</v>
      </c>
      <c r="F883" s="6" t="s">
        <v>59</v>
      </c>
      <c r="G883" s="6" t="s">
        <v>1331</v>
      </c>
      <c r="H883" s="6" t="s">
        <v>1403</v>
      </c>
      <c r="I883" s="6">
        <v>3503</v>
      </c>
      <c r="J883" s="6" t="s">
        <v>16</v>
      </c>
      <c r="K883" s="6" t="s">
        <v>1286</v>
      </c>
    </row>
    <row r="884" spans="1:11" x14ac:dyDescent="0.25">
      <c r="A884" s="5" t="s">
        <v>923</v>
      </c>
      <c r="B884" s="5" t="s">
        <v>1969</v>
      </c>
      <c r="C884" s="5" t="s">
        <v>53</v>
      </c>
      <c r="D884" s="5" t="s">
        <v>1275</v>
      </c>
      <c r="E884" s="5" t="s">
        <v>55</v>
      </c>
      <c r="F884" s="5" t="s">
        <v>34</v>
      </c>
      <c r="G884" s="5" t="s">
        <v>1331</v>
      </c>
      <c r="H884" s="5" t="s">
        <v>1278</v>
      </c>
      <c r="I884" s="5">
        <v>27758</v>
      </c>
      <c r="J884" s="5" t="s">
        <v>16</v>
      </c>
      <c r="K884" s="5" t="s">
        <v>46</v>
      </c>
    </row>
    <row r="885" spans="1:11" x14ac:dyDescent="0.25">
      <c r="A885" s="6" t="s">
        <v>924</v>
      </c>
      <c r="B885" s="6" t="s">
        <v>1964</v>
      </c>
      <c r="C885" s="6" t="s">
        <v>1259</v>
      </c>
      <c r="D885" s="6" t="s">
        <v>26</v>
      </c>
      <c r="E885" s="6" t="s">
        <v>66</v>
      </c>
      <c r="F885" s="6" t="s">
        <v>67</v>
      </c>
      <c r="G885" s="6" t="s">
        <v>1297</v>
      </c>
      <c r="H885" s="6" t="s">
        <v>1335</v>
      </c>
      <c r="I885" s="6">
        <v>1721</v>
      </c>
      <c r="J885" s="6" t="s">
        <v>1267</v>
      </c>
      <c r="K885" s="6" t="s">
        <v>1286</v>
      </c>
    </row>
    <row r="886" spans="1:11" x14ac:dyDescent="0.25">
      <c r="A886" s="5" t="s">
        <v>925</v>
      </c>
      <c r="B886" s="5" t="s">
        <v>1970</v>
      </c>
      <c r="C886" s="5" t="s">
        <v>48</v>
      </c>
      <c r="D886" s="5" t="s">
        <v>26</v>
      </c>
      <c r="E886" s="5" t="s">
        <v>1607</v>
      </c>
      <c r="F886" s="5" t="s">
        <v>28</v>
      </c>
      <c r="G886" s="5" t="s">
        <v>1297</v>
      </c>
      <c r="H886" s="5" t="s">
        <v>1266</v>
      </c>
      <c r="I886" s="5">
        <v>11069</v>
      </c>
      <c r="J886" s="5" t="s">
        <v>16</v>
      </c>
      <c r="K886" s="5" t="s">
        <v>46</v>
      </c>
    </row>
    <row r="887" spans="1:11" x14ac:dyDescent="0.25">
      <c r="A887" s="6" t="s">
        <v>926</v>
      </c>
      <c r="B887" s="6" t="s">
        <v>1732</v>
      </c>
      <c r="C887" s="6" t="s">
        <v>1269</v>
      </c>
      <c r="D887" s="6" t="s">
        <v>1296</v>
      </c>
      <c r="E887" s="6" t="s">
        <v>41</v>
      </c>
      <c r="F887" s="6" t="s">
        <v>42</v>
      </c>
      <c r="G887" s="6" t="s">
        <v>1277</v>
      </c>
      <c r="H887" s="6" t="s">
        <v>1325</v>
      </c>
      <c r="I887" s="6">
        <v>17219</v>
      </c>
      <c r="J887" s="6" t="s">
        <v>22</v>
      </c>
      <c r="K887" s="6" t="s">
        <v>17</v>
      </c>
    </row>
    <row r="888" spans="1:11" x14ac:dyDescent="0.25">
      <c r="A888" s="5" t="s">
        <v>927</v>
      </c>
      <c r="B888" s="5" t="s">
        <v>1971</v>
      </c>
      <c r="C888" s="5" t="s">
        <v>1259</v>
      </c>
      <c r="D888" s="5" t="s">
        <v>1275</v>
      </c>
      <c r="E888" s="5" t="s">
        <v>20</v>
      </c>
      <c r="F888" s="5" t="s">
        <v>21</v>
      </c>
      <c r="G888" s="5" t="s">
        <v>1337</v>
      </c>
      <c r="H888" s="5" t="s">
        <v>1261</v>
      </c>
      <c r="I888" s="5">
        <v>6371</v>
      </c>
      <c r="J888" s="5" t="s">
        <v>1267</v>
      </c>
      <c r="K888" s="5" t="s">
        <v>46</v>
      </c>
    </row>
    <row r="889" spans="1:11" x14ac:dyDescent="0.25">
      <c r="A889" s="6" t="s">
        <v>928</v>
      </c>
      <c r="B889" s="6" t="s">
        <v>1972</v>
      </c>
      <c r="C889" s="6" t="s">
        <v>73</v>
      </c>
      <c r="D889" s="6" t="s">
        <v>1283</v>
      </c>
      <c r="E889" s="6" t="s">
        <v>66</v>
      </c>
      <c r="F889" s="6" t="s">
        <v>67</v>
      </c>
      <c r="G889" s="6" t="s">
        <v>1734</v>
      </c>
      <c r="H889" s="6" t="s">
        <v>1335</v>
      </c>
      <c r="I889" s="6">
        <v>1876</v>
      </c>
      <c r="J889" s="6" t="s">
        <v>45</v>
      </c>
      <c r="K889" s="6" t="s">
        <v>1273</v>
      </c>
    </row>
    <row r="890" spans="1:11" x14ac:dyDescent="0.25">
      <c r="A890" s="5" t="s">
        <v>929</v>
      </c>
      <c r="B890" s="5" t="s">
        <v>1471</v>
      </c>
      <c r="C890" s="5" t="s">
        <v>62</v>
      </c>
      <c r="D890" s="5" t="s">
        <v>26</v>
      </c>
      <c r="E890" s="5" t="s">
        <v>41</v>
      </c>
      <c r="F890" s="5" t="s">
        <v>42</v>
      </c>
      <c r="G890" s="5" t="s">
        <v>1405</v>
      </c>
      <c r="H890" s="5" t="s">
        <v>1285</v>
      </c>
      <c r="I890" s="5">
        <v>22028</v>
      </c>
      <c r="J890" s="5" t="s">
        <v>16</v>
      </c>
      <c r="K890" s="5" t="s">
        <v>17</v>
      </c>
    </row>
    <row r="891" spans="1:11" x14ac:dyDescent="0.25">
      <c r="A891" s="6" t="s">
        <v>930</v>
      </c>
      <c r="B891" s="6" t="s">
        <v>1794</v>
      </c>
      <c r="C891" s="6" t="s">
        <v>1269</v>
      </c>
      <c r="D891" s="6" t="s">
        <v>1296</v>
      </c>
      <c r="E891" s="6" t="s">
        <v>1512</v>
      </c>
      <c r="F891" s="6" t="s">
        <v>42</v>
      </c>
      <c r="G891" s="6" t="s">
        <v>1294</v>
      </c>
      <c r="H891" s="6" t="s">
        <v>1325</v>
      </c>
      <c r="I891" s="6">
        <v>21840</v>
      </c>
      <c r="J891" s="6" t="s">
        <v>1267</v>
      </c>
      <c r="K891" s="6" t="s">
        <v>17</v>
      </c>
    </row>
    <row r="892" spans="1:11" x14ac:dyDescent="0.25">
      <c r="A892" s="5" t="s">
        <v>931</v>
      </c>
      <c r="B892" s="5" t="s">
        <v>1973</v>
      </c>
      <c r="C892" s="5" t="s">
        <v>1288</v>
      </c>
      <c r="D892" s="5" t="s">
        <v>1275</v>
      </c>
      <c r="E892" s="5" t="s">
        <v>20</v>
      </c>
      <c r="F892" s="5" t="s">
        <v>21</v>
      </c>
      <c r="G892" s="5" t="s">
        <v>1280</v>
      </c>
      <c r="H892" s="5" t="s">
        <v>1261</v>
      </c>
      <c r="I892" s="5">
        <v>6248</v>
      </c>
      <c r="J892" s="5" t="s">
        <v>22</v>
      </c>
      <c r="K892" s="5" t="s">
        <v>46</v>
      </c>
    </row>
    <row r="893" spans="1:11" x14ac:dyDescent="0.25">
      <c r="A893" s="6" t="s">
        <v>932</v>
      </c>
      <c r="B893" s="6" t="s">
        <v>1340</v>
      </c>
      <c r="C893" s="6" t="s">
        <v>62</v>
      </c>
      <c r="D893" s="6" t="s">
        <v>26</v>
      </c>
      <c r="E893" s="6" t="s">
        <v>37</v>
      </c>
      <c r="F893" s="6" t="s">
        <v>38</v>
      </c>
      <c r="G893" s="6" t="s">
        <v>1307</v>
      </c>
      <c r="H893" s="6" t="s">
        <v>1342</v>
      </c>
      <c r="I893" s="6">
        <v>39787</v>
      </c>
      <c r="J893" s="6" t="s">
        <v>16</v>
      </c>
      <c r="K893" s="6" t="s">
        <v>1286</v>
      </c>
    </row>
    <row r="894" spans="1:11" x14ac:dyDescent="0.25">
      <c r="A894" s="5" t="s">
        <v>933</v>
      </c>
      <c r="B894" s="5" t="s">
        <v>1974</v>
      </c>
      <c r="C894" s="5" t="s">
        <v>73</v>
      </c>
      <c r="D894" s="5" t="s">
        <v>1270</v>
      </c>
      <c r="E894" s="5" t="s">
        <v>37</v>
      </c>
      <c r="F894" s="5" t="s">
        <v>38</v>
      </c>
      <c r="G894" s="5" t="s">
        <v>1331</v>
      </c>
      <c r="H894" s="5" t="s">
        <v>1281</v>
      </c>
      <c r="I894" s="5">
        <v>40791</v>
      </c>
      <c r="J894" s="5" t="s">
        <v>22</v>
      </c>
      <c r="K894" s="5" t="s">
        <v>1286</v>
      </c>
    </row>
    <row r="895" spans="1:11" x14ac:dyDescent="0.25">
      <c r="A895" s="6" t="s">
        <v>934</v>
      </c>
      <c r="B895" s="6" t="s">
        <v>1975</v>
      </c>
      <c r="C895" s="6" t="s">
        <v>73</v>
      </c>
      <c r="D895" s="6" t="s">
        <v>1283</v>
      </c>
      <c r="E895" s="6" t="s">
        <v>27</v>
      </c>
      <c r="F895" s="6" t="s">
        <v>28</v>
      </c>
      <c r="G895" s="6" t="s">
        <v>1294</v>
      </c>
      <c r="H895" s="6" t="s">
        <v>1266</v>
      </c>
      <c r="I895" s="6">
        <v>9027</v>
      </c>
      <c r="J895" s="6" t="s">
        <v>16</v>
      </c>
      <c r="K895" s="6" t="s">
        <v>46</v>
      </c>
    </row>
    <row r="896" spans="1:11" x14ac:dyDescent="0.25">
      <c r="A896" s="5" t="s">
        <v>935</v>
      </c>
      <c r="B896" s="5" t="s">
        <v>1976</v>
      </c>
      <c r="C896" s="5" t="s">
        <v>62</v>
      </c>
      <c r="D896" s="5" t="s">
        <v>26</v>
      </c>
      <c r="E896" s="5" t="s">
        <v>1293</v>
      </c>
      <c r="F896" s="5" t="s">
        <v>28</v>
      </c>
      <c r="G896" s="5" t="s">
        <v>1380</v>
      </c>
      <c r="H896" s="5" t="s">
        <v>1266</v>
      </c>
      <c r="I896" s="5">
        <v>9327</v>
      </c>
      <c r="J896" s="5" t="s">
        <v>22</v>
      </c>
      <c r="K896" s="5" t="s">
        <v>1286</v>
      </c>
    </row>
    <row r="897" spans="1:11" x14ac:dyDescent="0.25">
      <c r="A897" s="6" t="s">
        <v>936</v>
      </c>
      <c r="B897" s="6" t="s">
        <v>1977</v>
      </c>
      <c r="C897" s="6" t="s">
        <v>48</v>
      </c>
      <c r="D897" s="6" t="s">
        <v>36</v>
      </c>
      <c r="E897" s="6" t="s">
        <v>49</v>
      </c>
      <c r="F897" s="6" t="s">
        <v>50</v>
      </c>
      <c r="G897" s="6" t="s">
        <v>1684</v>
      </c>
      <c r="H897" s="6" t="s">
        <v>1359</v>
      </c>
      <c r="I897" s="6">
        <v>54860</v>
      </c>
      <c r="J897" s="6" t="s">
        <v>45</v>
      </c>
      <c r="K897" s="6" t="s">
        <v>1273</v>
      </c>
    </row>
    <row r="898" spans="1:11" x14ac:dyDescent="0.25">
      <c r="A898" s="5" t="s">
        <v>937</v>
      </c>
      <c r="B898" s="5" t="s">
        <v>1881</v>
      </c>
      <c r="C898" s="5" t="s">
        <v>1264</v>
      </c>
      <c r="D898" s="5" t="s">
        <v>1283</v>
      </c>
      <c r="E898" s="5" t="s">
        <v>63</v>
      </c>
      <c r="F898" s="5" t="s">
        <v>59</v>
      </c>
      <c r="G898" s="5" t="s">
        <v>1315</v>
      </c>
      <c r="H898" s="5" t="s">
        <v>1308</v>
      </c>
      <c r="I898" s="5">
        <v>3011</v>
      </c>
      <c r="J898" s="5" t="s">
        <v>16</v>
      </c>
      <c r="K898" s="5" t="s">
        <v>1286</v>
      </c>
    </row>
    <row r="899" spans="1:11" x14ac:dyDescent="0.25">
      <c r="A899" s="6" t="s">
        <v>938</v>
      </c>
      <c r="B899" s="6" t="s">
        <v>1741</v>
      </c>
      <c r="C899" s="6" t="s">
        <v>1264</v>
      </c>
      <c r="D899" s="6" t="s">
        <v>36</v>
      </c>
      <c r="E899" s="6" t="s">
        <v>27</v>
      </c>
      <c r="F899" s="6" t="s">
        <v>28</v>
      </c>
      <c r="G899" s="6" t="s">
        <v>1315</v>
      </c>
      <c r="H899" s="6" t="s">
        <v>1266</v>
      </c>
      <c r="I899" s="6">
        <v>9401</v>
      </c>
      <c r="J899" s="6" t="s">
        <v>16</v>
      </c>
      <c r="K899" s="6" t="s">
        <v>1262</v>
      </c>
    </row>
    <row r="900" spans="1:11" x14ac:dyDescent="0.25">
      <c r="A900" s="5" t="s">
        <v>939</v>
      </c>
      <c r="B900" s="5" t="s">
        <v>1978</v>
      </c>
      <c r="C900" s="5" t="s">
        <v>53</v>
      </c>
      <c r="D900" s="5" t="s">
        <v>1296</v>
      </c>
      <c r="E900" s="5" t="s">
        <v>49</v>
      </c>
      <c r="F900" s="5" t="s">
        <v>50</v>
      </c>
      <c r="G900" s="5" t="s">
        <v>1297</v>
      </c>
      <c r="H900" s="5" t="s">
        <v>1291</v>
      </c>
      <c r="I900" s="5">
        <v>48877</v>
      </c>
      <c r="J900" s="5" t="s">
        <v>29</v>
      </c>
      <c r="K900" s="5" t="s">
        <v>46</v>
      </c>
    </row>
    <row r="901" spans="1:11" x14ac:dyDescent="0.25">
      <c r="A901" s="6" t="s">
        <v>940</v>
      </c>
      <c r="B901" s="6" t="s">
        <v>1979</v>
      </c>
      <c r="C901" s="6" t="s">
        <v>1264</v>
      </c>
      <c r="D901" s="6" t="s">
        <v>1270</v>
      </c>
      <c r="E901" s="6" t="s">
        <v>1587</v>
      </c>
      <c r="F901" s="6" t="s">
        <v>21</v>
      </c>
      <c r="G901" s="6" t="s">
        <v>1307</v>
      </c>
      <c r="H901" s="6" t="s">
        <v>1377</v>
      </c>
      <c r="I901" s="6">
        <v>5835</v>
      </c>
      <c r="J901" s="6" t="s">
        <v>16</v>
      </c>
      <c r="K901" s="6"/>
    </row>
    <row r="902" spans="1:11" x14ac:dyDescent="0.25">
      <c r="A902" s="5" t="s">
        <v>941</v>
      </c>
      <c r="B902" s="5" t="s">
        <v>1780</v>
      </c>
      <c r="C902" s="5" t="s">
        <v>48</v>
      </c>
      <c r="D902" s="5" t="s">
        <v>36</v>
      </c>
      <c r="E902" s="5" t="s">
        <v>41</v>
      </c>
      <c r="F902" s="5" t="s">
        <v>42</v>
      </c>
      <c r="G902" s="5" t="s">
        <v>1303</v>
      </c>
      <c r="H902" s="5" t="s">
        <v>1325</v>
      </c>
      <c r="I902" s="5">
        <v>18425</v>
      </c>
      <c r="J902" s="5" t="s">
        <v>1267</v>
      </c>
      <c r="K902" s="5" t="s">
        <v>46</v>
      </c>
    </row>
    <row r="903" spans="1:11" x14ac:dyDescent="0.25">
      <c r="A903" s="6" t="s">
        <v>942</v>
      </c>
      <c r="B903" s="6" t="s">
        <v>1980</v>
      </c>
      <c r="C903" s="6" t="s">
        <v>1259</v>
      </c>
      <c r="D903" s="6" t="s">
        <v>1275</v>
      </c>
      <c r="E903" s="6" t="s">
        <v>55</v>
      </c>
      <c r="F903" s="6" t="s">
        <v>34</v>
      </c>
      <c r="G903" s="6" t="s">
        <v>1297</v>
      </c>
      <c r="H903" s="6" t="s">
        <v>1278</v>
      </c>
      <c r="I903" s="6">
        <v>22950</v>
      </c>
      <c r="J903" s="6" t="s">
        <v>29</v>
      </c>
      <c r="K903" s="6" t="s">
        <v>17</v>
      </c>
    </row>
    <row r="904" spans="1:11" x14ac:dyDescent="0.25">
      <c r="A904" s="5" t="s">
        <v>943</v>
      </c>
      <c r="B904" s="5" t="s">
        <v>1522</v>
      </c>
      <c r="C904" s="5" t="s">
        <v>1288</v>
      </c>
      <c r="D904" s="5" t="s">
        <v>1296</v>
      </c>
      <c r="E904" s="5" t="s">
        <v>49</v>
      </c>
      <c r="F904" s="5" t="s">
        <v>50</v>
      </c>
      <c r="G904" s="5" t="s">
        <v>1380</v>
      </c>
      <c r="H904" s="5" t="s">
        <v>1304</v>
      </c>
      <c r="I904" s="5">
        <v>58002</v>
      </c>
      <c r="J904" s="5" t="s">
        <v>16</v>
      </c>
      <c r="K904" s="5" t="s">
        <v>1262</v>
      </c>
    </row>
    <row r="905" spans="1:11" x14ac:dyDescent="0.25">
      <c r="A905" s="6" t="s">
        <v>944</v>
      </c>
      <c r="B905" s="6" t="s">
        <v>1332</v>
      </c>
      <c r="C905" s="6" t="s">
        <v>1259</v>
      </c>
      <c r="D905" s="6" t="s">
        <v>1283</v>
      </c>
      <c r="E905" s="6" t="s">
        <v>55</v>
      </c>
      <c r="F905" s="6" t="s">
        <v>34</v>
      </c>
      <c r="G905" s="6" t="s">
        <v>1457</v>
      </c>
      <c r="H905" s="6" t="s">
        <v>1299</v>
      </c>
      <c r="I905" s="6">
        <v>23733</v>
      </c>
      <c r="J905" s="6" t="s">
        <v>1267</v>
      </c>
      <c r="K905" s="6" t="s">
        <v>46</v>
      </c>
    </row>
    <row r="906" spans="1:11" x14ac:dyDescent="0.25">
      <c r="A906" s="5" t="s">
        <v>945</v>
      </c>
      <c r="B906" s="5" t="s">
        <v>1876</v>
      </c>
      <c r="C906" s="5" t="s">
        <v>1264</v>
      </c>
      <c r="D906" s="5" t="s">
        <v>1255</v>
      </c>
      <c r="E906" s="5" t="s">
        <v>1461</v>
      </c>
      <c r="F906" s="5" t="s">
        <v>15</v>
      </c>
      <c r="G906" s="5" t="s">
        <v>1260</v>
      </c>
      <c r="H906" s="5" t="s">
        <v>1257</v>
      </c>
      <c r="I906" s="5">
        <v>8636</v>
      </c>
      <c r="J906" s="5" t="s">
        <v>29</v>
      </c>
      <c r="K906" s="5" t="s">
        <v>46</v>
      </c>
    </row>
    <row r="907" spans="1:11" x14ac:dyDescent="0.25">
      <c r="A907" s="6" t="s">
        <v>946</v>
      </c>
      <c r="B907" s="6" t="s">
        <v>1981</v>
      </c>
      <c r="C907" s="6" t="s">
        <v>62</v>
      </c>
      <c r="D907" s="6" t="s">
        <v>26</v>
      </c>
      <c r="E907" s="6" t="s">
        <v>66</v>
      </c>
      <c r="F907" s="6" t="s">
        <v>67</v>
      </c>
      <c r="G907" s="6" t="s">
        <v>1405</v>
      </c>
      <c r="H907" s="6" t="s">
        <v>1317</v>
      </c>
      <c r="I907" s="6">
        <v>1616</v>
      </c>
      <c r="J907" s="6" t="s">
        <v>29</v>
      </c>
      <c r="K907" s="6" t="s">
        <v>1286</v>
      </c>
    </row>
    <row r="908" spans="1:11" x14ac:dyDescent="0.25">
      <c r="A908" s="5" t="s">
        <v>947</v>
      </c>
      <c r="B908" s="5" t="s">
        <v>1419</v>
      </c>
      <c r="C908" s="5" t="s">
        <v>48</v>
      </c>
      <c r="D908" s="5" t="s">
        <v>1275</v>
      </c>
      <c r="E908" s="5" t="s">
        <v>55</v>
      </c>
      <c r="F908" s="5" t="s">
        <v>34</v>
      </c>
      <c r="G908" s="5" t="s">
        <v>1380</v>
      </c>
      <c r="H908" s="5" t="s">
        <v>1278</v>
      </c>
      <c r="I908" s="5">
        <v>22830</v>
      </c>
      <c r="J908" s="5" t="s">
        <v>29</v>
      </c>
      <c r="K908" s="5" t="s">
        <v>17</v>
      </c>
    </row>
    <row r="909" spans="1:11" x14ac:dyDescent="0.25">
      <c r="A909" s="6" t="s">
        <v>948</v>
      </c>
      <c r="B909" s="6" t="s">
        <v>1622</v>
      </c>
      <c r="C909" s="6" t="s">
        <v>73</v>
      </c>
      <c r="D909" s="6" t="s">
        <v>1270</v>
      </c>
      <c r="E909" s="6" t="s">
        <v>49</v>
      </c>
      <c r="F909" s="6" t="s">
        <v>50</v>
      </c>
      <c r="G909" s="6" t="s">
        <v>1256</v>
      </c>
      <c r="H909" s="6" t="s">
        <v>1359</v>
      </c>
      <c r="I909" s="6">
        <v>45413</v>
      </c>
      <c r="J909" s="6" t="s">
        <v>16</v>
      </c>
      <c r="K909" s="6" t="s">
        <v>1273</v>
      </c>
    </row>
    <row r="910" spans="1:11" x14ac:dyDescent="0.25">
      <c r="A910" s="5" t="s">
        <v>949</v>
      </c>
      <c r="B910" s="5" t="s">
        <v>1939</v>
      </c>
      <c r="C910" s="5" t="s">
        <v>1259</v>
      </c>
      <c r="D910" s="5" t="s">
        <v>36</v>
      </c>
      <c r="E910" s="5" t="s">
        <v>63</v>
      </c>
      <c r="F910" s="5" t="s">
        <v>59</v>
      </c>
      <c r="G910" s="5" t="s">
        <v>1265</v>
      </c>
      <c r="H910" s="5" t="s">
        <v>1308</v>
      </c>
      <c r="I910" s="5">
        <v>2885</v>
      </c>
      <c r="J910" s="5" t="s">
        <v>16</v>
      </c>
      <c r="K910" s="5" t="s">
        <v>17</v>
      </c>
    </row>
    <row r="911" spans="1:11" x14ac:dyDescent="0.25">
      <c r="A911" s="6" t="s">
        <v>950</v>
      </c>
      <c r="B911" s="6" t="s">
        <v>1843</v>
      </c>
      <c r="C911" s="6" t="s">
        <v>53</v>
      </c>
      <c r="D911" s="6"/>
      <c r="E911" s="6" t="s">
        <v>1383</v>
      </c>
      <c r="F911" s="6" t="s">
        <v>42</v>
      </c>
      <c r="G911" s="6" t="s">
        <v>1331</v>
      </c>
      <c r="H911" s="6" t="s">
        <v>1285</v>
      </c>
      <c r="I911" s="6">
        <v>21108</v>
      </c>
      <c r="J911" s="6" t="s">
        <v>29</v>
      </c>
      <c r="K911" s="6" t="s">
        <v>46</v>
      </c>
    </row>
    <row r="912" spans="1:11" x14ac:dyDescent="0.25">
      <c r="A912" s="5" t="s">
        <v>951</v>
      </c>
      <c r="B912" s="5" t="s">
        <v>1982</v>
      </c>
      <c r="C912" s="5" t="s">
        <v>1269</v>
      </c>
      <c r="D912" s="5" t="s">
        <v>1275</v>
      </c>
      <c r="E912" s="5" t="s">
        <v>55</v>
      </c>
      <c r="F912" s="5" t="s">
        <v>34</v>
      </c>
      <c r="G912" s="5" t="s">
        <v>1297</v>
      </c>
      <c r="H912" s="5" t="s">
        <v>1278</v>
      </c>
      <c r="I912" s="5">
        <v>22885</v>
      </c>
      <c r="J912" s="5" t="s">
        <v>29</v>
      </c>
      <c r="K912" s="5" t="s">
        <v>1262</v>
      </c>
    </row>
    <row r="913" spans="1:11" x14ac:dyDescent="0.25">
      <c r="A913" s="6" t="s">
        <v>952</v>
      </c>
      <c r="B913" s="6" t="s">
        <v>1983</v>
      </c>
      <c r="C913" s="6" t="s">
        <v>48</v>
      </c>
      <c r="D913" s="6" t="s">
        <v>1270</v>
      </c>
      <c r="E913" s="6" t="s">
        <v>14</v>
      </c>
      <c r="F913" s="6" t="s">
        <v>15</v>
      </c>
      <c r="G913" s="6" t="s">
        <v>1376</v>
      </c>
      <c r="H913" s="6" t="s">
        <v>1272</v>
      </c>
      <c r="I913" s="6">
        <v>7746</v>
      </c>
      <c r="J913" s="6" t="s">
        <v>45</v>
      </c>
      <c r="K913" s="6" t="s">
        <v>46</v>
      </c>
    </row>
    <row r="914" spans="1:11" x14ac:dyDescent="0.25">
      <c r="A914" s="5" t="s">
        <v>953</v>
      </c>
      <c r="B914" s="5" t="s">
        <v>1984</v>
      </c>
      <c r="C914" s="5" t="s">
        <v>53</v>
      </c>
      <c r="D914" s="5" t="s">
        <v>1296</v>
      </c>
      <c r="E914" s="5" t="s">
        <v>49</v>
      </c>
      <c r="F914" s="5" t="s">
        <v>50</v>
      </c>
      <c r="G914" s="5" t="s">
        <v>1303</v>
      </c>
      <c r="H914" s="5" t="s">
        <v>1291</v>
      </c>
      <c r="I914" s="5">
        <v>54338</v>
      </c>
      <c r="J914" s="5" t="s">
        <v>45</v>
      </c>
      <c r="K914" s="5" t="s">
        <v>17</v>
      </c>
    </row>
    <row r="915" spans="1:11" x14ac:dyDescent="0.25">
      <c r="A915" s="6" t="s">
        <v>954</v>
      </c>
      <c r="B915" s="6" t="s">
        <v>1488</v>
      </c>
      <c r="C915" s="6" t="s">
        <v>1269</v>
      </c>
      <c r="D915" s="6" t="s">
        <v>1255</v>
      </c>
      <c r="E915" s="6" t="s">
        <v>27</v>
      </c>
      <c r="F915" s="6" t="s">
        <v>28</v>
      </c>
      <c r="G915" s="6" t="s">
        <v>1260</v>
      </c>
      <c r="H915" s="6" t="s">
        <v>1266</v>
      </c>
      <c r="I915" s="6">
        <v>10345</v>
      </c>
      <c r="J915" s="6" t="s">
        <v>22</v>
      </c>
      <c r="K915" s="6" t="s">
        <v>46</v>
      </c>
    </row>
    <row r="916" spans="1:11" x14ac:dyDescent="0.25">
      <c r="A916" s="5" t="s">
        <v>955</v>
      </c>
      <c r="B916" s="5" t="s">
        <v>1949</v>
      </c>
      <c r="C916" s="5" t="s">
        <v>73</v>
      </c>
      <c r="D916" s="5" t="s">
        <v>36</v>
      </c>
      <c r="E916" s="5" t="s">
        <v>1583</v>
      </c>
      <c r="F916" s="5" t="s">
        <v>38</v>
      </c>
      <c r="G916" s="5" t="s">
        <v>1265</v>
      </c>
      <c r="H916" s="5" t="s">
        <v>1281</v>
      </c>
      <c r="I916" s="5">
        <v>42674</v>
      </c>
      <c r="J916" s="5" t="s">
        <v>29</v>
      </c>
      <c r="K916" s="5" t="s">
        <v>1286</v>
      </c>
    </row>
    <row r="917" spans="1:11" x14ac:dyDescent="0.25">
      <c r="A917" s="6" t="s">
        <v>956</v>
      </c>
      <c r="B917" s="6" t="s">
        <v>1614</v>
      </c>
      <c r="C917" s="6" t="s">
        <v>1259</v>
      </c>
      <c r="D917" s="6" t="s">
        <v>26</v>
      </c>
      <c r="E917" s="6" t="s">
        <v>41</v>
      </c>
      <c r="F917" s="6" t="s">
        <v>42</v>
      </c>
      <c r="G917" s="6" t="s">
        <v>1405</v>
      </c>
      <c r="H917" s="6" t="s">
        <v>1311</v>
      </c>
      <c r="I917" s="6">
        <v>21213</v>
      </c>
      <c r="J917" s="6" t="s">
        <v>1267</v>
      </c>
      <c r="K917" s="6" t="s">
        <v>46</v>
      </c>
    </row>
    <row r="918" spans="1:11" x14ac:dyDescent="0.25">
      <c r="A918" s="5" t="s">
        <v>957</v>
      </c>
      <c r="B918" s="5" t="s">
        <v>1613</v>
      </c>
      <c r="C918" s="5" t="s">
        <v>73</v>
      </c>
      <c r="D918" s="5" t="s">
        <v>36</v>
      </c>
      <c r="E918" s="5" t="s">
        <v>27</v>
      </c>
      <c r="F918" s="5" t="s">
        <v>28</v>
      </c>
      <c r="G918" s="5" t="s">
        <v>1260</v>
      </c>
      <c r="H918" s="5" t="s">
        <v>1356</v>
      </c>
      <c r="I918" s="5">
        <v>11147</v>
      </c>
      <c r="J918" s="5" t="s">
        <v>1267</v>
      </c>
      <c r="K918" s="5" t="s">
        <v>46</v>
      </c>
    </row>
    <row r="919" spans="1:11" x14ac:dyDescent="0.25">
      <c r="A919" s="6" t="s">
        <v>958</v>
      </c>
      <c r="B919" s="6" t="s">
        <v>1985</v>
      </c>
      <c r="C919" s="6" t="s">
        <v>1259</v>
      </c>
      <c r="D919" s="6" t="s">
        <v>1283</v>
      </c>
      <c r="E919" s="6" t="s">
        <v>63</v>
      </c>
      <c r="F919" s="6" t="s">
        <v>59</v>
      </c>
      <c r="G919" s="6" t="s">
        <v>1315</v>
      </c>
      <c r="H919" s="6" t="s">
        <v>1308</v>
      </c>
      <c r="I919" s="6">
        <v>2843</v>
      </c>
      <c r="J919" s="6" t="s">
        <v>16</v>
      </c>
      <c r="K919" s="6" t="s">
        <v>1286</v>
      </c>
    </row>
    <row r="920" spans="1:11" x14ac:dyDescent="0.25">
      <c r="A920" s="5" t="s">
        <v>959</v>
      </c>
      <c r="B920" s="5" t="s">
        <v>1777</v>
      </c>
      <c r="C920" s="5" t="s">
        <v>1254</v>
      </c>
      <c r="D920" s="5" t="s">
        <v>26</v>
      </c>
      <c r="E920" s="5" t="s">
        <v>27</v>
      </c>
      <c r="F920" s="5" t="s">
        <v>28</v>
      </c>
      <c r="G920" s="5" t="s">
        <v>1277</v>
      </c>
      <c r="H920" s="5" t="s">
        <v>1266</v>
      </c>
      <c r="I920" s="5">
        <v>8873</v>
      </c>
      <c r="J920" s="5" t="s">
        <v>22</v>
      </c>
      <c r="K920" s="5" t="s">
        <v>17</v>
      </c>
    </row>
    <row r="921" spans="1:11" x14ac:dyDescent="0.25">
      <c r="A921" s="6" t="s">
        <v>960</v>
      </c>
      <c r="B921" s="6" t="s">
        <v>1818</v>
      </c>
      <c r="C921" s="6" t="s">
        <v>1264</v>
      </c>
      <c r="D921" s="6" t="s">
        <v>26</v>
      </c>
      <c r="E921" s="6" t="s">
        <v>1306</v>
      </c>
      <c r="F921" s="6" t="s">
        <v>59</v>
      </c>
      <c r="G921" s="6" t="s">
        <v>1499</v>
      </c>
      <c r="H921" s="6" t="s">
        <v>1320</v>
      </c>
      <c r="I921" s="6">
        <v>2948</v>
      </c>
      <c r="J921" s="6" t="s">
        <v>45</v>
      </c>
      <c r="K921" s="6" t="s">
        <v>1273</v>
      </c>
    </row>
    <row r="922" spans="1:11" x14ac:dyDescent="0.25">
      <c r="A922" s="5" t="s">
        <v>961</v>
      </c>
      <c r="B922" s="5" t="s">
        <v>1309</v>
      </c>
      <c r="C922" s="5" t="s">
        <v>1288</v>
      </c>
      <c r="D922" s="5" t="s">
        <v>1275</v>
      </c>
      <c r="E922" s="5" t="s">
        <v>41</v>
      </c>
      <c r="F922" s="5" t="s">
        <v>42</v>
      </c>
      <c r="G922" s="5" t="s">
        <v>1256</v>
      </c>
      <c r="H922" s="5" t="s">
        <v>1325</v>
      </c>
      <c r="I922" s="5">
        <v>16916</v>
      </c>
      <c r="J922" s="5" t="s">
        <v>22</v>
      </c>
      <c r="K922" s="5" t="s">
        <v>17</v>
      </c>
    </row>
    <row r="923" spans="1:11" x14ac:dyDescent="0.25">
      <c r="A923" s="6" t="s">
        <v>962</v>
      </c>
      <c r="B923" s="6" t="s">
        <v>1986</v>
      </c>
      <c r="C923" s="6" t="s">
        <v>48</v>
      </c>
      <c r="D923" s="6" t="s">
        <v>1283</v>
      </c>
      <c r="E923" s="6" t="s">
        <v>14</v>
      </c>
      <c r="F923" s="6" t="s">
        <v>15</v>
      </c>
      <c r="G923" s="6" t="s">
        <v>1364</v>
      </c>
      <c r="H923" s="6" t="s">
        <v>1257</v>
      </c>
      <c r="I923" s="6">
        <v>9340</v>
      </c>
      <c r="J923" s="6" t="s">
        <v>16</v>
      </c>
      <c r="K923" s="6" t="s">
        <v>46</v>
      </c>
    </row>
    <row r="924" spans="1:11" x14ac:dyDescent="0.25">
      <c r="A924" s="5" t="s">
        <v>963</v>
      </c>
      <c r="B924" s="5" t="s">
        <v>1717</v>
      </c>
      <c r="C924" s="5" t="s">
        <v>48</v>
      </c>
      <c r="D924" s="5" t="s">
        <v>36</v>
      </c>
      <c r="E924" s="5" t="s">
        <v>63</v>
      </c>
      <c r="F924" s="5" t="s">
        <v>59</v>
      </c>
      <c r="G924" s="5" t="s">
        <v>1297</v>
      </c>
      <c r="H924" s="5" t="s">
        <v>1308</v>
      </c>
      <c r="I924" s="5">
        <v>3537</v>
      </c>
      <c r="J924" s="5" t="s">
        <v>45</v>
      </c>
      <c r="K924" s="5" t="s">
        <v>1273</v>
      </c>
    </row>
    <row r="925" spans="1:11" x14ac:dyDescent="0.25">
      <c r="A925" s="6" t="s">
        <v>964</v>
      </c>
      <c r="B925" s="6" t="s">
        <v>1987</v>
      </c>
      <c r="C925" s="6" t="s">
        <v>62</v>
      </c>
      <c r="D925" s="6" t="s">
        <v>1255</v>
      </c>
      <c r="E925" s="6" t="s">
        <v>27</v>
      </c>
      <c r="F925" s="6" t="s">
        <v>28</v>
      </c>
      <c r="G925" s="6" t="s">
        <v>1294</v>
      </c>
      <c r="H925" s="6" t="s">
        <v>1458</v>
      </c>
      <c r="I925" s="6">
        <v>10338</v>
      </c>
      <c r="J925" s="6" t="s">
        <v>45</v>
      </c>
      <c r="K925" s="6" t="s">
        <v>1286</v>
      </c>
    </row>
    <row r="926" spans="1:11" x14ac:dyDescent="0.25">
      <c r="A926" s="5" t="s">
        <v>965</v>
      </c>
      <c r="B926" s="5" t="s">
        <v>1817</v>
      </c>
      <c r="C926" s="5" t="s">
        <v>48</v>
      </c>
      <c r="D926" s="5" t="s">
        <v>1255</v>
      </c>
      <c r="E926" s="5" t="s">
        <v>1607</v>
      </c>
      <c r="F926" s="5" t="s">
        <v>28</v>
      </c>
      <c r="G926" s="5" t="s">
        <v>1307</v>
      </c>
      <c r="H926" s="5" t="s">
        <v>1266</v>
      </c>
      <c r="I926" s="5">
        <v>10843</v>
      </c>
      <c r="J926" s="5" t="s">
        <v>16</v>
      </c>
      <c r="K926" s="5" t="s">
        <v>17</v>
      </c>
    </row>
    <row r="927" spans="1:11" x14ac:dyDescent="0.25">
      <c r="A927" s="6" t="s">
        <v>966</v>
      </c>
      <c r="B927" s="6" t="s">
        <v>1709</v>
      </c>
      <c r="C927" s="6" t="s">
        <v>73</v>
      </c>
      <c r="D927" s="6" t="s">
        <v>1255</v>
      </c>
      <c r="E927" s="6" t="s">
        <v>20</v>
      </c>
      <c r="F927" s="6" t="s">
        <v>21</v>
      </c>
      <c r="G927" s="6" t="s">
        <v>1277</v>
      </c>
      <c r="H927" s="6" t="s">
        <v>1261</v>
      </c>
      <c r="I927" s="6">
        <v>6150</v>
      </c>
      <c r="J927" s="6" t="s">
        <v>16</v>
      </c>
      <c r="K927" s="6" t="s">
        <v>17</v>
      </c>
    </row>
    <row r="928" spans="1:11" x14ac:dyDescent="0.25">
      <c r="A928" s="5" t="s">
        <v>967</v>
      </c>
      <c r="B928" s="5" t="s">
        <v>1352</v>
      </c>
      <c r="C928" s="5" t="s">
        <v>1269</v>
      </c>
      <c r="D928" s="5" t="s">
        <v>1270</v>
      </c>
      <c r="E928" s="5" t="s">
        <v>27</v>
      </c>
      <c r="F928" s="5" t="s">
        <v>28</v>
      </c>
      <c r="G928" s="5" t="s">
        <v>1364</v>
      </c>
      <c r="H928" s="5" t="s">
        <v>1266</v>
      </c>
      <c r="I928" s="5">
        <v>9714</v>
      </c>
      <c r="J928" s="5" t="s">
        <v>45</v>
      </c>
      <c r="K928" s="5" t="s">
        <v>17</v>
      </c>
    </row>
    <row r="929" spans="1:11" x14ac:dyDescent="0.25">
      <c r="A929" s="6" t="s">
        <v>968</v>
      </c>
      <c r="B929" s="6" t="s">
        <v>1500</v>
      </c>
      <c r="C929" s="6" t="s">
        <v>1254</v>
      </c>
      <c r="D929" s="6" t="s">
        <v>1255</v>
      </c>
      <c r="E929" s="6" t="s">
        <v>49</v>
      </c>
      <c r="F929" s="6" t="s">
        <v>50</v>
      </c>
      <c r="G929" s="6" t="s">
        <v>1408</v>
      </c>
      <c r="H929" s="6" t="s">
        <v>1359</v>
      </c>
      <c r="I929" s="6">
        <v>55005</v>
      </c>
      <c r="J929" s="6" t="s">
        <v>45</v>
      </c>
      <c r="K929" s="6" t="s">
        <v>46</v>
      </c>
    </row>
    <row r="930" spans="1:11" x14ac:dyDescent="0.25">
      <c r="A930" s="5" t="s">
        <v>969</v>
      </c>
      <c r="B930" s="5" t="s">
        <v>1927</v>
      </c>
      <c r="C930" s="5" t="s">
        <v>53</v>
      </c>
      <c r="D930" s="5" t="s">
        <v>1296</v>
      </c>
      <c r="E930" s="5" t="s">
        <v>20</v>
      </c>
      <c r="F930" s="5" t="s">
        <v>21</v>
      </c>
      <c r="G930" s="5" t="s">
        <v>1301</v>
      </c>
      <c r="H930" s="5" t="s">
        <v>1261</v>
      </c>
      <c r="I930" s="5">
        <v>6176</v>
      </c>
      <c r="J930" s="5" t="s">
        <v>1267</v>
      </c>
      <c r="K930" s="5" t="s">
        <v>46</v>
      </c>
    </row>
    <row r="931" spans="1:11" x14ac:dyDescent="0.25">
      <c r="A931" s="6" t="s">
        <v>970</v>
      </c>
      <c r="B931" s="6" t="s">
        <v>1788</v>
      </c>
      <c r="C931" s="6" t="s">
        <v>1288</v>
      </c>
      <c r="D931" s="6" t="s">
        <v>1255</v>
      </c>
      <c r="E931" s="6" t="s">
        <v>1389</v>
      </c>
      <c r="F931" s="6" t="s">
        <v>34</v>
      </c>
      <c r="G931" s="6" t="s">
        <v>1331</v>
      </c>
      <c r="H931" s="6" t="s">
        <v>1278</v>
      </c>
      <c r="I931" s="6">
        <v>26661</v>
      </c>
      <c r="J931" s="6" t="s">
        <v>16</v>
      </c>
      <c r="K931" s="6" t="s">
        <v>1286</v>
      </c>
    </row>
    <row r="932" spans="1:11" x14ac:dyDescent="0.25">
      <c r="A932" s="5" t="s">
        <v>971</v>
      </c>
      <c r="B932" s="5" t="s">
        <v>1988</v>
      </c>
      <c r="C932" s="5" t="s">
        <v>1288</v>
      </c>
      <c r="D932" s="5" t="s">
        <v>1255</v>
      </c>
      <c r="E932" s="5" t="s">
        <v>41</v>
      </c>
      <c r="F932" s="5" t="s">
        <v>42</v>
      </c>
      <c r="G932" s="5" t="s">
        <v>1265</v>
      </c>
      <c r="H932" s="5" t="s">
        <v>1285</v>
      </c>
      <c r="I932" s="5">
        <v>18137</v>
      </c>
      <c r="J932" s="5" t="s">
        <v>1267</v>
      </c>
      <c r="K932" s="5" t="s">
        <v>1262</v>
      </c>
    </row>
    <row r="933" spans="1:11" x14ac:dyDescent="0.25">
      <c r="A933" s="6" t="s">
        <v>972</v>
      </c>
      <c r="B933" s="6" t="s">
        <v>1854</v>
      </c>
      <c r="C933" s="6" t="s">
        <v>1288</v>
      </c>
      <c r="D933" s="6" t="s">
        <v>36</v>
      </c>
      <c r="E933" s="6" t="s">
        <v>63</v>
      </c>
      <c r="F933" s="6" t="s">
        <v>59</v>
      </c>
      <c r="G933" s="6" t="s">
        <v>1313</v>
      </c>
      <c r="H933" s="6" t="s">
        <v>1320</v>
      </c>
      <c r="I933" s="6">
        <v>3589</v>
      </c>
      <c r="J933" s="6" t="s">
        <v>45</v>
      </c>
      <c r="K933" s="6" t="s">
        <v>46</v>
      </c>
    </row>
    <row r="934" spans="1:11" x14ac:dyDescent="0.25">
      <c r="A934" s="5" t="s">
        <v>973</v>
      </c>
      <c r="B934" s="5" t="s">
        <v>1488</v>
      </c>
      <c r="C934" s="5" t="s">
        <v>1264</v>
      </c>
      <c r="D934" s="5" t="s">
        <v>1255</v>
      </c>
      <c r="E934" s="5" t="s">
        <v>27</v>
      </c>
      <c r="F934" s="5" t="s">
        <v>28</v>
      </c>
      <c r="G934" s="5" t="s">
        <v>1307</v>
      </c>
      <c r="H934" s="5" t="s">
        <v>1266</v>
      </c>
      <c r="I934" s="5">
        <v>8701</v>
      </c>
      <c r="J934" s="5" t="s">
        <v>29</v>
      </c>
      <c r="K934" s="5" t="s">
        <v>1262</v>
      </c>
    </row>
    <row r="935" spans="1:11" x14ac:dyDescent="0.25">
      <c r="A935" s="6" t="s">
        <v>974</v>
      </c>
      <c r="B935" s="6" t="s">
        <v>1837</v>
      </c>
      <c r="C935" s="6" t="s">
        <v>1264</v>
      </c>
      <c r="D935" s="6" t="s">
        <v>1255</v>
      </c>
      <c r="E935" s="6" t="s">
        <v>41</v>
      </c>
      <c r="F935" s="6" t="s">
        <v>42</v>
      </c>
      <c r="G935" s="6" t="s">
        <v>1271</v>
      </c>
      <c r="H935" s="6" t="s">
        <v>1325</v>
      </c>
      <c r="I935" s="6">
        <v>20083</v>
      </c>
      <c r="J935" s="6" t="s">
        <v>16</v>
      </c>
      <c r="K935" s="6" t="s">
        <v>46</v>
      </c>
    </row>
    <row r="936" spans="1:11" x14ac:dyDescent="0.25">
      <c r="A936" s="5" t="s">
        <v>975</v>
      </c>
      <c r="B936" s="5" t="s">
        <v>1989</v>
      </c>
      <c r="C936" s="5" t="s">
        <v>48</v>
      </c>
      <c r="D936" s="5" t="s">
        <v>36</v>
      </c>
      <c r="E936" s="5" t="s">
        <v>1276</v>
      </c>
      <c r="F936" s="5" t="s">
        <v>34</v>
      </c>
      <c r="G936" s="5" t="s">
        <v>1277</v>
      </c>
      <c r="H936" s="5" t="s">
        <v>1278</v>
      </c>
      <c r="I936" s="5">
        <v>21215</v>
      </c>
      <c r="J936" s="5" t="s">
        <v>22</v>
      </c>
      <c r="K936" s="5" t="s">
        <v>46</v>
      </c>
    </row>
    <row r="937" spans="1:11" x14ac:dyDescent="0.25">
      <c r="A937" s="6" t="s">
        <v>976</v>
      </c>
      <c r="B937" s="6" t="s">
        <v>1990</v>
      </c>
      <c r="C937" s="6" t="s">
        <v>1259</v>
      </c>
      <c r="D937" s="6" t="s">
        <v>1270</v>
      </c>
      <c r="E937" s="6" t="s">
        <v>66</v>
      </c>
      <c r="F937" s="6" t="s">
        <v>67</v>
      </c>
      <c r="G937" s="6" t="s">
        <v>1440</v>
      </c>
      <c r="H937" s="6" t="s">
        <v>1335</v>
      </c>
      <c r="I937" s="6">
        <v>1736</v>
      </c>
      <c r="J937" s="6" t="s">
        <v>16</v>
      </c>
      <c r="K937" s="6" t="s">
        <v>1273</v>
      </c>
    </row>
    <row r="938" spans="1:11" x14ac:dyDescent="0.25">
      <c r="A938" s="5" t="s">
        <v>977</v>
      </c>
      <c r="B938" s="5" t="s">
        <v>1907</v>
      </c>
      <c r="C938" s="5" t="s">
        <v>1264</v>
      </c>
      <c r="D938" s="5" t="s">
        <v>1283</v>
      </c>
      <c r="E938" s="5" t="s">
        <v>27</v>
      </c>
      <c r="F938" s="5" t="s">
        <v>28</v>
      </c>
      <c r="G938" s="5" t="s">
        <v>1294</v>
      </c>
      <c r="H938" s="5" t="s">
        <v>1266</v>
      </c>
      <c r="I938" s="5">
        <v>9290</v>
      </c>
      <c r="J938" s="5" t="s">
        <v>29</v>
      </c>
      <c r="K938" s="5" t="s">
        <v>46</v>
      </c>
    </row>
    <row r="939" spans="1:11" x14ac:dyDescent="0.25">
      <c r="A939" s="6" t="s">
        <v>978</v>
      </c>
      <c r="B939" s="6" t="s">
        <v>1501</v>
      </c>
      <c r="C939" s="6" t="s">
        <v>73</v>
      </c>
      <c r="D939" s="6" t="s">
        <v>1270</v>
      </c>
      <c r="E939" s="6" t="s">
        <v>66</v>
      </c>
      <c r="F939" s="6" t="s">
        <v>67</v>
      </c>
      <c r="G939" s="6" t="s">
        <v>1265</v>
      </c>
      <c r="H939" s="6" t="s">
        <v>1482</v>
      </c>
      <c r="I939" s="6">
        <v>1857</v>
      </c>
      <c r="J939" s="6" t="s">
        <v>22</v>
      </c>
      <c r="K939" s="6" t="s">
        <v>46</v>
      </c>
    </row>
    <row r="940" spans="1:11" x14ac:dyDescent="0.25">
      <c r="A940" s="5" t="s">
        <v>979</v>
      </c>
      <c r="B940" s="5" t="s">
        <v>1456</v>
      </c>
      <c r="C940" s="5" t="s">
        <v>48</v>
      </c>
      <c r="D940" s="5" t="s">
        <v>26</v>
      </c>
      <c r="E940" s="5" t="s">
        <v>37</v>
      </c>
      <c r="F940" s="5" t="s">
        <v>38</v>
      </c>
      <c r="G940" s="5" t="s">
        <v>1265</v>
      </c>
      <c r="H940" s="5" t="s">
        <v>1281</v>
      </c>
      <c r="I940" s="5">
        <v>41313</v>
      </c>
      <c r="J940" s="5" t="s">
        <v>1267</v>
      </c>
      <c r="K940" s="5" t="s">
        <v>46</v>
      </c>
    </row>
    <row r="941" spans="1:11" x14ac:dyDescent="0.25">
      <c r="A941" s="6" t="s">
        <v>980</v>
      </c>
      <c r="B941" s="6" t="s">
        <v>1833</v>
      </c>
      <c r="C941" s="6" t="s">
        <v>1269</v>
      </c>
      <c r="D941" s="6" t="s">
        <v>1283</v>
      </c>
      <c r="E941" s="6" t="s">
        <v>1374</v>
      </c>
      <c r="F941" s="6" t="s">
        <v>50</v>
      </c>
      <c r="G941" s="6" t="s">
        <v>1307</v>
      </c>
      <c r="H941" s="6" t="s">
        <v>1359</v>
      </c>
      <c r="I941" s="6">
        <v>51894</v>
      </c>
      <c r="J941" s="6" t="s">
        <v>22</v>
      </c>
      <c r="K941" s="6" t="s">
        <v>17</v>
      </c>
    </row>
    <row r="942" spans="1:11" x14ac:dyDescent="0.25">
      <c r="A942" s="5" t="s">
        <v>981</v>
      </c>
      <c r="B942" s="5" t="s">
        <v>1546</v>
      </c>
      <c r="C942" s="5" t="s">
        <v>53</v>
      </c>
      <c r="D942" s="5" t="s">
        <v>1296</v>
      </c>
      <c r="E942" s="5" t="s">
        <v>49</v>
      </c>
      <c r="F942" s="5" t="s">
        <v>50</v>
      </c>
      <c r="G942" s="5" t="s">
        <v>1315</v>
      </c>
      <c r="H942" s="5" t="s">
        <v>1291</v>
      </c>
      <c r="I942" s="5">
        <v>58434</v>
      </c>
      <c r="J942" s="5" t="s">
        <v>16</v>
      </c>
      <c r="K942" s="5" t="s">
        <v>17</v>
      </c>
    </row>
    <row r="943" spans="1:11" x14ac:dyDescent="0.25">
      <c r="A943" s="6" t="s">
        <v>982</v>
      </c>
      <c r="B943" s="6" t="s">
        <v>1809</v>
      </c>
      <c r="C943" s="6" t="s">
        <v>1288</v>
      </c>
      <c r="D943" s="6" t="s">
        <v>36</v>
      </c>
      <c r="E943" s="6" t="s">
        <v>37</v>
      </c>
      <c r="F943" s="6" t="s">
        <v>38</v>
      </c>
      <c r="G943" s="6" t="s">
        <v>1271</v>
      </c>
      <c r="H943" s="6" t="s">
        <v>1281</v>
      </c>
      <c r="I943" s="6">
        <v>34836</v>
      </c>
      <c r="J943" s="6" t="s">
        <v>16</v>
      </c>
      <c r="K943" s="6" t="s">
        <v>46</v>
      </c>
    </row>
    <row r="944" spans="1:11" x14ac:dyDescent="0.25">
      <c r="A944" s="5" t="s">
        <v>983</v>
      </c>
      <c r="B944" s="5" t="s">
        <v>1642</v>
      </c>
      <c r="C944" s="5" t="s">
        <v>53</v>
      </c>
      <c r="D944" s="5" t="s">
        <v>1255</v>
      </c>
      <c r="E944" s="5" t="s">
        <v>41</v>
      </c>
      <c r="F944" s="5" t="s">
        <v>42</v>
      </c>
      <c r="G944" s="5" t="s">
        <v>1280</v>
      </c>
      <c r="H944" s="5" t="s">
        <v>1325</v>
      </c>
      <c r="I944" s="5">
        <v>17328</v>
      </c>
      <c r="J944" s="5" t="s">
        <v>22</v>
      </c>
      <c r="K944" s="5" t="s">
        <v>17</v>
      </c>
    </row>
    <row r="945" spans="1:11" x14ac:dyDescent="0.25">
      <c r="A945" s="6" t="s">
        <v>984</v>
      </c>
      <c r="B945" s="6" t="s">
        <v>1665</v>
      </c>
      <c r="C945" s="6" t="s">
        <v>1288</v>
      </c>
      <c r="D945" s="6" t="s">
        <v>1296</v>
      </c>
      <c r="E945" s="6" t="s">
        <v>49</v>
      </c>
      <c r="F945" s="6" t="s">
        <v>50</v>
      </c>
      <c r="G945" s="6" t="s">
        <v>1734</v>
      </c>
      <c r="H945" s="6" t="s">
        <v>1359</v>
      </c>
      <c r="I945" s="6">
        <v>57819</v>
      </c>
      <c r="J945" s="6" t="s">
        <v>45</v>
      </c>
      <c r="K945" s="6" t="s">
        <v>17</v>
      </c>
    </row>
    <row r="946" spans="1:11" x14ac:dyDescent="0.25">
      <c r="A946" s="5" t="s">
        <v>985</v>
      </c>
      <c r="B946" s="5" t="s">
        <v>1826</v>
      </c>
      <c r="C946" s="5" t="s">
        <v>1288</v>
      </c>
      <c r="D946" s="5"/>
      <c r="E946" s="5" t="s">
        <v>1466</v>
      </c>
      <c r="F946" s="5" t="s">
        <v>21</v>
      </c>
      <c r="G946" s="5" t="s">
        <v>1277</v>
      </c>
      <c r="H946" s="5" t="s">
        <v>1454</v>
      </c>
      <c r="I946" s="5">
        <v>6634</v>
      </c>
      <c r="J946" s="5" t="s">
        <v>22</v>
      </c>
      <c r="K946" s="5"/>
    </row>
    <row r="947" spans="1:11" x14ac:dyDescent="0.25">
      <c r="A947" s="6" t="s">
        <v>986</v>
      </c>
      <c r="B947" s="6" t="s">
        <v>1984</v>
      </c>
      <c r="C947" s="6" t="s">
        <v>1269</v>
      </c>
      <c r="D947" s="6" t="s">
        <v>36</v>
      </c>
      <c r="E947" s="6" t="s">
        <v>27</v>
      </c>
      <c r="F947" s="6" t="s">
        <v>28</v>
      </c>
      <c r="G947" s="6" t="s">
        <v>1303</v>
      </c>
      <c r="H947" s="6" t="s">
        <v>1266</v>
      </c>
      <c r="I947" s="6">
        <v>9599</v>
      </c>
      <c r="J947" s="6" t="s">
        <v>1267</v>
      </c>
      <c r="K947" s="6" t="s">
        <v>46</v>
      </c>
    </row>
    <row r="948" spans="1:11" x14ac:dyDescent="0.25">
      <c r="A948" s="5" t="s">
        <v>987</v>
      </c>
      <c r="B948" s="5" t="s">
        <v>1890</v>
      </c>
      <c r="C948" s="5" t="s">
        <v>1254</v>
      </c>
      <c r="D948" s="5" t="s">
        <v>1270</v>
      </c>
      <c r="E948" s="5" t="s">
        <v>27</v>
      </c>
      <c r="F948" s="5" t="s">
        <v>28</v>
      </c>
      <c r="G948" s="5" t="s">
        <v>1256</v>
      </c>
      <c r="H948" s="5" t="s">
        <v>1266</v>
      </c>
      <c r="I948" s="5">
        <v>9398</v>
      </c>
      <c r="J948" s="5" t="s">
        <v>45</v>
      </c>
      <c r="K948" s="5" t="s">
        <v>17</v>
      </c>
    </row>
    <row r="949" spans="1:11" x14ac:dyDescent="0.25">
      <c r="A949" s="6" t="s">
        <v>988</v>
      </c>
      <c r="B949" s="6" t="s">
        <v>1991</v>
      </c>
      <c r="C949" s="6" t="s">
        <v>1288</v>
      </c>
      <c r="D949" s="6" t="s">
        <v>1296</v>
      </c>
      <c r="E949" s="6" t="s">
        <v>37</v>
      </c>
      <c r="F949" s="6" t="s">
        <v>38</v>
      </c>
      <c r="G949" s="6" t="s">
        <v>1265</v>
      </c>
      <c r="H949" s="6" t="s">
        <v>1342</v>
      </c>
      <c r="I949" s="6">
        <v>33846</v>
      </c>
      <c r="J949" s="6" t="s">
        <v>22</v>
      </c>
      <c r="K949" s="6" t="s">
        <v>1262</v>
      </c>
    </row>
    <row r="950" spans="1:11" x14ac:dyDescent="0.25">
      <c r="A950" s="5" t="s">
        <v>989</v>
      </c>
      <c r="B950" s="5" t="s">
        <v>1492</v>
      </c>
      <c r="C950" s="5" t="s">
        <v>53</v>
      </c>
      <c r="D950" s="5" t="s">
        <v>36</v>
      </c>
      <c r="E950" s="5" t="s">
        <v>49</v>
      </c>
      <c r="F950" s="5" t="s">
        <v>50</v>
      </c>
      <c r="G950" s="5" t="s">
        <v>1303</v>
      </c>
      <c r="H950" s="5" t="s">
        <v>1291</v>
      </c>
      <c r="I950" s="5">
        <v>46747</v>
      </c>
      <c r="J950" s="5" t="s">
        <v>22</v>
      </c>
      <c r="K950" s="5" t="s">
        <v>1286</v>
      </c>
    </row>
    <row r="951" spans="1:11" x14ac:dyDescent="0.25">
      <c r="A951" s="6" t="s">
        <v>990</v>
      </c>
      <c r="B951" s="6" t="s">
        <v>1782</v>
      </c>
      <c r="C951" s="6" t="s">
        <v>1264</v>
      </c>
      <c r="D951" s="6" t="s">
        <v>1283</v>
      </c>
      <c r="E951" s="6" t="s">
        <v>1389</v>
      </c>
      <c r="F951" s="6" t="s">
        <v>34</v>
      </c>
      <c r="G951" s="6" t="s">
        <v>1256</v>
      </c>
      <c r="H951" s="6" t="s">
        <v>1278</v>
      </c>
      <c r="I951" s="6">
        <v>24228</v>
      </c>
      <c r="J951" s="6" t="s">
        <v>22</v>
      </c>
      <c r="K951" s="6" t="s">
        <v>17</v>
      </c>
    </row>
    <row r="952" spans="1:11" x14ac:dyDescent="0.25">
      <c r="A952" s="5" t="s">
        <v>991</v>
      </c>
      <c r="B952" s="5" t="s">
        <v>1468</v>
      </c>
      <c r="C952" s="5" t="s">
        <v>53</v>
      </c>
      <c r="D952" s="5" t="s">
        <v>1296</v>
      </c>
      <c r="E952" s="5" t="s">
        <v>27</v>
      </c>
      <c r="F952" s="5" t="s">
        <v>28</v>
      </c>
      <c r="G952" s="5" t="s">
        <v>1297</v>
      </c>
      <c r="H952" s="5" t="s">
        <v>1266</v>
      </c>
      <c r="I952" s="5">
        <v>9181</v>
      </c>
      <c r="J952" s="5" t="s">
        <v>22</v>
      </c>
      <c r="K952" s="5" t="s">
        <v>1262</v>
      </c>
    </row>
    <row r="953" spans="1:11" x14ac:dyDescent="0.25">
      <c r="A953" s="6" t="s">
        <v>992</v>
      </c>
      <c r="B953" s="6" t="s">
        <v>1992</v>
      </c>
      <c r="C953" s="6" t="s">
        <v>62</v>
      </c>
      <c r="D953" s="6" t="s">
        <v>36</v>
      </c>
      <c r="E953" s="6" t="s">
        <v>55</v>
      </c>
      <c r="F953" s="6" t="s">
        <v>34</v>
      </c>
      <c r="G953" s="6" t="s">
        <v>1576</v>
      </c>
      <c r="H953" s="6" t="s">
        <v>1299</v>
      </c>
      <c r="I953" s="6">
        <v>27573</v>
      </c>
      <c r="J953" s="6" t="s">
        <v>16</v>
      </c>
      <c r="K953" s="6" t="s">
        <v>46</v>
      </c>
    </row>
    <row r="954" spans="1:11" x14ac:dyDescent="0.25">
      <c r="A954" s="5" t="s">
        <v>993</v>
      </c>
      <c r="B954" s="5" t="s">
        <v>1923</v>
      </c>
      <c r="C954" s="5" t="s">
        <v>48</v>
      </c>
      <c r="D954" s="5" t="s">
        <v>1275</v>
      </c>
      <c r="E954" s="5" t="s">
        <v>63</v>
      </c>
      <c r="F954" s="5" t="s">
        <v>59</v>
      </c>
      <c r="G954" s="5" t="s">
        <v>1301</v>
      </c>
      <c r="H954" s="5" t="s">
        <v>1308</v>
      </c>
      <c r="I954" s="5">
        <v>2720</v>
      </c>
      <c r="J954" s="5" t="s">
        <v>1267</v>
      </c>
      <c r="K954" s="5" t="s">
        <v>1273</v>
      </c>
    </row>
    <row r="955" spans="1:11" x14ac:dyDescent="0.25">
      <c r="A955" s="6" t="s">
        <v>994</v>
      </c>
      <c r="B955" s="6" t="s">
        <v>1993</v>
      </c>
      <c r="C955" s="6" t="s">
        <v>1269</v>
      </c>
      <c r="D955" s="6" t="s">
        <v>1283</v>
      </c>
      <c r="E955" s="6" t="s">
        <v>49</v>
      </c>
      <c r="F955" s="6" t="s">
        <v>50</v>
      </c>
      <c r="G955" s="6" t="s">
        <v>1405</v>
      </c>
      <c r="H955" s="6" t="s">
        <v>1291</v>
      </c>
      <c r="I955" s="6">
        <v>52376</v>
      </c>
      <c r="J955" s="6" t="s">
        <v>45</v>
      </c>
      <c r="K955" s="6" t="s">
        <v>1286</v>
      </c>
    </row>
    <row r="956" spans="1:11" x14ac:dyDescent="0.25">
      <c r="A956" s="5" t="s">
        <v>995</v>
      </c>
      <c r="B956" s="5" t="s">
        <v>1851</v>
      </c>
      <c r="C956" s="5" t="s">
        <v>73</v>
      </c>
      <c r="D956" s="5" t="s">
        <v>1275</v>
      </c>
      <c r="E956" s="5" t="s">
        <v>1489</v>
      </c>
      <c r="F956" s="5" t="s">
        <v>67</v>
      </c>
      <c r="G956" s="5" t="s">
        <v>1331</v>
      </c>
      <c r="H956" s="5" t="s">
        <v>1317</v>
      </c>
      <c r="I956" s="5">
        <v>1826</v>
      </c>
      <c r="J956" s="5" t="s">
        <v>1267</v>
      </c>
      <c r="K956" s="5" t="s">
        <v>1262</v>
      </c>
    </row>
    <row r="957" spans="1:11" x14ac:dyDescent="0.25">
      <c r="A957" s="6" t="s">
        <v>996</v>
      </c>
      <c r="B957" s="6" t="s">
        <v>1534</v>
      </c>
      <c r="C957" s="6" t="s">
        <v>73</v>
      </c>
      <c r="D957" s="6" t="s">
        <v>1270</v>
      </c>
      <c r="E957" s="6" t="s">
        <v>27</v>
      </c>
      <c r="F957" s="6" t="s">
        <v>28</v>
      </c>
      <c r="G957" s="6" t="s">
        <v>1271</v>
      </c>
      <c r="H957" s="6" t="s">
        <v>1458</v>
      </c>
      <c r="I957" s="6">
        <v>9353</v>
      </c>
      <c r="J957" s="6" t="s">
        <v>1267</v>
      </c>
      <c r="K957" s="6" t="s">
        <v>1286</v>
      </c>
    </row>
    <row r="958" spans="1:11" x14ac:dyDescent="0.25">
      <c r="A958" s="5" t="s">
        <v>997</v>
      </c>
      <c r="B958" s="5" t="s">
        <v>1994</v>
      </c>
      <c r="C958" s="5" t="s">
        <v>1259</v>
      </c>
      <c r="D958" s="5" t="s">
        <v>36</v>
      </c>
      <c r="E958" s="5" t="s">
        <v>63</v>
      </c>
      <c r="F958" s="5" t="s">
        <v>59</v>
      </c>
      <c r="G958" s="5" t="s">
        <v>1307</v>
      </c>
      <c r="H958" s="5" t="s">
        <v>1308</v>
      </c>
      <c r="I958" s="5">
        <v>3016</v>
      </c>
      <c r="J958" s="5" t="s">
        <v>45</v>
      </c>
      <c r="K958" s="5" t="s">
        <v>46</v>
      </c>
    </row>
    <row r="959" spans="1:11" x14ac:dyDescent="0.25">
      <c r="A959" s="6" t="s">
        <v>998</v>
      </c>
      <c r="B959" s="6" t="s">
        <v>1645</v>
      </c>
      <c r="C959" s="6" t="s">
        <v>53</v>
      </c>
      <c r="D959" s="6" t="s">
        <v>1275</v>
      </c>
      <c r="E959" s="6" t="s">
        <v>49</v>
      </c>
      <c r="F959" s="6" t="s">
        <v>50</v>
      </c>
      <c r="G959" s="6" t="s">
        <v>1315</v>
      </c>
      <c r="H959" s="6" t="s">
        <v>1291</v>
      </c>
      <c r="I959" s="6">
        <v>53038</v>
      </c>
      <c r="J959" s="6" t="s">
        <v>22</v>
      </c>
      <c r="K959" s="6" t="s">
        <v>1262</v>
      </c>
    </row>
    <row r="960" spans="1:11" x14ac:dyDescent="0.25">
      <c r="A960" s="5" t="s">
        <v>999</v>
      </c>
      <c r="B960" s="5" t="s">
        <v>1995</v>
      </c>
      <c r="C960" s="5" t="s">
        <v>62</v>
      </c>
      <c r="D960" s="5" t="s">
        <v>1275</v>
      </c>
      <c r="E960" s="5" t="s">
        <v>37</v>
      </c>
      <c r="F960" s="5" t="s">
        <v>38</v>
      </c>
      <c r="G960" s="5" t="s">
        <v>1260</v>
      </c>
      <c r="H960" s="5" t="s">
        <v>1367</v>
      </c>
      <c r="I960" s="5">
        <v>43521</v>
      </c>
      <c r="J960" s="5" t="s">
        <v>22</v>
      </c>
      <c r="K960" s="5" t="s">
        <v>1273</v>
      </c>
    </row>
    <row r="961" spans="1:11" x14ac:dyDescent="0.25">
      <c r="A961" s="6" t="s">
        <v>1000</v>
      </c>
      <c r="B961" s="6" t="s">
        <v>1996</v>
      </c>
      <c r="C961" s="6" t="s">
        <v>62</v>
      </c>
      <c r="D961" s="6" t="s">
        <v>1296</v>
      </c>
      <c r="E961" s="6" t="s">
        <v>1306</v>
      </c>
      <c r="F961" s="6" t="s">
        <v>59</v>
      </c>
      <c r="G961" s="6" t="s">
        <v>1684</v>
      </c>
      <c r="H961" s="6" t="s">
        <v>1320</v>
      </c>
      <c r="I961" s="6">
        <v>3288</v>
      </c>
      <c r="J961" s="6" t="s">
        <v>29</v>
      </c>
      <c r="K961" s="6" t="s">
        <v>46</v>
      </c>
    </row>
    <row r="962" spans="1:11" x14ac:dyDescent="0.25">
      <c r="A962" s="5" t="s">
        <v>1001</v>
      </c>
      <c r="B962" s="5" t="s">
        <v>1997</v>
      </c>
      <c r="C962" s="5" t="s">
        <v>62</v>
      </c>
      <c r="D962" s="5" t="s">
        <v>1283</v>
      </c>
      <c r="E962" s="5" t="s">
        <v>37</v>
      </c>
      <c r="F962" s="5" t="s">
        <v>38</v>
      </c>
      <c r="G962" s="5" t="s">
        <v>1277</v>
      </c>
      <c r="H962" s="5" t="s">
        <v>1281</v>
      </c>
      <c r="I962" s="5">
        <v>35844</v>
      </c>
      <c r="J962" s="5" t="s">
        <v>45</v>
      </c>
      <c r="K962" s="5" t="s">
        <v>1286</v>
      </c>
    </row>
    <row r="963" spans="1:11" x14ac:dyDescent="0.25">
      <c r="A963" s="6" t="s">
        <v>1002</v>
      </c>
      <c r="B963" s="6" t="s">
        <v>1826</v>
      </c>
      <c r="C963" s="6" t="s">
        <v>1254</v>
      </c>
      <c r="D963" s="6" t="s">
        <v>26</v>
      </c>
      <c r="E963" s="6" t="s">
        <v>63</v>
      </c>
      <c r="F963" s="6" t="s">
        <v>59</v>
      </c>
      <c r="G963" s="6" t="s">
        <v>1315</v>
      </c>
      <c r="H963" s="6" t="s">
        <v>1308</v>
      </c>
      <c r="I963" s="6">
        <v>2764</v>
      </c>
      <c r="J963" s="6" t="s">
        <v>29</v>
      </c>
      <c r="K963" s="6" t="s">
        <v>1286</v>
      </c>
    </row>
    <row r="964" spans="1:11" x14ac:dyDescent="0.25">
      <c r="A964" s="5" t="s">
        <v>1003</v>
      </c>
      <c r="B964" s="5" t="s">
        <v>1420</v>
      </c>
      <c r="C964" s="5" t="s">
        <v>1259</v>
      </c>
      <c r="D964" s="5" t="s">
        <v>1255</v>
      </c>
      <c r="E964" s="5" t="s">
        <v>37</v>
      </c>
      <c r="F964" s="5" t="s">
        <v>38</v>
      </c>
      <c r="G964" s="5" t="s">
        <v>1364</v>
      </c>
      <c r="H964" s="5" t="s">
        <v>1281</v>
      </c>
      <c r="I964" s="5">
        <v>38011</v>
      </c>
      <c r="J964" s="5" t="s">
        <v>22</v>
      </c>
      <c r="K964" s="5" t="s">
        <v>1262</v>
      </c>
    </row>
    <row r="965" spans="1:11" x14ac:dyDescent="0.25">
      <c r="A965" s="6" t="s">
        <v>1004</v>
      </c>
      <c r="B965" s="6" t="s">
        <v>1548</v>
      </c>
      <c r="C965" s="6" t="s">
        <v>1288</v>
      </c>
      <c r="D965" s="6" t="s">
        <v>26</v>
      </c>
      <c r="E965" s="6" t="s">
        <v>49</v>
      </c>
      <c r="F965" s="6" t="s">
        <v>50</v>
      </c>
      <c r="G965" s="6" t="s">
        <v>1277</v>
      </c>
      <c r="H965" s="6" t="s">
        <v>1359</v>
      </c>
      <c r="I965" s="6">
        <v>54319</v>
      </c>
      <c r="J965" s="6" t="s">
        <v>29</v>
      </c>
      <c r="K965" s="6" t="s">
        <v>17</v>
      </c>
    </row>
    <row r="966" spans="1:11" x14ac:dyDescent="0.25">
      <c r="A966" s="5" t="s">
        <v>1005</v>
      </c>
      <c r="B966" s="5" t="s">
        <v>1998</v>
      </c>
      <c r="C966" s="5" t="s">
        <v>1288</v>
      </c>
      <c r="D966" s="5" t="s">
        <v>26</v>
      </c>
      <c r="E966" s="5" t="s">
        <v>1389</v>
      </c>
      <c r="F966" s="5" t="s">
        <v>34</v>
      </c>
      <c r="G966" s="5" t="s">
        <v>1315</v>
      </c>
      <c r="H966" s="5" t="s">
        <v>1278</v>
      </c>
      <c r="I966" s="5">
        <v>27361</v>
      </c>
      <c r="J966" s="5" t="s">
        <v>16</v>
      </c>
      <c r="K966" s="5" t="s">
        <v>1286</v>
      </c>
    </row>
    <row r="967" spans="1:11" x14ac:dyDescent="0.25">
      <c r="A967" s="6" t="s">
        <v>1006</v>
      </c>
      <c r="B967" s="6" t="s">
        <v>1999</v>
      </c>
      <c r="C967" s="6" t="s">
        <v>73</v>
      </c>
      <c r="D967" s="6" t="s">
        <v>1283</v>
      </c>
      <c r="E967" s="6" t="s">
        <v>49</v>
      </c>
      <c r="F967" s="6" t="s">
        <v>50</v>
      </c>
      <c r="G967" s="6" t="s">
        <v>1271</v>
      </c>
      <c r="H967" s="6" t="s">
        <v>1304</v>
      </c>
      <c r="I967" s="6">
        <v>58709</v>
      </c>
      <c r="J967" s="6" t="s">
        <v>1267</v>
      </c>
      <c r="K967" s="6" t="s">
        <v>17</v>
      </c>
    </row>
    <row r="968" spans="1:11" x14ac:dyDescent="0.25">
      <c r="A968" s="5" t="s">
        <v>1007</v>
      </c>
      <c r="B968" s="5" t="s">
        <v>2000</v>
      </c>
      <c r="C968" s="5" t="s">
        <v>48</v>
      </c>
      <c r="D968" s="5" t="s">
        <v>36</v>
      </c>
      <c r="E968" s="5" t="s">
        <v>55</v>
      </c>
      <c r="F968" s="5" t="s">
        <v>34</v>
      </c>
      <c r="G968" s="5" t="s">
        <v>1380</v>
      </c>
      <c r="H968" s="5" t="s">
        <v>1278</v>
      </c>
      <c r="I968" s="5">
        <v>22118</v>
      </c>
      <c r="J968" s="5" t="s">
        <v>1267</v>
      </c>
      <c r="K968" s="5" t="s">
        <v>1262</v>
      </c>
    </row>
    <row r="969" spans="1:11" x14ac:dyDescent="0.25">
      <c r="A969" s="6" t="s">
        <v>1008</v>
      </c>
      <c r="B969" s="6" t="s">
        <v>2001</v>
      </c>
      <c r="C969" s="6" t="s">
        <v>53</v>
      </c>
      <c r="D969" s="6" t="s">
        <v>1270</v>
      </c>
      <c r="E969" s="6" t="s">
        <v>49</v>
      </c>
      <c r="F969" s="6" t="s">
        <v>50</v>
      </c>
      <c r="G969" s="6" t="s">
        <v>1475</v>
      </c>
      <c r="H969" s="6" t="s">
        <v>1359</v>
      </c>
      <c r="I969" s="6">
        <v>54473</v>
      </c>
      <c r="J969" s="6" t="s">
        <v>45</v>
      </c>
      <c r="K969" s="6" t="s">
        <v>1273</v>
      </c>
    </row>
    <row r="970" spans="1:11" x14ac:dyDescent="0.25">
      <c r="A970" s="5" t="s">
        <v>1009</v>
      </c>
      <c r="B970" s="5" t="s">
        <v>1952</v>
      </c>
      <c r="C970" s="5" t="s">
        <v>48</v>
      </c>
      <c r="D970" s="5" t="s">
        <v>1296</v>
      </c>
      <c r="E970" s="5" t="s">
        <v>14</v>
      </c>
      <c r="F970" s="5" t="s">
        <v>15</v>
      </c>
      <c r="G970" s="5" t="s">
        <v>1277</v>
      </c>
      <c r="H970" s="5" t="s">
        <v>1257</v>
      </c>
      <c r="I970" s="5">
        <v>7505</v>
      </c>
      <c r="J970" s="5" t="s">
        <v>22</v>
      </c>
      <c r="K970" s="5" t="s">
        <v>1262</v>
      </c>
    </row>
    <row r="971" spans="1:11" x14ac:dyDescent="0.25">
      <c r="A971" s="6" t="s">
        <v>1010</v>
      </c>
      <c r="B971" s="6" t="s">
        <v>1582</v>
      </c>
      <c r="C971" s="6" t="s">
        <v>48</v>
      </c>
      <c r="D971" s="6" t="s">
        <v>1255</v>
      </c>
      <c r="E971" s="6" t="s">
        <v>1389</v>
      </c>
      <c r="F971" s="6" t="s">
        <v>34</v>
      </c>
      <c r="G971" s="6" t="s">
        <v>1265</v>
      </c>
      <c r="H971" s="6" t="s">
        <v>1278</v>
      </c>
      <c r="I971" s="6">
        <v>25944</v>
      </c>
      <c r="J971" s="6" t="s">
        <v>1267</v>
      </c>
      <c r="K971" s="6" t="s">
        <v>1286</v>
      </c>
    </row>
    <row r="972" spans="1:11" x14ac:dyDescent="0.25">
      <c r="A972" s="5" t="s">
        <v>1011</v>
      </c>
      <c r="B972" s="5" t="s">
        <v>1470</v>
      </c>
      <c r="C972" s="5" t="s">
        <v>62</v>
      </c>
      <c r="D972" s="5" t="s">
        <v>1296</v>
      </c>
      <c r="E972" s="5" t="s">
        <v>27</v>
      </c>
      <c r="F972" s="5" t="s">
        <v>28</v>
      </c>
      <c r="G972" s="5" t="s">
        <v>1303</v>
      </c>
      <c r="H972" s="5" t="s">
        <v>1266</v>
      </c>
      <c r="I972" s="5">
        <v>10197</v>
      </c>
      <c r="J972" s="5" t="s">
        <v>29</v>
      </c>
      <c r="K972" s="5" t="s">
        <v>1273</v>
      </c>
    </row>
    <row r="973" spans="1:11" x14ac:dyDescent="0.25">
      <c r="A973" s="6" t="s">
        <v>1012</v>
      </c>
      <c r="B973" s="6" t="s">
        <v>1547</v>
      </c>
      <c r="C973" s="6" t="s">
        <v>1259</v>
      </c>
      <c r="D973" s="6" t="s">
        <v>1255</v>
      </c>
      <c r="E973" s="6" t="s">
        <v>49</v>
      </c>
      <c r="F973" s="6" t="s">
        <v>50</v>
      </c>
      <c r="G973" s="6" t="s">
        <v>1307</v>
      </c>
      <c r="H973" s="6" t="s">
        <v>1359</v>
      </c>
      <c r="I973" s="6">
        <v>46238</v>
      </c>
      <c r="J973" s="6" t="s">
        <v>29</v>
      </c>
      <c r="K973" s="6" t="s">
        <v>1262</v>
      </c>
    </row>
    <row r="974" spans="1:11" x14ac:dyDescent="0.25">
      <c r="A974" s="5" t="s">
        <v>1013</v>
      </c>
      <c r="B974" s="5" t="s">
        <v>1516</v>
      </c>
      <c r="C974" s="5" t="s">
        <v>1264</v>
      </c>
      <c r="D974" s="5" t="s">
        <v>1283</v>
      </c>
      <c r="E974" s="5" t="s">
        <v>14</v>
      </c>
      <c r="F974" s="5" t="s">
        <v>15</v>
      </c>
      <c r="G974" s="5" t="s">
        <v>1405</v>
      </c>
      <c r="H974" s="5" t="s">
        <v>1347</v>
      </c>
      <c r="I974" s="5">
        <v>7534</v>
      </c>
      <c r="J974" s="5" t="s">
        <v>45</v>
      </c>
      <c r="K974" s="5" t="s">
        <v>17</v>
      </c>
    </row>
    <row r="975" spans="1:11" x14ac:dyDescent="0.25">
      <c r="A975" s="6" t="s">
        <v>1014</v>
      </c>
      <c r="B975" s="6" t="s">
        <v>1417</v>
      </c>
      <c r="C975" s="6" t="s">
        <v>1254</v>
      </c>
      <c r="D975" s="6" t="s">
        <v>1283</v>
      </c>
      <c r="E975" s="6" t="s">
        <v>55</v>
      </c>
      <c r="F975" s="6" t="s">
        <v>34</v>
      </c>
      <c r="G975" s="6" t="s">
        <v>1280</v>
      </c>
      <c r="H975" s="6" t="s">
        <v>1278</v>
      </c>
      <c r="I975" s="6">
        <v>26996</v>
      </c>
      <c r="J975" s="6" t="s">
        <v>22</v>
      </c>
      <c r="K975" s="6" t="s">
        <v>1286</v>
      </c>
    </row>
    <row r="976" spans="1:11" x14ac:dyDescent="0.25">
      <c r="A976" s="5" t="s">
        <v>1015</v>
      </c>
      <c r="B976" s="5" t="s">
        <v>1696</v>
      </c>
      <c r="C976" s="5" t="s">
        <v>48</v>
      </c>
      <c r="D976" s="5" t="s">
        <v>36</v>
      </c>
      <c r="E976" s="5" t="s">
        <v>1636</v>
      </c>
      <c r="F976" s="5" t="s">
        <v>50</v>
      </c>
      <c r="G976" s="5" t="s">
        <v>1303</v>
      </c>
      <c r="H976" s="5" t="s">
        <v>1291</v>
      </c>
      <c r="I976" s="5">
        <v>59760</v>
      </c>
      <c r="J976" s="5" t="s">
        <v>16</v>
      </c>
      <c r="K976" s="5" t="s">
        <v>1273</v>
      </c>
    </row>
    <row r="977" spans="1:11" x14ac:dyDescent="0.25">
      <c r="A977" s="6" t="s">
        <v>1016</v>
      </c>
      <c r="B977" s="6" t="s">
        <v>1282</v>
      </c>
      <c r="C977" s="6" t="s">
        <v>1269</v>
      </c>
      <c r="D977" s="6" t="s">
        <v>1275</v>
      </c>
      <c r="E977" s="6" t="s">
        <v>41</v>
      </c>
      <c r="F977" s="6" t="s">
        <v>42</v>
      </c>
      <c r="G977" s="6" t="s">
        <v>1576</v>
      </c>
      <c r="H977" s="6" t="s">
        <v>1311</v>
      </c>
      <c r="I977" s="6">
        <v>18763</v>
      </c>
      <c r="J977" s="6" t="s">
        <v>16</v>
      </c>
      <c r="K977" s="6" t="s">
        <v>1286</v>
      </c>
    </row>
    <row r="978" spans="1:11" x14ac:dyDescent="0.25">
      <c r="A978" s="5" t="s">
        <v>1017</v>
      </c>
      <c r="B978" s="5" t="s">
        <v>1585</v>
      </c>
      <c r="C978" s="5" t="s">
        <v>73</v>
      </c>
      <c r="D978" s="5" t="s">
        <v>36</v>
      </c>
      <c r="E978" s="5" t="s">
        <v>14</v>
      </c>
      <c r="F978" s="5" t="s">
        <v>15</v>
      </c>
      <c r="G978" s="5" t="s">
        <v>1315</v>
      </c>
      <c r="H978" s="5" t="s">
        <v>1257</v>
      </c>
      <c r="I978" s="5">
        <v>9091</v>
      </c>
      <c r="J978" s="5" t="s">
        <v>22</v>
      </c>
      <c r="K978" s="5" t="s">
        <v>1286</v>
      </c>
    </row>
    <row r="979" spans="1:11" x14ac:dyDescent="0.25">
      <c r="A979" s="6" t="s">
        <v>1018</v>
      </c>
      <c r="B979" s="6" t="s">
        <v>2002</v>
      </c>
      <c r="C979" s="6" t="s">
        <v>1259</v>
      </c>
      <c r="D979" s="6" t="s">
        <v>1270</v>
      </c>
      <c r="E979" s="6" t="s">
        <v>14</v>
      </c>
      <c r="F979" s="6" t="s">
        <v>15</v>
      </c>
      <c r="G979" s="6" t="s">
        <v>1405</v>
      </c>
      <c r="H979" s="6" t="s">
        <v>1257</v>
      </c>
      <c r="I979" s="6">
        <v>8721</v>
      </c>
      <c r="J979" s="6" t="s">
        <v>45</v>
      </c>
      <c r="K979" s="6" t="s">
        <v>46</v>
      </c>
    </row>
    <row r="980" spans="1:11" x14ac:dyDescent="0.25">
      <c r="A980" s="5" t="s">
        <v>1019</v>
      </c>
      <c r="B980" s="5" t="s">
        <v>2003</v>
      </c>
      <c r="C980" s="5" t="s">
        <v>1269</v>
      </c>
      <c r="D980" s="5" t="s">
        <v>36</v>
      </c>
      <c r="E980" s="5" t="s">
        <v>37</v>
      </c>
      <c r="F980" s="5" t="s">
        <v>38</v>
      </c>
      <c r="G980" s="5" t="s">
        <v>1380</v>
      </c>
      <c r="H980" s="5" t="s">
        <v>1281</v>
      </c>
      <c r="I980" s="5">
        <v>36922</v>
      </c>
      <c r="J980" s="5" t="s">
        <v>1267</v>
      </c>
      <c r="K980" s="5" t="s">
        <v>1286</v>
      </c>
    </row>
    <row r="981" spans="1:11" x14ac:dyDescent="0.25">
      <c r="A981" s="6" t="s">
        <v>1020</v>
      </c>
      <c r="B981" s="6" t="s">
        <v>1464</v>
      </c>
      <c r="C981" s="6" t="s">
        <v>73</v>
      </c>
      <c r="D981" s="6"/>
      <c r="E981" s="6" t="s">
        <v>1276</v>
      </c>
      <c r="F981" s="6" t="s">
        <v>34</v>
      </c>
      <c r="G981" s="6" t="s">
        <v>1280</v>
      </c>
      <c r="H981" s="6" t="s">
        <v>1299</v>
      </c>
      <c r="I981" s="6">
        <v>26750</v>
      </c>
      <c r="J981" s="6" t="s">
        <v>22</v>
      </c>
      <c r="K981" s="6" t="s">
        <v>46</v>
      </c>
    </row>
    <row r="982" spans="1:11" x14ac:dyDescent="0.25">
      <c r="A982" s="5" t="s">
        <v>1021</v>
      </c>
      <c r="B982" s="5" t="s">
        <v>1592</v>
      </c>
      <c r="C982" s="5" t="s">
        <v>48</v>
      </c>
      <c r="D982" s="5" t="s">
        <v>1283</v>
      </c>
      <c r="E982" s="5" t="s">
        <v>14</v>
      </c>
      <c r="F982" s="5" t="s">
        <v>15</v>
      </c>
      <c r="G982" s="5" t="s">
        <v>1265</v>
      </c>
      <c r="H982" s="5" t="s">
        <v>1257</v>
      </c>
      <c r="I982" s="5">
        <v>9262</v>
      </c>
      <c r="J982" s="5" t="s">
        <v>16</v>
      </c>
      <c r="K982" s="5" t="s">
        <v>1262</v>
      </c>
    </row>
    <row r="983" spans="1:11" x14ac:dyDescent="0.25">
      <c r="A983" s="6" t="s">
        <v>1022</v>
      </c>
      <c r="B983" s="6" t="s">
        <v>1883</v>
      </c>
      <c r="C983" s="6" t="s">
        <v>62</v>
      </c>
      <c r="D983" s="6" t="s">
        <v>1255</v>
      </c>
      <c r="E983" s="6" t="s">
        <v>14</v>
      </c>
      <c r="F983" s="6" t="s">
        <v>15</v>
      </c>
      <c r="G983" s="6" t="s">
        <v>1297</v>
      </c>
      <c r="H983" s="6" t="s">
        <v>1257</v>
      </c>
      <c r="I983" s="6">
        <v>8015</v>
      </c>
      <c r="J983" s="6" t="s">
        <v>29</v>
      </c>
      <c r="K983" s="6" t="s">
        <v>1262</v>
      </c>
    </row>
    <row r="984" spans="1:11" x14ac:dyDescent="0.25">
      <c r="A984" s="5" t="s">
        <v>1023</v>
      </c>
      <c r="B984" s="5" t="s">
        <v>1717</v>
      </c>
      <c r="C984" s="5" t="s">
        <v>1259</v>
      </c>
      <c r="D984" s="5" t="s">
        <v>1255</v>
      </c>
      <c r="E984" s="5" t="s">
        <v>20</v>
      </c>
      <c r="F984" s="5" t="s">
        <v>21</v>
      </c>
      <c r="G984" s="5" t="s">
        <v>1297</v>
      </c>
      <c r="H984" s="5" t="s">
        <v>1261</v>
      </c>
      <c r="I984" s="5">
        <v>6397</v>
      </c>
      <c r="J984" s="5" t="s">
        <v>29</v>
      </c>
      <c r="K984" s="5" t="s">
        <v>1262</v>
      </c>
    </row>
    <row r="985" spans="1:11" x14ac:dyDescent="0.25">
      <c r="A985" s="6" t="s">
        <v>1024</v>
      </c>
      <c r="B985" s="6" t="s">
        <v>2004</v>
      </c>
      <c r="C985" s="6" t="s">
        <v>62</v>
      </c>
      <c r="D985" s="6" t="s">
        <v>1255</v>
      </c>
      <c r="E985" s="6" t="s">
        <v>55</v>
      </c>
      <c r="F985" s="6" t="s">
        <v>34</v>
      </c>
      <c r="G985" s="6" t="s">
        <v>1289</v>
      </c>
      <c r="H985" s="6" t="s">
        <v>1299</v>
      </c>
      <c r="I985" s="6">
        <v>24788</v>
      </c>
      <c r="J985" s="6" t="s">
        <v>16</v>
      </c>
      <c r="K985" s="6" t="s">
        <v>1262</v>
      </c>
    </row>
    <row r="986" spans="1:11" x14ac:dyDescent="0.25">
      <c r="A986" s="5" t="s">
        <v>1025</v>
      </c>
      <c r="B986" s="5" t="s">
        <v>2005</v>
      </c>
      <c r="C986" s="5" t="s">
        <v>62</v>
      </c>
      <c r="D986" s="5" t="s">
        <v>1296</v>
      </c>
      <c r="E986" s="5" t="s">
        <v>1319</v>
      </c>
      <c r="F986" s="5" t="s">
        <v>59</v>
      </c>
      <c r="G986" s="5" t="s">
        <v>1265</v>
      </c>
      <c r="H986" s="5" t="s">
        <v>1308</v>
      </c>
      <c r="I986" s="5">
        <v>2889</v>
      </c>
      <c r="J986" s="5" t="s">
        <v>29</v>
      </c>
      <c r="K986" s="5" t="s">
        <v>1262</v>
      </c>
    </row>
    <row r="987" spans="1:11" x14ac:dyDescent="0.25">
      <c r="A987" s="6" t="s">
        <v>1026</v>
      </c>
      <c r="B987" s="6" t="s">
        <v>1409</v>
      </c>
      <c r="C987" s="6" t="s">
        <v>1269</v>
      </c>
      <c r="D987" s="6" t="s">
        <v>1283</v>
      </c>
      <c r="E987" s="6" t="s">
        <v>20</v>
      </c>
      <c r="F987" s="6" t="s">
        <v>21</v>
      </c>
      <c r="G987" s="6" t="s">
        <v>1315</v>
      </c>
      <c r="H987" s="6" t="s">
        <v>1261</v>
      </c>
      <c r="I987" s="6">
        <v>6120</v>
      </c>
      <c r="J987" s="6" t="s">
        <v>1267</v>
      </c>
      <c r="K987" s="6" t="s">
        <v>1286</v>
      </c>
    </row>
    <row r="988" spans="1:11" x14ac:dyDescent="0.25">
      <c r="A988" s="5" t="s">
        <v>1027</v>
      </c>
      <c r="B988" s="5" t="s">
        <v>1732</v>
      </c>
      <c r="C988" s="5" t="s">
        <v>1269</v>
      </c>
      <c r="D988" s="5" t="s">
        <v>1275</v>
      </c>
      <c r="E988" s="5" t="s">
        <v>27</v>
      </c>
      <c r="F988" s="5" t="s">
        <v>28</v>
      </c>
      <c r="G988" s="5" t="s">
        <v>1277</v>
      </c>
      <c r="H988" s="5" t="s">
        <v>1356</v>
      </c>
      <c r="I988" s="5">
        <v>9350</v>
      </c>
      <c r="J988" s="5" t="s">
        <v>29</v>
      </c>
      <c r="K988" s="5" t="s">
        <v>46</v>
      </c>
    </row>
    <row r="989" spans="1:11" x14ac:dyDescent="0.25">
      <c r="A989" s="6" t="s">
        <v>1028</v>
      </c>
      <c r="B989" s="6" t="s">
        <v>1447</v>
      </c>
      <c r="C989" s="6" t="s">
        <v>1264</v>
      </c>
      <c r="D989" s="6" t="s">
        <v>1296</v>
      </c>
      <c r="E989" s="6" t="s">
        <v>20</v>
      </c>
      <c r="F989" s="6" t="s">
        <v>21</v>
      </c>
      <c r="G989" s="6" t="s">
        <v>1313</v>
      </c>
      <c r="H989" s="6" t="s">
        <v>1377</v>
      </c>
      <c r="I989" s="6">
        <v>6239</v>
      </c>
      <c r="J989" s="6" t="s">
        <v>16</v>
      </c>
      <c r="K989" s="6" t="s">
        <v>1273</v>
      </c>
    </row>
    <row r="990" spans="1:11" x14ac:dyDescent="0.25">
      <c r="A990" s="5" t="s">
        <v>1029</v>
      </c>
      <c r="B990" s="5" t="s">
        <v>1534</v>
      </c>
      <c r="C990" s="5" t="s">
        <v>73</v>
      </c>
      <c r="D990" s="5" t="s">
        <v>36</v>
      </c>
      <c r="E990" s="5" t="s">
        <v>49</v>
      </c>
      <c r="F990" s="5" t="s">
        <v>50</v>
      </c>
      <c r="G990" s="5" t="s">
        <v>1364</v>
      </c>
      <c r="H990" s="5" t="s">
        <v>1291</v>
      </c>
      <c r="I990" s="5">
        <v>45480</v>
      </c>
      <c r="J990" s="5" t="s">
        <v>1267</v>
      </c>
      <c r="K990" s="5" t="s">
        <v>46</v>
      </c>
    </row>
    <row r="991" spans="1:11" x14ac:dyDescent="0.25">
      <c r="A991" s="6" t="s">
        <v>2006</v>
      </c>
      <c r="B991" s="6" t="s">
        <v>2007</v>
      </c>
      <c r="C991" s="6" t="s">
        <v>1264</v>
      </c>
      <c r="D991" s="6" t="s">
        <v>1296</v>
      </c>
      <c r="E991" s="6" t="s">
        <v>1353</v>
      </c>
      <c r="F991" s="6" t="s">
        <v>59</v>
      </c>
      <c r="G991" s="6" t="s">
        <v>1760</v>
      </c>
      <c r="H991" s="6" t="s">
        <v>1308</v>
      </c>
      <c r="I991" s="6">
        <v>3474</v>
      </c>
      <c r="J991" s="6" t="s">
        <v>45</v>
      </c>
      <c r="K991" s="6"/>
    </row>
    <row r="992" spans="1:11" x14ac:dyDescent="0.25">
      <c r="A992" s="5" t="s">
        <v>1030</v>
      </c>
      <c r="B992" s="5" t="s">
        <v>1492</v>
      </c>
      <c r="C992" s="5" t="s">
        <v>62</v>
      </c>
      <c r="D992" s="5" t="s">
        <v>1270</v>
      </c>
      <c r="E992" s="5" t="s">
        <v>41</v>
      </c>
      <c r="F992" s="5" t="s">
        <v>42</v>
      </c>
      <c r="G992" s="5" t="s">
        <v>1294</v>
      </c>
      <c r="H992" s="5" t="s">
        <v>1325</v>
      </c>
      <c r="I992" s="5">
        <v>21254</v>
      </c>
      <c r="J992" s="5" t="s">
        <v>22</v>
      </c>
      <c r="K992" s="5" t="s">
        <v>46</v>
      </c>
    </row>
    <row r="993" spans="1:11" x14ac:dyDescent="0.25">
      <c r="A993" s="6" t="s">
        <v>1031</v>
      </c>
      <c r="B993" s="6" t="s">
        <v>1424</v>
      </c>
      <c r="C993" s="6" t="s">
        <v>62</v>
      </c>
      <c r="D993" s="6" t="s">
        <v>36</v>
      </c>
      <c r="E993" s="6" t="s">
        <v>49</v>
      </c>
      <c r="F993" s="6" t="s">
        <v>50</v>
      </c>
      <c r="G993" s="6" t="s">
        <v>1684</v>
      </c>
      <c r="H993" s="6" t="s">
        <v>1359</v>
      </c>
      <c r="I993" s="6">
        <v>48594</v>
      </c>
      <c r="J993" s="6" t="s">
        <v>45</v>
      </c>
      <c r="K993" s="6" t="s">
        <v>17</v>
      </c>
    </row>
    <row r="994" spans="1:11" x14ac:dyDescent="0.25">
      <c r="A994" s="5" t="s">
        <v>1032</v>
      </c>
      <c r="B994" s="5" t="s">
        <v>1500</v>
      </c>
      <c r="C994" s="5" t="s">
        <v>1269</v>
      </c>
      <c r="D994" s="5" t="s">
        <v>26</v>
      </c>
      <c r="E994" s="5" t="s">
        <v>14</v>
      </c>
      <c r="F994" s="5" t="s">
        <v>15</v>
      </c>
      <c r="G994" s="5" t="s">
        <v>1405</v>
      </c>
      <c r="H994" s="5" t="s">
        <v>1257</v>
      </c>
      <c r="I994" s="5">
        <v>7957</v>
      </c>
      <c r="J994" s="5" t="s">
        <v>29</v>
      </c>
      <c r="K994" s="5" t="s">
        <v>46</v>
      </c>
    </row>
    <row r="995" spans="1:11" x14ac:dyDescent="0.25">
      <c r="A995" s="6" t="s">
        <v>1033</v>
      </c>
      <c r="B995" s="6" t="s">
        <v>1944</v>
      </c>
      <c r="C995" s="6" t="s">
        <v>73</v>
      </c>
      <c r="D995" s="6" t="s">
        <v>1275</v>
      </c>
      <c r="E995" s="6" t="s">
        <v>49</v>
      </c>
      <c r="F995" s="6" t="s">
        <v>50</v>
      </c>
      <c r="G995" s="6" t="s">
        <v>1284</v>
      </c>
      <c r="H995" s="6" t="s">
        <v>1304</v>
      </c>
      <c r="I995" s="6">
        <v>55585</v>
      </c>
      <c r="J995" s="6" t="s">
        <v>1267</v>
      </c>
      <c r="K995" s="6" t="s">
        <v>17</v>
      </c>
    </row>
    <row r="996" spans="1:11" x14ac:dyDescent="0.25">
      <c r="A996" s="5" t="s">
        <v>1034</v>
      </c>
      <c r="B996" s="5" t="s">
        <v>1379</v>
      </c>
      <c r="C996" s="5" t="s">
        <v>48</v>
      </c>
      <c r="D996" s="5" t="s">
        <v>26</v>
      </c>
      <c r="E996" s="5" t="s">
        <v>1587</v>
      </c>
      <c r="F996" s="5" t="s">
        <v>21</v>
      </c>
      <c r="G996" s="5" t="s">
        <v>1405</v>
      </c>
      <c r="H996" s="5" t="s">
        <v>1261</v>
      </c>
      <c r="I996" s="5">
        <v>5257</v>
      </c>
      <c r="J996" s="5" t="s">
        <v>22</v>
      </c>
      <c r="K996" s="5" t="s">
        <v>17</v>
      </c>
    </row>
    <row r="997" spans="1:11" x14ac:dyDescent="0.25">
      <c r="A997" s="6" t="s">
        <v>1035</v>
      </c>
      <c r="B997" s="6" t="s">
        <v>2008</v>
      </c>
      <c r="C997" s="6" t="s">
        <v>73</v>
      </c>
      <c r="D997" s="6" t="s">
        <v>1255</v>
      </c>
      <c r="E997" s="6" t="s">
        <v>20</v>
      </c>
      <c r="F997" s="6" t="s">
        <v>21</v>
      </c>
      <c r="G997" s="6" t="s">
        <v>1315</v>
      </c>
      <c r="H997" s="6" t="s">
        <v>1377</v>
      </c>
      <c r="I997" s="6">
        <v>6691</v>
      </c>
      <c r="J997" s="6" t="s">
        <v>45</v>
      </c>
      <c r="K997" s="6" t="s">
        <v>1273</v>
      </c>
    </row>
    <row r="998" spans="1:11" x14ac:dyDescent="0.25">
      <c r="A998" s="5" t="s">
        <v>1036</v>
      </c>
      <c r="B998" s="5" t="s">
        <v>1628</v>
      </c>
      <c r="C998" s="5" t="s">
        <v>1264</v>
      </c>
      <c r="D998" s="5" t="s">
        <v>1270</v>
      </c>
      <c r="E998" s="5" t="s">
        <v>49</v>
      </c>
      <c r="F998" s="5" t="s">
        <v>50</v>
      </c>
      <c r="G998" s="5" t="s">
        <v>1284</v>
      </c>
      <c r="H998" s="5" t="s">
        <v>1291</v>
      </c>
      <c r="I998" s="5">
        <v>45138</v>
      </c>
      <c r="J998" s="5" t="s">
        <v>22</v>
      </c>
      <c r="K998" s="5" t="s">
        <v>1286</v>
      </c>
    </row>
    <row r="999" spans="1:11" x14ac:dyDescent="0.25">
      <c r="A999" s="6" t="s">
        <v>1037</v>
      </c>
      <c r="B999" s="6" t="s">
        <v>1927</v>
      </c>
      <c r="C999" s="6" t="s">
        <v>62</v>
      </c>
      <c r="D999" s="6" t="s">
        <v>26</v>
      </c>
      <c r="E999" s="6" t="s">
        <v>27</v>
      </c>
      <c r="F999" s="6" t="s">
        <v>28</v>
      </c>
      <c r="G999" s="6" t="s">
        <v>1297</v>
      </c>
      <c r="H999" s="6" t="s">
        <v>1266</v>
      </c>
      <c r="I999" s="6">
        <v>10921</v>
      </c>
      <c r="J999" s="6" t="s">
        <v>45</v>
      </c>
      <c r="K999" s="6" t="s">
        <v>17</v>
      </c>
    </row>
    <row r="1000" spans="1:11" x14ac:dyDescent="0.25">
      <c r="A1000" s="5" t="s">
        <v>1038</v>
      </c>
      <c r="B1000" s="5" t="s">
        <v>1642</v>
      </c>
      <c r="C1000" s="5" t="s">
        <v>1288</v>
      </c>
      <c r="D1000" s="5" t="s">
        <v>26</v>
      </c>
      <c r="E1000" s="5" t="s">
        <v>66</v>
      </c>
      <c r="F1000" s="5" t="s">
        <v>67</v>
      </c>
      <c r="G1000" s="5" t="s">
        <v>1337</v>
      </c>
      <c r="H1000" s="5" t="s">
        <v>1317</v>
      </c>
      <c r="I1000" s="5">
        <v>1744</v>
      </c>
      <c r="J1000" s="5" t="s">
        <v>22</v>
      </c>
      <c r="K1000" s="5" t="s">
        <v>17</v>
      </c>
    </row>
    <row r="1001" spans="1:11" x14ac:dyDescent="0.25">
      <c r="A1001" s="6" t="s">
        <v>1039</v>
      </c>
      <c r="B1001" s="6" t="s">
        <v>2009</v>
      </c>
      <c r="C1001" s="6" t="s">
        <v>1269</v>
      </c>
      <c r="D1001" s="6" t="s">
        <v>1296</v>
      </c>
      <c r="E1001" s="6" t="s">
        <v>1587</v>
      </c>
      <c r="F1001" s="6" t="s">
        <v>21</v>
      </c>
      <c r="G1001" s="6" t="s">
        <v>1517</v>
      </c>
      <c r="H1001" s="6" t="s">
        <v>1377</v>
      </c>
      <c r="I1001" s="6">
        <v>5538</v>
      </c>
      <c r="J1001" s="6" t="s">
        <v>1267</v>
      </c>
      <c r="K1001" s="6" t="s">
        <v>46</v>
      </c>
    </row>
    <row r="1002" spans="1:11" x14ac:dyDescent="0.25">
      <c r="A1002" s="5" t="s">
        <v>1040</v>
      </c>
      <c r="B1002" s="5" t="s">
        <v>1693</v>
      </c>
      <c r="C1002" s="5" t="s">
        <v>48</v>
      </c>
      <c r="D1002" s="5" t="s">
        <v>1270</v>
      </c>
      <c r="E1002" s="5" t="s">
        <v>14</v>
      </c>
      <c r="F1002" s="5" t="s">
        <v>15</v>
      </c>
      <c r="G1002" s="5" t="s">
        <v>1301</v>
      </c>
      <c r="H1002" s="5" t="s">
        <v>1347</v>
      </c>
      <c r="I1002" s="5">
        <v>7666</v>
      </c>
      <c r="J1002" s="5" t="s">
        <v>1267</v>
      </c>
      <c r="K1002" s="5" t="s">
        <v>1286</v>
      </c>
    </row>
    <row r="1003" spans="1:11" x14ac:dyDescent="0.25">
      <c r="A1003" s="6" t="s">
        <v>1041</v>
      </c>
      <c r="B1003" s="6" t="s">
        <v>2010</v>
      </c>
      <c r="C1003" s="6" t="s">
        <v>48</v>
      </c>
      <c r="D1003" s="6" t="s">
        <v>1255</v>
      </c>
      <c r="E1003" s="6" t="s">
        <v>49</v>
      </c>
      <c r="F1003" s="6" t="s">
        <v>50</v>
      </c>
      <c r="G1003" s="6" t="s">
        <v>1280</v>
      </c>
      <c r="H1003" s="6" t="s">
        <v>1291</v>
      </c>
      <c r="I1003" s="6">
        <v>52334</v>
      </c>
      <c r="J1003" s="6" t="s">
        <v>16</v>
      </c>
      <c r="K1003" s="6" t="s">
        <v>46</v>
      </c>
    </row>
    <row r="1004" spans="1:11" x14ac:dyDescent="0.25">
      <c r="A1004" s="5" t="s">
        <v>1042</v>
      </c>
      <c r="B1004" s="5" t="s">
        <v>1959</v>
      </c>
      <c r="C1004" s="5" t="s">
        <v>1269</v>
      </c>
      <c r="D1004" s="5" t="s">
        <v>36</v>
      </c>
      <c r="E1004" s="5" t="s">
        <v>55</v>
      </c>
      <c r="F1004" s="5" t="s">
        <v>34</v>
      </c>
      <c r="G1004" s="5" t="s">
        <v>1380</v>
      </c>
      <c r="H1004" s="5" t="s">
        <v>1278</v>
      </c>
      <c r="I1004" s="5">
        <v>23188</v>
      </c>
      <c r="J1004" s="5" t="s">
        <v>29</v>
      </c>
      <c r="K1004" s="5" t="s">
        <v>1286</v>
      </c>
    </row>
    <row r="1005" spans="1:11" x14ac:dyDescent="0.25">
      <c r="A1005" s="6" t="s">
        <v>1043</v>
      </c>
      <c r="B1005" s="6" t="s">
        <v>1502</v>
      </c>
      <c r="C1005" s="6" t="s">
        <v>1288</v>
      </c>
      <c r="D1005" s="6" t="s">
        <v>1296</v>
      </c>
      <c r="E1005" s="6" t="s">
        <v>49</v>
      </c>
      <c r="F1005" s="6" t="s">
        <v>50</v>
      </c>
      <c r="G1005" s="6" t="s">
        <v>1271</v>
      </c>
      <c r="H1005" s="6" t="s">
        <v>1359</v>
      </c>
      <c r="I1005" s="6">
        <v>51332</v>
      </c>
      <c r="J1005" s="6" t="s">
        <v>16</v>
      </c>
      <c r="K1005" s="6" t="s">
        <v>1273</v>
      </c>
    </row>
    <row r="1006" spans="1:11" x14ac:dyDescent="0.25">
      <c r="A1006" s="5" t="s">
        <v>1044</v>
      </c>
      <c r="B1006" s="5" t="s">
        <v>2011</v>
      </c>
      <c r="C1006" s="5" t="s">
        <v>1264</v>
      </c>
      <c r="D1006" s="5" t="s">
        <v>1255</v>
      </c>
      <c r="E1006" s="5" t="s">
        <v>1374</v>
      </c>
      <c r="F1006" s="5" t="s">
        <v>50</v>
      </c>
      <c r="G1006" s="5" t="s">
        <v>1284</v>
      </c>
      <c r="H1006" s="5" t="s">
        <v>1291</v>
      </c>
      <c r="I1006" s="5">
        <v>53952</v>
      </c>
      <c r="J1006" s="5" t="s">
        <v>16</v>
      </c>
      <c r="K1006" s="5" t="s">
        <v>46</v>
      </c>
    </row>
    <row r="1007" spans="1:11" x14ac:dyDescent="0.25">
      <c r="A1007" s="6" t="s">
        <v>1045</v>
      </c>
      <c r="B1007" s="6" t="s">
        <v>1641</v>
      </c>
      <c r="C1007" s="6" t="s">
        <v>73</v>
      </c>
      <c r="D1007" s="6" t="s">
        <v>1283</v>
      </c>
      <c r="E1007" s="6" t="s">
        <v>14</v>
      </c>
      <c r="F1007" s="6" t="s">
        <v>15</v>
      </c>
      <c r="G1007" s="6" t="s">
        <v>1364</v>
      </c>
      <c r="H1007" s="6" t="s">
        <v>1257</v>
      </c>
      <c r="I1007" s="6">
        <v>9736</v>
      </c>
      <c r="J1007" s="6" t="s">
        <v>1267</v>
      </c>
      <c r="K1007" s="6" t="s">
        <v>1262</v>
      </c>
    </row>
    <row r="1008" spans="1:11" x14ac:dyDescent="0.25">
      <c r="A1008" s="5" t="s">
        <v>1046</v>
      </c>
      <c r="B1008" s="5" t="s">
        <v>1958</v>
      </c>
      <c r="C1008" s="5" t="s">
        <v>48</v>
      </c>
      <c r="D1008" s="5" t="s">
        <v>1275</v>
      </c>
      <c r="E1008" s="5" t="s">
        <v>27</v>
      </c>
      <c r="F1008" s="5" t="s">
        <v>28</v>
      </c>
      <c r="G1008" s="5" t="s">
        <v>1297</v>
      </c>
      <c r="H1008" s="5" t="s">
        <v>1266</v>
      </c>
      <c r="I1008" s="5">
        <v>8833</v>
      </c>
      <c r="J1008" s="5" t="s">
        <v>22</v>
      </c>
      <c r="K1008" s="5" t="s">
        <v>1286</v>
      </c>
    </row>
    <row r="1009" spans="1:11" x14ac:dyDescent="0.25">
      <c r="A1009" s="6" t="s">
        <v>1047</v>
      </c>
      <c r="B1009" s="6" t="s">
        <v>2012</v>
      </c>
      <c r="C1009" s="6" t="s">
        <v>1254</v>
      </c>
      <c r="D1009" s="6" t="s">
        <v>1275</v>
      </c>
      <c r="E1009" s="6" t="s">
        <v>27</v>
      </c>
      <c r="F1009" s="6" t="s">
        <v>28</v>
      </c>
      <c r="G1009" s="6" t="s">
        <v>1637</v>
      </c>
      <c r="H1009" s="6" t="s">
        <v>1458</v>
      </c>
      <c r="I1009" s="6">
        <v>10302</v>
      </c>
      <c r="J1009" s="6" t="s">
        <v>22</v>
      </c>
      <c r="K1009" s="6" t="s">
        <v>1286</v>
      </c>
    </row>
    <row r="1010" spans="1:11" x14ac:dyDescent="0.25">
      <c r="A1010" s="5" t="s">
        <v>1048</v>
      </c>
      <c r="B1010" s="5" t="s">
        <v>1935</v>
      </c>
      <c r="C1010" s="5" t="s">
        <v>53</v>
      </c>
      <c r="D1010" s="5" t="s">
        <v>36</v>
      </c>
      <c r="E1010" s="5" t="s">
        <v>63</v>
      </c>
      <c r="F1010" s="5" t="s">
        <v>59</v>
      </c>
      <c r="G1010" s="5" t="s">
        <v>1256</v>
      </c>
      <c r="H1010" s="5" t="s">
        <v>1308</v>
      </c>
      <c r="I1010" s="5">
        <v>3505</v>
      </c>
      <c r="J1010" s="5" t="s">
        <v>22</v>
      </c>
      <c r="K1010" s="5" t="s">
        <v>1273</v>
      </c>
    </row>
    <row r="1011" spans="1:11" x14ac:dyDescent="0.25">
      <c r="A1011" s="6" t="s">
        <v>1049</v>
      </c>
      <c r="B1011" s="6" t="s">
        <v>1781</v>
      </c>
      <c r="C1011" s="6" t="s">
        <v>1264</v>
      </c>
      <c r="D1011" s="6" t="s">
        <v>26</v>
      </c>
      <c r="E1011" s="6" t="s">
        <v>1489</v>
      </c>
      <c r="F1011" s="6" t="s">
        <v>67</v>
      </c>
      <c r="G1011" s="6" t="s">
        <v>1297</v>
      </c>
      <c r="H1011" s="6" t="s">
        <v>1317</v>
      </c>
      <c r="I1011" s="6">
        <v>1515</v>
      </c>
      <c r="J1011" s="6" t="s">
        <v>45</v>
      </c>
      <c r="K1011" s="6" t="s">
        <v>1286</v>
      </c>
    </row>
    <row r="1012" spans="1:11" x14ac:dyDescent="0.25">
      <c r="A1012" s="5" t="s">
        <v>1050</v>
      </c>
      <c r="B1012" s="5" t="s">
        <v>1880</v>
      </c>
      <c r="C1012" s="5" t="s">
        <v>48</v>
      </c>
      <c r="D1012" s="5" t="s">
        <v>1255</v>
      </c>
      <c r="E1012" s="5" t="s">
        <v>41</v>
      </c>
      <c r="F1012" s="5" t="s">
        <v>42</v>
      </c>
      <c r="G1012" s="5" t="s">
        <v>1380</v>
      </c>
      <c r="H1012" s="5" t="s">
        <v>1325</v>
      </c>
      <c r="I1012" s="5">
        <v>19243</v>
      </c>
      <c r="J1012" s="5" t="s">
        <v>22</v>
      </c>
      <c r="K1012" s="5" t="s">
        <v>46</v>
      </c>
    </row>
    <row r="1013" spans="1:11" x14ac:dyDescent="0.25">
      <c r="A1013" s="6" t="s">
        <v>1051</v>
      </c>
      <c r="B1013" s="6" t="s">
        <v>1343</v>
      </c>
      <c r="C1013" s="6" t="s">
        <v>1259</v>
      </c>
      <c r="D1013" s="6" t="s">
        <v>1270</v>
      </c>
      <c r="E1013" s="6" t="s">
        <v>41</v>
      </c>
      <c r="F1013" s="6" t="s">
        <v>42</v>
      </c>
      <c r="G1013" s="6" t="s">
        <v>1297</v>
      </c>
      <c r="H1013" s="6" t="s">
        <v>1311</v>
      </c>
      <c r="I1013" s="6">
        <v>17379</v>
      </c>
      <c r="J1013" s="6" t="s">
        <v>16</v>
      </c>
      <c r="K1013" s="6" t="s">
        <v>1262</v>
      </c>
    </row>
    <row r="1014" spans="1:11" x14ac:dyDescent="0.25">
      <c r="A1014" s="5" t="s">
        <v>1052</v>
      </c>
      <c r="B1014" s="5" t="s">
        <v>1988</v>
      </c>
      <c r="C1014" s="5" t="s">
        <v>1269</v>
      </c>
      <c r="D1014" s="5" t="s">
        <v>1283</v>
      </c>
      <c r="E1014" s="5" t="s">
        <v>41</v>
      </c>
      <c r="F1014" s="5" t="s">
        <v>42</v>
      </c>
      <c r="G1014" s="5" t="s">
        <v>1294</v>
      </c>
      <c r="H1014" s="5" t="s">
        <v>1325</v>
      </c>
      <c r="I1014" s="5">
        <v>21515</v>
      </c>
      <c r="J1014" s="5" t="s">
        <v>1267</v>
      </c>
      <c r="K1014" s="5" t="s">
        <v>1273</v>
      </c>
    </row>
    <row r="1015" spans="1:11" x14ac:dyDescent="0.25">
      <c r="A1015" s="6" t="s">
        <v>1053</v>
      </c>
      <c r="B1015" s="6" t="s">
        <v>2013</v>
      </c>
      <c r="C1015" s="6" t="s">
        <v>1269</v>
      </c>
      <c r="D1015" s="6" t="s">
        <v>36</v>
      </c>
      <c r="E1015" s="6" t="s">
        <v>66</v>
      </c>
      <c r="F1015" s="6" t="s">
        <v>67</v>
      </c>
      <c r="G1015" s="6" t="s">
        <v>1265</v>
      </c>
      <c r="H1015" s="6" t="s">
        <v>1317</v>
      </c>
      <c r="I1015" s="6">
        <v>1824</v>
      </c>
      <c r="J1015" s="6" t="s">
        <v>1267</v>
      </c>
      <c r="K1015" s="6" t="s">
        <v>1286</v>
      </c>
    </row>
    <row r="1016" spans="1:11" x14ac:dyDescent="0.25">
      <c r="A1016" s="5" t="s">
        <v>1054</v>
      </c>
      <c r="B1016" s="5" t="s">
        <v>2011</v>
      </c>
      <c r="C1016" s="5" t="s">
        <v>1254</v>
      </c>
      <c r="D1016" s="5"/>
      <c r="E1016" s="5" t="s">
        <v>1495</v>
      </c>
      <c r="F1016" s="5" t="s">
        <v>50</v>
      </c>
      <c r="G1016" s="5" t="s">
        <v>1297</v>
      </c>
      <c r="H1016" s="5" t="s">
        <v>1304</v>
      </c>
      <c r="I1016" s="5">
        <v>51404</v>
      </c>
      <c r="J1016" s="5" t="s">
        <v>45</v>
      </c>
      <c r="K1016" s="5" t="s">
        <v>1286</v>
      </c>
    </row>
    <row r="1017" spans="1:11" x14ac:dyDescent="0.25">
      <c r="A1017" s="6" t="s">
        <v>1055</v>
      </c>
      <c r="B1017" s="6" t="s">
        <v>1802</v>
      </c>
      <c r="C1017" s="6" t="s">
        <v>53</v>
      </c>
      <c r="D1017" s="6" t="s">
        <v>1270</v>
      </c>
      <c r="E1017" s="6" t="s">
        <v>63</v>
      </c>
      <c r="F1017" s="6" t="s">
        <v>59</v>
      </c>
      <c r="G1017" s="6" t="s">
        <v>1637</v>
      </c>
      <c r="H1017" s="6" t="s">
        <v>1320</v>
      </c>
      <c r="I1017" s="6">
        <v>3467</v>
      </c>
      <c r="J1017" s="6" t="s">
        <v>29</v>
      </c>
      <c r="K1017" s="6" t="s">
        <v>1262</v>
      </c>
    </row>
    <row r="1018" spans="1:11" x14ac:dyDescent="0.25">
      <c r="A1018" s="5" t="s">
        <v>1056</v>
      </c>
      <c r="B1018" s="5" t="s">
        <v>1586</v>
      </c>
      <c r="C1018" s="5" t="s">
        <v>62</v>
      </c>
      <c r="D1018" s="5" t="s">
        <v>1283</v>
      </c>
      <c r="E1018" s="5" t="s">
        <v>63</v>
      </c>
      <c r="F1018" s="5" t="s">
        <v>59</v>
      </c>
      <c r="G1018" s="5" t="s">
        <v>1380</v>
      </c>
      <c r="H1018" s="5" t="s">
        <v>1308</v>
      </c>
      <c r="I1018" s="5">
        <v>2880</v>
      </c>
      <c r="J1018" s="5" t="s">
        <v>16</v>
      </c>
      <c r="K1018" s="5" t="s">
        <v>1262</v>
      </c>
    </row>
    <row r="1019" spans="1:11" x14ac:dyDescent="0.25">
      <c r="A1019" s="6" t="s">
        <v>1057</v>
      </c>
      <c r="B1019" s="6" t="s">
        <v>1810</v>
      </c>
      <c r="C1019" s="6" t="s">
        <v>1254</v>
      </c>
      <c r="D1019" s="6" t="s">
        <v>1296</v>
      </c>
      <c r="E1019" s="6" t="s">
        <v>37</v>
      </c>
      <c r="F1019" s="6" t="s">
        <v>38</v>
      </c>
      <c r="G1019" s="6" t="s">
        <v>1277</v>
      </c>
      <c r="H1019" s="6" t="s">
        <v>1281</v>
      </c>
      <c r="I1019" s="6">
        <v>34321</v>
      </c>
      <c r="J1019" s="6" t="s">
        <v>29</v>
      </c>
      <c r="K1019" s="6" t="s">
        <v>1286</v>
      </c>
    </row>
    <row r="1020" spans="1:11" x14ac:dyDescent="0.25">
      <c r="A1020" s="5" t="s">
        <v>1058</v>
      </c>
      <c r="B1020" s="5" t="s">
        <v>1886</v>
      </c>
      <c r="C1020" s="5" t="s">
        <v>53</v>
      </c>
      <c r="D1020" s="5" t="s">
        <v>1255</v>
      </c>
      <c r="E1020" s="5" t="s">
        <v>63</v>
      </c>
      <c r="F1020" s="5" t="s">
        <v>59</v>
      </c>
      <c r="G1020" s="5" t="s">
        <v>1260</v>
      </c>
      <c r="H1020" s="5" t="s">
        <v>1308</v>
      </c>
      <c r="I1020" s="5">
        <v>3447</v>
      </c>
      <c r="J1020" s="5" t="s">
        <v>16</v>
      </c>
      <c r="K1020" s="5" t="s">
        <v>17</v>
      </c>
    </row>
    <row r="1021" spans="1:11" x14ac:dyDescent="0.25">
      <c r="A1021" s="6" t="s">
        <v>1059</v>
      </c>
      <c r="B1021" s="6" t="s">
        <v>2014</v>
      </c>
      <c r="C1021" s="6" t="s">
        <v>62</v>
      </c>
      <c r="D1021" s="6" t="s">
        <v>1255</v>
      </c>
      <c r="E1021" s="6" t="s">
        <v>1607</v>
      </c>
      <c r="F1021" s="6" t="s">
        <v>28</v>
      </c>
      <c r="G1021" s="6" t="s">
        <v>1265</v>
      </c>
      <c r="H1021" s="6" t="s">
        <v>1458</v>
      </c>
      <c r="I1021" s="6">
        <v>9785</v>
      </c>
      <c r="J1021" s="6" t="s">
        <v>1267</v>
      </c>
      <c r="K1021" s="6" t="s">
        <v>1286</v>
      </c>
    </row>
    <row r="1022" spans="1:11" x14ac:dyDescent="0.25">
      <c r="A1022" s="5" t="s">
        <v>1060</v>
      </c>
      <c r="B1022" s="5" t="s">
        <v>2015</v>
      </c>
      <c r="C1022" s="5" t="s">
        <v>53</v>
      </c>
      <c r="D1022" s="5" t="s">
        <v>1283</v>
      </c>
      <c r="E1022" s="5" t="s">
        <v>37</v>
      </c>
      <c r="F1022" s="5" t="s">
        <v>38</v>
      </c>
      <c r="G1022" s="5" t="s">
        <v>1364</v>
      </c>
      <c r="H1022" s="5" t="s">
        <v>1281</v>
      </c>
      <c r="I1022" s="5">
        <v>34614</v>
      </c>
      <c r="J1022" s="5" t="s">
        <v>22</v>
      </c>
      <c r="K1022" s="5" t="s">
        <v>1273</v>
      </c>
    </row>
    <row r="1023" spans="1:11" x14ac:dyDescent="0.25">
      <c r="A1023" s="6" t="s">
        <v>1061</v>
      </c>
      <c r="B1023" s="6" t="s">
        <v>2016</v>
      </c>
      <c r="C1023" s="6" t="s">
        <v>48</v>
      </c>
      <c r="D1023" s="6" t="s">
        <v>26</v>
      </c>
      <c r="E1023" s="6" t="s">
        <v>27</v>
      </c>
      <c r="F1023" s="6" t="s">
        <v>28</v>
      </c>
      <c r="G1023" s="6" t="s">
        <v>1260</v>
      </c>
      <c r="H1023" s="6" t="s">
        <v>1356</v>
      </c>
      <c r="I1023" s="6">
        <v>8491</v>
      </c>
      <c r="J1023" s="6" t="s">
        <v>22</v>
      </c>
      <c r="K1023" s="6" t="s">
        <v>46</v>
      </c>
    </row>
    <row r="1024" spans="1:11" x14ac:dyDescent="0.25">
      <c r="A1024" s="5" t="s">
        <v>1062</v>
      </c>
      <c r="B1024" s="5" t="s">
        <v>2017</v>
      </c>
      <c r="C1024" s="5" t="s">
        <v>48</v>
      </c>
      <c r="D1024" s="5" t="s">
        <v>1283</v>
      </c>
      <c r="E1024" s="5" t="s">
        <v>66</v>
      </c>
      <c r="F1024" s="5" t="s">
        <v>67</v>
      </c>
      <c r="G1024" s="5" t="s">
        <v>1315</v>
      </c>
      <c r="H1024" s="5" t="s">
        <v>1317</v>
      </c>
      <c r="I1024" s="5">
        <v>1817</v>
      </c>
      <c r="J1024" s="5" t="s">
        <v>16</v>
      </c>
      <c r="K1024" s="5" t="s">
        <v>1286</v>
      </c>
    </row>
    <row r="1025" spans="1:11" x14ac:dyDescent="0.25">
      <c r="A1025" s="6" t="s">
        <v>1063</v>
      </c>
      <c r="B1025" s="6" t="s">
        <v>1872</v>
      </c>
      <c r="C1025" s="6" t="s">
        <v>1259</v>
      </c>
      <c r="D1025" s="6" t="s">
        <v>26</v>
      </c>
      <c r="E1025" s="6" t="s">
        <v>55</v>
      </c>
      <c r="F1025" s="6" t="s">
        <v>34</v>
      </c>
      <c r="G1025" s="6" t="s">
        <v>1341</v>
      </c>
      <c r="H1025" s="6" t="s">
        <v>1299</v>
      </c>
      <c r="I1025" s="6">
        <v>21748</v>
      </c>
      <c r="J1025" s="6" t="s">
        <v>45</v>
      </c>
      <c r="K1025" s="6" t="s">
        <v>46</v>
      </c>
    </row>
    <row r="1026" spans="1:11" x14ac:dyDescent="0.25">
      <c r="A1026" s="5" t="s">
        <v>1064</v>
      </c>
      <c r="B1026" s="5" t="s">
        <v>1488</v>
      </c>
      <c r="C1026" s="5" t="s">
        <v>53</v>
      </c>
      <c r="D1026" s="5" t="s">
        <v>1275</v>
      </c>
      <c r="E1026" s="5" t="s">
        <v>1353</v>
      </c>
      <c r="F1026" s="5" t="s">
        <v>59</v>
      </c>
      <c r="G1026" s="5" t="s">
        <v>1280</v>
      </c>
      <c r="H1026" s="5" t="s">
        <v>1308</v>
      </c>
      <c r="I1026" s="5">
        <v>3388</v>
      </c>
      <c r="J1026" s="5" t="s">
        <v>22</v>
      </c>
      <c r="K1026" s="5" t="s">
        <v>46</v>
      </c>
    </row>
    <row r="1027" spans="1:11" x14ac:dyDescent="0.25">
      <c r="A1027" s="6" t="s">
        <v>1065</v>
      </c>
      <c r="B1027" s="6" t="s">
        <v>2018</v>
      </c>
      <c r="C1027" s="6" t="s">
        <v>1288</v>
      </c>
      <c r="D1027" s="6" t="s">
        <v>26</v>
      </c>
      <c r="E1027" s="6" t="s">
        <v>55</v>
      </c>
      <c r="F1027" s="6" t="s">
        <v>34</v>
      </c>
      <c r="G1027" s="6" t="s">
        <v>1405</v>
      </c>
      <c r="H1027" s="6" t="s">
        <v>1278</v>
      </c>
      <c r="I1027" s="6">
        <v>23047</v>
      </c>
      <c r="J1027" s="6" t="s">
        <v>1267</v>
      </c>
      <c r="K1027" s="6" t="s">
        <v>46</v>
      </c>
    </row>
    <row r="1028" spans="1:11" x14ac:dyDescent="0.25">
      <c r="A1028" s="5" t="s">
        <v>1066</v>
      </c>
      <c r="B1028" s="5" t="s">
        <v>2019</v>
      </c>
      <c r="C1028" s="5" t="s">
        <v>1259</v>
      </c>
      <c r="D1028" s="5" t="s">
        <v>26</v>
      </c>
      <c r="E1028" s="5" t="s">
        <v>49</v>
      </c>
      <c r="F1028" s="5" t="s">
        <v>50</v>
      </c>
      <c r="G1028" s="5" t="s">
        <v>1297</v>
      </c>
      <c r="H1028" s="5" t="s">
        <v>1291</v>
      </c>
      <c r="I1028" s="5">
        <v>53140</v>
      </c>
      <c r="J1028" s="5" t="s">
        <v>45</v>
      </c>
      <c r="K1028" s="5" t="s">
        <v>1262</v>
      </c>
    </row>
    <row r="1029" spans="1:11" x14ac:dyDescent="0.25">
      <c r="A1029" s="6" t="s">
        <v>1067</v>
      </c>
      <c r="B1029" s="6" t="s">
        <v>1366</v>
      </c>
      <c r="C1029" s="6" t="s">
        <v>1264</v>
      </c>
      <c r="D1029" s="6" t="s">
        <v>1283</v>
      </c>
      <c r="E1029" s="6" t="s">
        <v>41</v>
      </c>
      <c r="F1029" s="6" t="s">
        <v>42</v>
      </c>
      <c r="G1029" s="6" t="s">
        <v>1301</v>
      </c>
      <c r="H1029" s="6" t="s">
        <v>1311</v>
      </c>
      <c r="I1029" s="6">
        <v>22069</v>
      </c>
      <c r="J1029" s="6" t="s">
        <v>16</v>
      </c>
      <c r="K1029" s="6" t="s">
        <v>1262</v>
      </c>
    </row>
    <row r="1030" spans="1:11" x14ac:dyDescent="0.25">
      <c r="A1030" s="5" t="s">
        <v>1068</v>
      </c>
      <c r="B1030" s="5" t="s">
        <v>1780</v>
      </c>
      <c r="C1030" s="5" t="s">
        <v>1254</v>
      </c>
      <c r="D1030" s="5" t="s">
        <v>1275</v>
      </c>
      <c r="E1030" s="5" t="s">
        <v>41</v>
      </c>
      <c r="F1030" s="5" t="s">
        <v>42</v>
      </c>
      <c r="G1030" s="5" t="s">
        <v>1277</v>
      </c>
      <c r="H1030" s="5" t="s">
        <v>1285</v>
      </c>
      <c r="I1030" s="5">
        <v>19953</v>
      </c>
      <c r="J1030" s="5" t="s">
        <v>1267</v>
      </c>
      <c r="K1030" s="5" t="s">
        <v>1273</v>
      </c>
    </row>
    <row r="1031" spans="1:11" x14ac:dyDescent="0.25">
      <c r="A1031" s="6" t="s">
        <v>1069</v>
      </c>
      <c r="B1031" s="6" t="s">
        <v>2020</v>
      </c>
      <c r="C1031" s="6" t="s">
        <v>1259</v>
      </c>
      <c r="D1031" s="6" t="s">
        <v>1296</v>
      </c>
      <c r="E1031" s="6" t="s">
        <v>1519</v>
      </c>
      <c r="F1031" s="6" t="s">
        <v>21</v>
      </c>
      <c r="G1031" s="6" t="s">
        <v>1337</v>
      </c>
      <c r="H1031" s="6" t="s">
        <v>1261</v>
      </c>
      <c r="I1031" s="6">
        <v>5487</v>
      </c>
      <c r="J1031" s="6" t="s">
        <v>1267</v>
      </c>
      <c r="K1031" s="6" t="s">
        <v>1262</v>
      </c>
    </row>
    <row r="1032" spans="1:11" x14ac:dyDescent="0.25">
      <c r="A1032" s="5" t="s">
        <v>1070</v>
      </c>
      <c r="B1032" s="5" t="s">
        <v>1500</v>
      </c>
      <c r="C1032" s="5" t="s">
        <v>48</v>
      </c>
      <c r="D1032" s="5" t="s">
        <v>1275</v>
      </c>
      <c r="E1032" s="5" t="s">
        <v>14</v>
      </c>
      <c r="F1032" s="5" t="s">
        <v>15</v>
      </c>
      <c r="G1032" s="5" t="s">
        <v>1260</v>
      </c>
      <c r="H1032" s="5" t="s">
        <v>1257</v>
      </c>
      <c r="I1032" s="5">
        <v>9265</v>
      </c>
      <c r="J1032" s="5" t="s">
        <v>1267</v>
      </c>
      <c r="K1032" s="5" t="s">
        <v>1262</v>
      </c>
    </row>
    <row r="1033" spans="1:11" x14ac:dyDescent="0.25">
      <c r="A1033" s="6" t="s">
        <v>1071</v>
      </c>
      <c r="B1033" s="6" t="s">
        <v>2021</v>
      </c>
      <c r="C1033" s="6" t="s">
        <v>1269</v>
      </c>
      <c r="D1033" s="6" t="s">
        <v>1275</v>
      </c>
      <c r="E1033" s="6" t="s">
        <v>66</v>
      </c>
      <c r="F1033" s="6" t="s">
        <v>67</v>
      </c>
      <c r="G1033" s="6" t="s">
        <v>1475</v>
      </c>
      <c r="H1033" s="6" t="s">
        <v>1335</v>
      </c>
      <c r="I1033" s="6">
        <v>1624</v>
      </c>
      <c r="J1033" s="6" t="s">
        <v>29</v>
      </c>
      <c r="K1033" s="6" t="s">
        <v>46</v>
      </c>
    </row>
    <row r="1034" spans="1:11" x14ac:dyDescent="0.25">
      <c r="A1034" s="5" t="s">
        <v>1072</v>
      </c>
      <c r="B1034" s="5" t="s">
        <v>2022</v>
      </c>
      <c r="C1034" s="5" t="s">
        <v>73</v>
      </c>
      <c r="D1034" s="5" t="s">
        <v>1255</v>
      </c>
      <c r="E1034" s="5" t="s">
        <v>27</v>
      </c>
      <c r="F1034" s="5" t="s">
        <v>28</v>
      </c>
      <c r="G1034" s="5" t="s">
        <v>1380</v>
      </c>
      <c r="H1034" s="5" t="s">
        <v>1266</v>
      </c>
      <c r="I1034" s="5">
        <v>11093</v>
      </c>
      <c r="J1034" s="5" t="s">
        <v>29</v>
      </c>
      <c r="K1034" s="5" t="s">
        <v>1273</v>
      </c>
    </row>
    <row r="1035" spans="1:11" x14ac:dyDescent="0.25">
      <c r="A1035" s="6" t="s">
        <v>1073</v>
      </c>
      <c r="B1035" s="6" t="s">
        <v>2023</v>
      </c>
      <c r="C1035" s="6" t="s">
        <v>73</v>
      </c>
      <c r="D1035" s="6" t="s">
        <v>26</v>
      </c>
      <c r="E1035" s="6" t="s">
        <v>27</v>
      </c>
      <c r="F1035" s="6" t="s">
        <v>28</v>
      </c>
      <c r="G1035" s="6" t="s">
        <v>1337</v>
      </c>
      <c r="H1035" s="6" t="s">
        <v>1266</v>
      </c>
      <c r="I1035" s="6">
        <v>9646</v>
      </c>
      <c r="J1035" s="6" t="s">
        <v>29</v>
      </c>
      <c r="K1035" s="6" t="s">
        <v>1262</v>
      </c>
    </row>
    <row r="1036" spans="1:11" x14ac:dyDescent="0.25">
      <c r="A1036" s="5" t="s">
        <v>1074</v>
      </c>
      <c r="B1036" s="5" t="s">
        <v>1500</v>
      </c>
      <c r="C1036" s="5" t="s">
        <v>1288</v>
      </c>
      <c r="D1036" s="5" t="s">
        <v>1296</v>
      </c>
      <c r="E1036" s="5" t="s">
        <v>1529</v>
      </c>
      <c r="F1036" s="5" t="s">
        <v>67</v>
      </c>
      <c r="G1036" s="5" t="s">
        <v>1331</v>
      </c>
      <c r="H1036" s="5" t="s">
        <v>1317</v>
      </c>
      <c r="I1036" s="5">
        <v>1861</v>
      </c>
      <c r="J1036" s="5" t="s">
        <v>1267</v>
      </c>
      <c r="K1036" s="5"/>
    </row>
    <row r="1037" spans="1:11" x14ac:dyDescent="0.25">
      <c r="A1037" s="6" t="s">
        <v>1075</v>
      </c>
      <c r="B1037" s="6" t="s">
        <v>2024</v>
      </c>
      <c r="C1037" s="6" t="s">
        <v>1264</v>
      </c>
      <c r="D1037" s="6" t="s">
        <v>26</v>
      </c>
      <c r="E1037" s="6" t="s">
        <v>37</v>
      </c>
      <c r="F1037" s="6" t="s">
        <v>38</v>
      </c>
      <c r="G1037" s="6" t="s">
        <v>1260</v>
      </c>
      <c r="H1037" s="6" t="s">
        <v>1342</v>
      </c>
      <c r="I1037" s="6">
        <v>34168</v>
      </c>
      <c r="J1037" s="6" t="s">
        <v>22</v>
      </c>
      <c r="K1037" s="6" t="s">
        <v>17</v>
      </c>
    </row>
    <row r="1038" spans="1:11" x14ac:dyDescent="0.25">
      <c r="A1038" s="5" t="s">
        <v>1076</v>
      </c>
      <c r="B1038" s="5" t="s">
        <v>1448</v>
      </c>
      <c r="C1038" s="5" t="s">
        <v>1269</v>
      </c>
      <c r="D1038" s="5" t="s">
        <v>26</v>
      </c>
      <c r="E1038" s="5" t="s">
        <v>63</v>
      </c>
      <c r="F1038" s="5" t="s">
        <v>59</v>
      </c>
      <c r="G1038" s="5" t="s">
        <v>1313</v>
      </c>
      <c r="H1038" s="5" t="s">
        <v>1308</v>
      </c>
      <c r="I1038" s="5">
        <v>3315</v>
      </c>
      <c r="J1038" s="5" t="s">
        <v>29</v>
      </c>
      <c r="K1038" s="5" t="s">
        <v>1286</v>
      </c>
    </row>
    <row r="1039" spans="1:11" x14ac:dyDescent="0.25">
      <c r="A1039" s="6" t="s">
        <v>1077</v>
      </c>
      <c r="B1039" s="6" t="s">
        <v>1435</v>
      </c>
      <c r="C1039" s="6" t="s">
        <v>1264</v>
      </c>
      <c r="D1039" s="6" t="s">
        <v>1283</v>
      </c>
      <c r="E1039" s="6" t="s">
        <v>27</v>
      </c>
      <c r="F1039" s="6" t="s">
        <v>28</v>
      </c>
      <c r="G1039" s="6" t="s">
        <v>1337</v>
      </c>
      <c r="H1039" s="6" t="s">
        <v>1266</v>
      </c>
      <c r="I1039" s="6">
        <v>9961</v>
      </c>
      <c r="J1039" s="6" t="s">
        <v>22</v>
      </c>
      <c r="K1039" s="6" t="s">
        <v>46</v>
      </c>
    </row>
    <row r="1040" spans="1:11" x14ac:dyDescent="0.25">
      <c r="A1040" s="5" t="s">
        <v>1078</v>
      </c>
      <c r="B1040" s="5" t="s">
        <v>1525</v>
      </c>
      <c r="C1040" s="5" t="s">
        <v>1264</v>
      </c>
      <c r="D1040" s="5" t="s">
        <v>1283</v>
      </c>
      <c r="E1040" s="5" t="s">
        <v>55</v>
      </c>
      <c r="F1040" s="5" t="s">
        <v>34</v>
      </c>
      <c r="G1040" s="5" t="s">
        <v>1331</v>
      </c>
      <c r="H1040" s="5" t="s">
        <v>1278</v>
      </c>
      <c r="I1040" s="5">
        <v>25310</v>
      </c>
      <c r="J1040" s="5" t="s">
        <v>45</v>
      </c>
      <c r="K1040" s="5" t="s">
        <v>1286</v>
      </c>
    </row>
    <row r="1041" spans="1:11" x14ac:dyDescent="0.25">
      <c r="A1041" s="6" t="s">
        <v>1079</v>
      </c>
      <c r="B1041" s="6" t="s">
        <v>1617</v>
      </c>
      <c r="C1041" s="6" t="s">
        <v>1269</v>
      </c>
      <c r="D1041" s="6" t="s">
        <v>36</v>
      </c>
      <c r="E1041" s="6" t="s">
        <v>1519</v>
      </c>
      <c r="F1041" s="6" t="s">
        <v>21</v>
      </c>
      <c r="G1041" s="6" t="s">
        <v>1457</v>
      </c>
      <c r="H1041" s="6" t="s">
        <v>1377</v>
      </c>
      <c r="I1041" s="6">
        <v>6762</v>
      </c>
      <c r="J1041" s="6" t="s">
        <v>45</v>
      </c>
      <c r="K1041" s="6" t="s">
        <v>46</v>
      </c>
    </row>
    <row r="1042" spans="1:11" x14ac:dyDescent="0.25">
      <c r="A1042" s="5" t="s">
        <v>1080</v>
      </c>
      <c r="B1042" s="5" t="s">
        <v>2025</v>
      </c>
      <c r="C1042" s="5" t="s">
        <v>1269</v>
      </c>
      <c r="D1042" s="5" t="s">
        <v>36</v>
      </c>
      <c r="E1042" s="5" t="s">
        <v>14</v>
      </c>
      <c r="F1042" s="5" t="s">
        <v>15</v>
      </c>
      <c r="G1042" s="5" t="s">
        <v>1315</v>
      </c>
      <c r="H1042" s="5" t="s">
        <v>1257</v>
      </c>
      <c r="I1042" s="5">
        <v>9615</v>
      </c>
      <c r="J1042" s="5" t="s">
        <v>16</v>
      </c>
      <c r="K1042" s="5" t="s">
        <v>1262</v>
      </c>
    </row>
    <row r="1043" spans="1:11" x14ac:dyDescent="0.25">
      <c r="A1043" s="6" t="s">
        <v>1081</v>
      </c>
      <c r="B1043" s="6" t="s">
        <v>2026</v>
      </c>
      <c r="C1043" s="6" t="s">
        <v>1254</v>
      </c>
      <c r="D1043" s="6" t="s">
        <v>1296</v>
      </c>
      <c r="E1043" s="6" t="s">
        <v>41</v>
      </c>
      <c r="F1043" s="6" t="s">
        <v>42</v>
      </c>
      <c r="G1043" s="6" t="s">
        <v>1271</v>
      </c>
      <c r="H1043" s="6" t="s">
        <v>1325</v>
      </c>
      <c r="I1043" s="6">
        <v>21608</v>
      </c>
      <c r="J1043" s="6" t="s">
        <v>16</v>
      </c>
      <c r="K1043" s="6" t="s">
        <v>46</v>
      </c>
    </row>
    <row r="1044" spans="1:11" x14ac:dyDescent="0.25">
      <c r="A1044" s="5" t="s">
        <v>1082</v>
      </c>
      <c r="B1044" s="5" t="s">
        <v>1388</v>
      </c>
      <c r="C1044" s="5" t="s">
        <v>1264</v>
      </c>
      <c r="D1044" s="5" t="s">
        <v>1275</v>
      </c>
      <c r="E1044" s="5" t="s">
        <v>63</v>
      </c>
      <c r="F1044" s="5" t="s">
        <v>59</v>
      </c>
      <c r="G1044" s="5" t="s">
        <v>1315</v>
      </c>
      <c r="H1044" s="5" t="s">
        <v>1403</v>
      </c>
      <c r="I1044" s="5">
        <v>3308</v>
      </c>
      <c r="J1044" s="5" t="s">
        <v>22</v>
      </c>
      <c r="K1044" s="5" t="s">
        <v>1273</v>
      </c>
    </row>
    <row r="1045" spans="1:11" x14ac:dyDescent="0.25">
      <c r="A1045" s="6" t="s">
        <v>1083</v>
      </c>
      <c r="B1045" s="6" t="s">
        <v>2027</v>
      </c>
      <c r="C1045" s="6" t="s">
        <v>1269</v>
      </c>
      <c r="D1045" s="6" t="s">
        <v>1283</v>
      </c>
      <c r="E1045" s="6" t="s">
        <v>37</v>
      </c>
      <c r="F1045" s="6" t="s">
        <v>38</v>
      </c>
      <c r="G1045" s="6" t="s">
        <v>1256</v>
      </c>
      <c r="H1045" s="6" t="s">
        <v>1342</v>
      </c>
      <c r="I1045" s="6">
        <v>38629</v>
      </c>
      <c r="J1045" s="6" t="s">
        <v>22</v>
      </c>
      <c r="K1045" s="6" t="s">
        <v>1286</v>
      </c>
    </row>
    <row r="1046" spans="1:11" x14ac:dyDescent="0.25">
      <c r="A1046" s="5" t="s">
        <v>1084</v>
      </c>
      <c r="B1046" s="5" t="s">
        <v>2028</v>
      </c>
      <c r="C1046" s="5" t="s">
        <v>53</v>
      </c>
      <c r="D1046" s="5" t="s">
        <v>1270</v>
      </c>
      <c r="E1046" s="5" t="s">
        <v>1444</v>
      </c>
      <c r="F1046" s="5" t="s">
        <v>38</v>
      </c>
      <c r="G1046" s="5" t="s">
        <v>1337</v>
      </c>
      <c r="H1046" s="5" t="s">
        <v>1281</v>
      </c>
      <c r="I1046" s="5">
        <v>33853</v>
      </c>
      <c r="J1046" s="5" t="s">
        <v>16</v>
      </c>
      <c r="K1046" s="5" t="s">
        <v>1286</v>
      </c>
    </row>
    <row r="1047" spans="1:11" x14ac:dyDescent="0.25">
      <c r="A1047" s="6" t="s">
        <v>1085</v>
      </c>
      <c r="B1047" s="6" t="s">
        <v>1641</v>
      </c>
      <c r="C1047" s="6" t="s">
        <v>1259</v>
      </c>
      <c r="D1047" s="6" t="s">
        <v>36</v>
      </c>
      <c r="E1047" s="6" t="s">
        <v>55</v>
      </c>
      <c r="F1047" s="6" t="s">
        <v>34</v>
      </c>
      <c r="G1047" s="6" t="s">
        <v>1280</v>
      </c>
      <c r="H1047" s="6" t="s">
        <v>1278</v>
      </c>
      <c r="I1047" s="6">
        <v>26753</v>
      </c>
      <c r="J1047" s="6" t="s">
        <v>22</v>
      </c>
      <c r="K1047" s="6" t="s">
        <v>17</v>
      </c>
    </row>
    <row r="1048" spans="1:11" x14ac:dyDescent="0.25">
      <c r="A1048" s="5" t="s">
        <v>1086</v>
      </c>
      <c r="B1048" s="5" t="s">
        <v>1912</v>
      </c>
      <c r="C1048" s="5" t="s">
        <v>1264</v>
      </c>
      <c r="D1048" s="5" t="s">
        <v>26</v>
      </c>
      <c r="E1048" s="5" t="s">
        <v>14</v>
      </c>
      <c r="F1048" s="5" t="s">
        <v>15</v>
      </c>
      <c r="G1048" s="5" t="s">
        <v>1380</v>
      </c>
      <c r="H1048" s="5" t="s">
        <v>1257</v>
      </c>
      <c r="I1048" s="5">
        <v>9993</v>
      </c>
      <c r="J1048" s="5" t="s">
        <v>16</v>
      </c>
      <c r="K1048" s="5" t="s">
        <v>17</v>
      </c>
    </row>
    <row r="1049" spans="1:11" x14ac:dyDescent="0.25">
      <c r="A1049" s="6" t="s">
        <v>1087</v>
      </c>
      <c r="B1049" s="6" t="s">
        <v>2029</v>
      </c>
      <c r="C1049" s="6" t="s">
        <v>1264</v>
      </c>
      <c r="D1049" s="6" t="s">
        <v>1296</v>
      </c>
      <c r="E1049" s="6" t="s">
        <v>41</v>
      </c>
      <c r="F1049" s="6" t="s">
        <v>42</v>
      </c>
      <c r="G1049" s="6" t="s">
        <v>1457</v>
      </c>
      <c r="H1049" s="6" t="s">
        <v>1311</v>
      </c>
      <c r="I1049" s="6">
        <v>19452</v>
      </c>
      <c r="J1049" s="6" t="s">
        <v>22</v>
      </c>
      <c r="K1049" s="6" t="s">
        <v>46</v>
      </c>
    </row>
    <row r="1050" spans="1:11" x14ac:dyDescent="0.25">
      <c r="A1050" s="5" t="s">
        <v>1088</v>
      </c>
      <c r="B1050" s="5" t="s">
        <v>1884</v>
      </c>
      <c r="C1050" s="5" t="s">
        <v>1254</v>
      </c>
      <c r="D1050" s="5" t="s">
        <v>1296</v>
      </c>
      <c r="E1050" s="5" t="s">
        <v>14</v>
      </c>
      <c r="F1050" s="5" t="s">
        <v>15</v>
      </c>
      <c r="G1050" s="5" t="s">
        <v>1297</v>
      </c>
      <c r="H1050" s="5" t="s">
        <v>1257</v>
      </c>
      <c r="I1050" s="5">
        <v>7564</v>
      </c>
      <c r="J1050" s="5" t="s">
        <v>29</v>
      </c>
      <c r="K1050" s="5" t="s">
        <v>17</v>
      </c>
    </row>
    <row r="1051" spans="1:11" x14ac:dyDescent="0.25">
      <c r="A1051" s="6" t="s">
        <v>1089</v>
      </c>
      <c r="B1051" s="6" t="s">
        <v>2030</v>
      </c>
      <c r="C1051" s="6" t="s">
        <v>1288</v>
      </c>
      <c r="D1051" s="6"/>
      <c r="E1051" s="6" t="s">
        <v>1353</v>
      </c>
      <c r="F1051" s="6" t="s">
        <v>59</v>
      </c>
      <c r="G1051" s="6" t="s">
        <v>1277</v>
      </c>
      <c r="H1051" s="6" t="s">
        <v>1403</v>
      </c>
      <c r="I1051" s="6">
        <v>3096</v>
      </c>
      <c r="J1051" s="6" t="s">
        <v>16</v>
      </c>
      <c r="K1051" s="6" t="s">
        <v>1286</v>
      </c>
    </row>
    <row r="1052" spans="1:11" x14ac:dyDescent="0.25">
      <c r="A1052" s="5" t="s">
        <v>1090</v>
      </c>
      <c r="B1052" s="5" t="s">
        <v>1909</v>
      </c>
      <c r="C1052" s="5" t="s">
        <v>1288</v>
      </c>
      <c r="D1052" s="5" t="s">
        <v>1283</v>
      </c>
      <c r="E1052" s="5" t="s">
        <v>27</v>
      </c>
      <c r="F1052" s="5" t="s">
        <v>28</v>
      </c>
      <c r="G1052" s="5" t="s">
        <v>1337</v>
      </c>
      <c r="H1052" s="5" t="s">
        <v>1266</v>
      </c>
      <c r="I1052" s="5">
        <v>9400</v>
      </c>
      <c r="J1052" s="5" t="s">
        <v>29</v>
      </c>
      <c r="K1052" s="5" t="s">
        <v>17</v>
      </c>
    </row>
    <row r="1053" spans="1:11" x14ac:dyDescent="0.25">
      <c r="A1053" s="6" t="s">
        <v>1091</v>
      </c>
      <c r="B1053" s="6" t="s">
        <v>1349</v>
      </c>
      <c r="C1053" s="6" t="s">
        <v>1269</v>
      </c>
      <c r="D1053" s="6" t="s">
        <v>26</v>
      </c>
      <c r="E1053" s="6" t="s">
        <v>41</v>
      </c>
      <c r="F1053" s="6" t="s">
        <v>42</v>
      </c>
      <c r="G1053" s="6" t="s">
        <v>1265</v>
      </c>
      <c r="H1053" s="6" t="s">
        <v>1311</v>
      </c>
      <c r="I1053" s="6">
        <v>19385</v>
      </c>
      <c r="J1053" s="6" t="s">
        <v>16</v>
      </c>
      <c r="K1053" s="6" t="s">
        <v>1262</v>
      </c>
    </row>
    <row r="1054" spans="1:11" x14ac:dyDescent="0.25">
      <c r="A1054" s="5" t="s">
        <v>1092</v>
      </c>
      <c r="B1054" s="5" t="s">
        <v>1371</v>
      </c>
      <c r="C1054" s="5" t="s">
        <v>1264</v>
      </c>
      <c r="D1054" s="5" t="s">
        <v>26</v>
      </c>
      <c r="E1054" s="5" t="s">
        <v>41</v>
      </c>
      <c r="F1054" s="5" t="s">
        <v>42</v>
      </c>
      <c r="G1054" s="5" t="s">
        <v>1307</v>
      </c>
      <c r="H1054" s="5" t="s">
        <v>1325</v>
      </c>
      <c r="I1054" s="5">
        <v>19434</v>
      </c>
      <c r="J1054" s="5" t="s">
        <v>45</v>
      </c>
      <c r="K1054" s="5" t="s">
        <v>46</v>
      </c>
    </row>
    <row r="1055" spans="1:11" x14ac:dyDescent="0.25">
      <c r="A1055" s="6" t="s">
        <v>1093</v>
      </c>
      <c r="B1055" s="6" t="s">
        <v>1795</v>
      </c>
      <c r="C1055" s="6" t="s">
        <v>62</v>
      </c>
      <c r="D1055" s="6" t="s">
        <v>1296</v>
      </c>
      <c r="E1055" s="6" t="s">
        <v>27</v>
      </c>
      <c r="F1055" s="6" t="s">
        <v>28</v>
      </c>
      <c r="G1055" s="6" t="s">
        <v>1277</v>
      </c>
      <c r="H1055" s="6" t="s">
        <v>1266</v>
      </c>
      <c r="I1055" s="6">
        <v>8625</v>
      </c>
      <c r="J1055" s="6" t="s">
        <v>29</v>
      </c>
      <c r="K1055" s="6" t="s">
        <v>1273</v>
      </c>
    </row>
    <row r="1056" spans="1:11" x14ac:dyDescent="0.25">
      <c r="A1056" s="5" t="s">
        <v>1094</v>
      </c>
      <c r="B1056" s="5" t="s">
        <v>2031</v>
      </c>
      <c r="C1056" s="5" t="s">
        <v>1264</v>
      </c>
      <c r="D1056" s="5" t="s">
        <v>1270</v>
      </c>
      <c r="E1056" s="5" t="s">
        <v>1489</v>
      </c>
      <c r="F1056" s="5" t="s">
        <v>67</v>
      </c>
      <c r="G1056" s="5" t="s">
        <v>1313</v>
      </c>
      <c r="H1056" s="5" t="s">
        <v>1317</v>
      </c>
      <c r="I1056" s="5">
        <v>1629</v>
      </c>
      <c r="J1056" s="5" t="s">
        <v>16</v>
      </c>
      <c r="K1056" s="5" t="s">
        <v>17</v>
      </c>
    </row>
    <row r="1057" spans="1:11" x14ac:dyDescent="0.25">
      <c r="A1057" s="6" t="s">
        <v>1095</v>
      </c>
      <c r="B1057" s="6" t="s">
        <v>2032</v>
      </c>
      <c r="C1057" s="6" t="s">
        <v>62</v>
      </c>
      <c r="D1057" s="6" t="s">
        <v>1275</v>
      </c>
      <c r="E1057" s="6" t="s">
        <v>37</v>
      </c>
      <c r="F1057" s="6" t="s">
        <v>38</v>
      </c>
      <c r="G1057" s="6" t="s">
        <v>1341</v>
      </c>
      <c r="H1057" s="6" t="s">
        <v>1342</v>
      </c>
      <c r="I1057" s="6">
        <v>40264</v>
      </c>
      <c r="J1057" s="6" t="s">
        <v>22</v>
      </c>
      <c r="K1057" s="6" t="s">
        <v>1273</v>
      </c>
    </row>
    <row r="1058" spans="1:11" x14ac:dyDescent="0.25">
      <c r="A1058" s="5" t="s">
        <v>1096</v>
      </c>
      <c r="B1058" s="5" t="s">
        <v>1802</v>
      </c>
      <c r="C1058" s="5" t="s">
        <v>1254</v>
      </c>
      <c r="D1058" s="5" t="s">
        <v>36</v>
      </c>
      <c r="E1058" s="5" t="s">
        <v>20</v>
      </c>
      <c r="F1058" s="5" t="s">
        <v>21</v>
      </c>
      <c r="G1058" s="5" t="s">
        <v>1265</v>
      </c>
      <c r="H1058" s="5" t="s">
        <v>1454</v>
      </c>
      <c r="I1058" s="5">
        <v>6362</v>
      </c>
      <c r="J1058" s="5" t="s">
        <v>22</v>
      </c>
      <c r="K1058" s="5" t="s">
        <v>1273</v>
      </c>
    </row>
    <row r="1059" spans="1:11" x14ac:dyDescent="0.25">
      <c r="A1059" s="6" t="s">
        <v>1097</v>
      </c>
      <c r="B1059" s="6" t="s">
        <v>1544</v>
      </c>
      <c r="C1059" s="6" t="s">
        <v>62</v>
      </c>
      <c r="D1059" s="6" t="s">
        <v>1283</v>
      </c>
      <c r="E1059" s="6" t="s">
        <v>37</v>
      </c>
      <c r="F1059" s="6" t="s">
        <v>38</v>
      </c>
      <c r="G1059" s="6" t="s">
        <v>1380</v>
      </c>
      <c r="H1059" s="6" t="s">
        <v>1281</v>
      </c>
      <c r="I1059" s="6">
        <v>35637</v>
      </c>
      <c r="J1059" s="6" t="s">
        <v>1267</v>
      </c>
      <c r="K1059" s="6" t="s">
        <v>46</v>
      </c>
    </row>
    <row r="1060" spans="1:11" x14ac:dyDescent="0.25">
      <c r="A1060" s="5" t="s">
        <v>1098</v>
      </c>
      <c r="B1060" s="5" t="s">
        <v>1938</v>
      </c>
      <c r="C1060" s="5" t="s">
        <v>1269</v>
      </c>
      <c r="D1060" s="5" t="s">
        <v>1255</v>
      </c>
      <c r="E1060" s="5" t="s">
        <v>41</v>
      </c>
      <c r="F1060" s="5" t="s">
        <v>42</v>
      </c>
      <c r="G1060" s="5" t="s">
        <v>1331</v>
      </c>
      <c r="H1060" s="5" t="s">
        <v>1325</v>
      </c>
      <c r="I1060" s="5">
        <v>21768</v>
      </c>
      <c r="J1060" s="5" t="s">
        <v>16</v>
      </c>
      <c r="K1060" s="5" t="s">
        <v>1262</v>
      </c>
    </row>
    <row r="1061" spans="1:11" x14ac:dyDescent="0.25">
      <c r="A1061" s="6" t="s">
        <v>1099</v>
      </c>
      <c r="B1061" s="6" t="s">
        <v>1901</v>
      </c>
      <c r="C1061" s="6" t="s">
        <v>1254</v>
      </c>
      <c r="D1061" s="6" t="s">
        <v>1283</v>
      </c>
      <c r="E1061" s="6" t="s">
        <v>1330</v>
      </c>
      <c r="F1061" s="6" t="s">
        <v>28</v>
      </c>
      <c r="G1061" s="6" t="s">
        <v>1315</v>
      </c>
      <c r="H1061" s="6" t="s">
        <v>1458</v>
      </c>
      <c r="I1061" s="6">
        <v>10384</v>
      </c>
      <c r="J1061" s="6" t="s">
        <v>1267</v>
      </c>
      <c r="K1061" s="6" t="s">
        <v>46</v>
      </c>
    </row>
    <row r="1062" spans="1:11" x14ac:dyDescent="0.25">
      <c r="A1062" s="5" t="s">
        <v>1100</v>
      </c>
      <c r="B1062" s="5" t="s">
        <v>1929</v>
      </c>
      <c r="C1062" s="5" t="s">
        <v>53</v>
      </c>
      <c r="D1062" s="5" t="s">
        <v>1283</v>
      </c>
      <c r="E1062" s="5" t="s">
        <v>55</v>
      </c>
      <c r="F1062" s="5" t="s">
        <v>34</v>
      </c>
      <c r="G1062" s="5" t="s">
        <v>1280</v>
      </c>
      <c r="H1062" s="5" t="s">
        <v>1278</v>
      </c>
      <c r="I1062" s="5">
        <v>27233</v>
      </c>
      <c r="J1062" s="5" t="s">
        <v>45</v>
      </c>
      <c r="K1062" s="5" t="s">
        <v>1262</v>
      </c>
    </row>
    <row r="1063" spans="1:11" x14ac:dyDescent="0.25">
      <c r="A1063" s="6" t="s">
        <v>1101</v>
      </c>
      <c r="B1063" s="6" t="s">
        <v>1857</v>
      </c>
      <c r="C1063" s="6" t="s">
        <v>48</v>
      </c>
      <c r="D1063" s="6" t="s">
        <v>26</v>
      </c>
      <c r="E1063" s="6" t="s">
        <v>41</v>
      </c>
      <c r="F1063" s="6" t="s">
        <v>42</v>
      </c>
      <c r="G1063" s="6" t="s">
        <v>1260</v>
      </c>
      <c r="H1063" s="6" t="s">
        <v>1325</v>
      </c>
      <c r="I1063" s="6">
        <v>19266</v>
      </c>
      <c r="J1063" s="6" t="s">
        <v>1267</v>
      </c>
      <c r="K1063" s="6" t="s">
        <v>1286</v>
      </c>
    </row>
    <row r="1064" spans="1:11" x14ac:dyDescent="0.25">
      <c r="A1064" s="5" t="s">
        <v>1102</v>
      </c>
      <c r="B1064" s="5" t="s">
        <v>1876</v>
      </c>
      <c r="C1064" s="5" t="s">
        <v>73</v>
      </c>
      <c r="D1064" s="5" t="s">
        <v>1255</v>
      </c>
      <c r="E1064" s="5" t="s">
        <v>37</v>
      </c>
      <c r="F1064" s="5" t="s">
        <v>38</v>
      </c>
      <c r="G1064" s="5" t="s">
        <v>1271</v>
      </c>
      <c r="H1064" s="5" t="s">
        <v>1281</v>
      </c>
      <c r="I1064" s="5">
        <v>39023</v>
      </c>
      <c r="J1064" s="5" t="s">
        <v>29</v>
      </c>
      <c r="K1064" s="5" t="s">
        <v>17</v>
      </c>
    </row>
    <row r="1065" spans="1:11" x14ac:dyDescent="0.25">
      <c r="A1065" s="6" t="s">
        <v>1103</v>
      </c>
      <c r="B1065" s="6" t="s">
        <v>2033</v>
      </c>
      <c r="C1065" s="6" t="s">
        <v>62</v>
      </c>
      <c r="D1065" s="6" t="s">
        <v>1255</v>
      </c>
      <c r="E1065" s="6" t="s">
        <v>20</v>
      </c>
      <c r="F1065" s="6" t="s">
        <v>21</v>
      </c>
      <c r="G1065" s="6" t="s">
        <v>1376</v>
      </c>
      <c r="H1065" s="6" t="s">
        <v>1377</v>
      </c>
      <c r="I1065" s="6">
        <v>5284</v>
      </c>
      <c r="J1065" s="6" t="s">
        <v>29</v>
      </c>
      <c r="K1065" s="6" t="s">
        <v>46</v>
      </c>
    </row>
    <row r="1066" spans="1:11" x14ac:dyDescent="0.25">
      <c r="A1066" s="5" t="s">
        <v>1104</v>
      </c>
      <c r="B1066" s="5" t="s">
        <v>1655</v>
      </c>
      <c r="C1066" s="5" t="s">
        <v>73</v>
      </c>
      <c r="D1066" s="5" t="s">
        <v>1255</v>
      </c>
      <c r="E1066" s="5" t="s">
        <v>1394</v>
      </c>
      <c r="F1066" s="5" t="s">
        <v>34</v>
      </c>
      <c r="G1066" s="5" t="s">
        <v>1405</v>
      </c>
      <c r="H1066" s="5" t="s">
        <v>1278</v>
      </c>
      <c r="I1066" s="5">
        <v>22761</v>
      </c>
      <c r="J1066" s="5" t="s">
        <v>45</v>
      </c>
      <c r="K1066" s="5" t="s">
        <v>46</v>
      </c>
    </row>
    <row r="1067" spans="1:11" x14ac:dyDescent="0.25">
      <c r="A1067" s="6" t="s">
        <v>1105</v>
      </c>
      <c r="B1067" s="6" t="s">
        <v>1728</v>
      </c>
      <c r="C1067" s="6" t="s">
        <v>1259</v>
      </c>
      <c r="D1067" s="6" t="s">
        <v>1296</v>
      </c>
      <c r="E1067" s="6" t="s">
        <v>41</v>
      </c>
      <c r="F1067" s="6" t="s">
        <v>42</v>
      </c>
      <c r="G1067" s="6" t="s">
        <v>1315</v>
      </c>
      <c r="H1067" s="6" t="s">
        <v>1325</v>
      </c>
      <c r="I1067" s="6">
        <v>21258</v>
      </c>
      <c r="J1067" s="6" t="s">
        <v>45</v>
      </c>
      <c r="K1067" s="6" t="s">
        <v>17</v>
      </c>
    </row>
    <row r="1068" spans="1:11" x14ac:dyDescent="0.25">
      <c r="A1068" s="5" t="s">
        <v>1106</v>
      </c>
      <c r="B1068" s="5" t="s">
        <v>2034</v>
      </c>
      <c r="C1068" s="5" t="s">
        <v>1288</v>
      </c>
      <c r="D1068" s="5" t="s">
        <v>1283</v>
      </c>
      <c r="E1068" s="5" t="s">
        <v>63</v>
      </c>
      <c r="F1068" s="5" t="s">
        <v>59</v>
      </c>
      <c r="G1068" s="5" t="s">
        <v>1260</v>
      </c>
      <c r="H1068" s="5" t="s">
        <v>1308</v>
      </c>
      <c r="I1068" s="5">
        <v>3540</v>
      </c>
      <c r="J1068" s="5" t="s">
        <v>16</v>
      </c>
      <c r="K1068" s="5" t="s">
        <v>1262</v>
      </c>
    </row>
    <row r="1069" spans="1:11" x14ac:dyDescent="0.25">
      <c r="A1069" s="6" t="s">
        <v>1107</v>
      </c>
      <c r="B1069" s="6" t="s">
        <v>1803</v>
      </c>
      <c r="C1069" s="6" t="s">
        <v>1264</v>
      </c>
      <c r="D1069" s="6" t="s">
        <v>1270</v>
      </c>
      <c r="E1069" s="6" t="s">
        <v>63</v>
      </c>
      <c r="F1069" s="6" t="s">
        <v>59</v>
      </c>
      <c r="G1069" s="6" t="s">
        <v>1380</v>
      </c>
      <c r="H1069" s="6" t="s">
        <v>1320</v>
      </c>
      <c r="I1069" s="6">
        <v>3089</v>
      </c>
      <c r="J1069" s="6" t="s">
        <v>22</v>
      </c>
      <c r="K1069" s="6" t="s">
        <v>46</v>
      </c>
    </row>
    <row r="1070" spans="1:11" x14ac:dyDescent="0.25">
      <c r="A1070" s="5" t="s">
        <v>1108</v>
      </c>
      <c r="B1070" s="5" t="s">
        <v>1414</v>
      </c>
      <c r="C1070" s="5" t="s">
        <v>62</v>
      </c>
      <c r="D1070" s="5" t="s">
        <v>1275</v>
      </c>
      <c r="E1070" s="5" t="s">
        <v>66</v>
      </c>
      <c r="F1070" s="5" t="s">
        <v>67</v>
      </c>
      <c r="G1070" s="5" t="s">
        <v>1313</v>
      </c>
      <c r="H1070" s="5" t="s">
        <v>1317</v>
      </c>
      <c r="I1070" s="5">
        <v>1723</v>
      </c>
      <c r="J1070" s="5" t="s">
        <v>45</v>
      </c>
      <c r="K1070" s="5" t="s">
        <v>46</v>
      </c>
    </row>
    <row r="1071" spans="1:11" x14ac:dyDescent="0.25">
      <c r="A1071" s="6" t="s">
        <v>1109</v>
      </c>
      <c r="B1071" s="6" t="s">
        <v>1362</v>
      </c>
      <c r="C1071" s="6" t="s">
        <v>48</v>
      </c>
      <c r="D1071" s="6" t="s">
        <v>1275</v>
      </c>
      <c r="E1071" s="6" t="s">
        <v>1374</v>
      </c>
      <c r="F1071" s="6" t="s">
        <v>50</v>
      </c>
      <c r="G1071" s="6" t="s">
        <v>1405</v>
      </c>
      <c r="H1071" s="6" t="s">
        <v>1291</v>
      </c>
      <c r="I1071" s="6">
        <v>50064</v>
      </c>
      <c r="J1071" s="6" t="s">
        <v>29</v>
      </c>
      <c r="K1071" s="6" t="s">
        <v>1286</v>
      </c>
    </row>
    <row r="1072" spans="1:11" x14ac:dyDescent="0.25">
      <c r="A1072" s="5" t="s">
        <v>1110</v>
      </c>
      <c r="B1072" s="5" t="s">
        <v>2035</v>
      </c>
      <c r="C1072" s="5" t="s">
        <v>73</v>
      </c>
      <c r="D1072" s="5" t="s">
        <v>36</v>
      </c>
      <c r="E1072" s="5" t="s">
        <v>20</v>
      </c>
      <c r="F1072" s="5" t="s">
        <v>21</v>
      </c>
      <c r="G1072" s="5" t="s">
        <v>1315</v>
      </c>
      <c r="H1072" s="5" t="s">
        <v>1454</v>
      </c>
      <c r="I1072" s="5">
        <v>6729</v>
      </c>
      <c r="J1072" s="5" t="s">
        <v>45</v>
      </c>
      <c r="K1072" s="5" t="s">
        <v>1273</v>
      </c>
    </row>
    <row r="1073" spans="1:11" x14ac:dyDescent="0.25">
      <c r="A1073" s="6" t="s">
        <v>1111</v>
      </c>
      <c r="B1073" s="6" t="s">
        <v>2036</v>
      </c>
      <c r="C1073" s="6" t="s">
        <v>1259</v>
      </c>
      <c r="D1073" s="6" t="s">
        <v>1296</v>
      </c>
      <c r="E1073" s="6" t="s">
        <v>49</v>
      </c>
      <c r="F1073" s="6" t="s">
        <v>50</v>
      </c>
      <c r="G1073" s="6" t="s">
        <v>1310</v>
      </c>
      <c r="H1073" s="6" t="s">
        <v>1359</v>
      </c>
      <c r="I1073" s="6">
        <v>56613</v>
      </c>
      <c r="J1073" s="6" t="s">
        <v>16</v>
      </c>
      <c r="K1073" s="6" t="s">
        <v>1286</v>
      </c>
    </row>
    <row r="1074" spans="1:11" x14ac:dyDescent="0.25">
      <c r="A1074" s="5" t="s">
        <v>1112</v>
      </c>
      <c r="B1074" s="5" t="s">
        <v>1438</v>
      </c>
      <c r="C1074" s="5" t="s">
        <v>62</v>
      </c>
      <c r="D1074" s="5" t="s">
        <v>1296</v>
      </c>
      <c r="E1074" s="5" t="s">
        <v>49</v>
      </c>
      <c r="F1074" s="5" t="s">
        <v>50</v>
      </c>
      <c r="G1074" s="5" t="s">
        <v>1380</v>
      </c>
      <c r="H1074" s="5" t="s">
        <v>1291</v>
      </c>
      <c r="I1074" s="5">
        <v>55755</v>
      </c>
      <c r="J1074" s="5" t="s">
        <v>16</v>
      </c>
      <c r="K1074" s="5" t="s">
        <v>46</v>
      </c>
    </row>
    <row r="1075" spans="1:11" x14ac:dyDescent="0.25">
      <c r="A1075" s="6" t="s">
        <v>1113</v>
      </c>
      <c r="B1075" s="6" t="s">
        <v>2037</v>
      </c>
      <c r="C1075" s="6" t="s">
        <v>1259</v>
      </c>
      <c r="D1075" s="6" t="s">
        <v>26</v>
      </c>
      <c r="E1075" s="6" t="s">
        <v>27</v>
      </c>
      <c r="F1075" s="6" t="s">
        <v>28</v>
      </c>
      <c r="G1075" s="6" t="s">
        <v>1301</v>
      </c>
      <c r="H1075" s="6" t="s">
        <v>1266</v>
      </c>
      <c r="I1075" s="6">
        <v>9488</v>
      </c>
      <c r="J1075" s="6" t="s">
        <v>45</v>
      </c>
      <c r="K1075" s="6" t="s">
        <v>1286</v>
      </c>
    </row>
    <row r="1076" spans="1:11" x14ac:dyDescent="0.25">
      <c r="A1076" s="5" t="s">
        <v>1114</v>
      </c>
      <c r="B1076" s="5" t="s">
        <v>2038</v>
      </c>
      <c r="C1076" s="5" t="s">
        <v>1288</v>
      </c>
      <c r="D1076" s="5" t="s">
        <v>1275</v>
      </c>
      <c r="E1076" s="5" t="s">
        <v>1466</v>
      </c>
      <c r="F1076" s="5" t="s">
        <v>21</v>
      </c>
      <c r="G1076" s="5" t="s">
        <v>1307</v>
      </c>
      <c r="H1076" s="5" t="s">
        <v>1261</v>
      </c>
      <c r="I1076" s="5">
        <v>5169</v>
      </c>
      <c r="J1076" s="5" t="s">
        <v>29</v>
      </c>
      <c r="K1076" s="5" t="s">
        <v>1262</v>
      </c>
    </row>
    <row r="1077" spans="1:11" x14ac:dyDescent="0.25">
      <c r="A1077" s="6" t="s">
        <v>1115</v>
      </c>
      <c r="B1077" s="6" t="s">
        <v>1350</v>
      </c>
      <c r="C1077" s="6" t="s">
        <v>1264</v>
      </c>
      <c r="D1077" s="6" t="s">
        <v>1275</v>
      </c>
      <c r="E1077" s="6" t="s">
        <v>27</v>
      </c>
      <c r="F1077" s="6" t="s">
        <v>28</v>
      </c>
      <c r="G1077" s="6" t="s">
        <v>1260</v>
      </c>
      <c r="H1077" s="6" t="s">
        <v>1458</v>
      </c>
      <c r="I1077" s="6">
        <v>10299</v>
      </c>
      <c r="J1077" s="6" t="s">
        <v>16</v>
      </c>
      <c r="K1077" s="6" t="s">
        <v>17</v>
      </c>
    </row>
    <row r="1078" spans="1:11" x14ac:dyDescent="0.25">
      <c r="A1078" s="5" t="s">
        <v>1116</v>
      </c>
      <c r="B1078" s="5" t="s">
        <v>1326</v>
      </c>
      <c r="C1078" s="5" t="s">
        <v>1254</v>
      </c>
      <c r="D1078" s="5" t="s">
        <v>1270</v>
      </c>
      <c r="E1078" s="5" t="s">
        <v>20</v>
      </c>
      <c r="F1078" s="5" t="s">
        <v>21</v>
      </c>
      <c r="G1078" s="5" t="s">
        <v>1315</v>
      </c>
      <c r="H1078" s="5" t="s">
        <v>1261</v>
      </c>
      <c r="I1078" s="5">
        <v>5569</v>
      </c>
      <c r="J1078" s="5" t="s">
        <v>16</v>
      </c>
      <c r="K1078" s="5" t="s">
        <v>1262</v>
      </c>
    </row>
    <row r="1079" spans="1:11" x14ac:dyDescent="0.25">
      <c r="A1079" s="6" t="s">
        <v>1117</v>
      </c>
      <c r="B1079" s="6" t="s">
        <v>2039</v>
      </c>
      <c r="C1079" s="6" t="s">
        <v>1269</v>
      </c>
      <c r="D1079" s="6" t="s">
        <v>1283</v>
      </c>
      <c r="E1079" s="6" t="s">
        <v>41</v>
      </c>
      <c r="F1079" s="6" t="s">
        <v>42</v>
      </c>
      <c r="G1079" s="6" t="s">
        <v>1331</v>
      </c>
      <c r="H1079" s="6" t="s">
        <v>1285</v>
      </c>
      <c r="I1079" s="6">
        <v>18382</v>
      </c>
      <c r="J1079" s="6" t="s">
        <v>45</v>
      </c>
      <c r="K1079" s="6" t="s">
        <v>1273</v>
      </c>
    </row>
    <row r="1080" spans="1:11" x14ac:dyDescent="0.25">
      <c r="A1080" s="5" t="s">
        <v>1118</v>
      </c>
      <c r="B1080" s="5" t="s">
        <v>2040</v>
      </c>
      <c r="C1080" s="5" t="s">
        <v>53</v>
      </c>
      <c r="D1080" s="5" t="s">
        <v>26</v>
      </c>
      <c r="E1080" s="5" t="s">
        <v>37</v>
      </c>
      <c r="F1080" s="5" t="s">
        <v>38</v>
      </c>
      <c r="G1080" s="5" t="s">
        <v>1297</v>
      </c>
      <c r="H1080" s="5" t="s">
        <v>1281</v>
      </c>
      <c r="I1080" s="5">
        <v>38741</v>
      </c>
      <c r="J1080" s="5" t="s">
        <v>22</v>
      </c>
      <c r="K1080" s="5" t="s">
        <v>1273</v>
      </c>
    </row>
    <row r="1081" spans="1:11" x14ac:dyDescent="0.25">
      <c r="A1081" s="6" t="s">
        <v>1119</v>
      </c>
      <c r="B1081" s="6" t="s">
        <v>2041</v>
      </c>
      <c r="C1081" s="6" t="s">
        <v>53</v>
      </c>
      <c r="D1081" s="6" t="s">
        <v>1283</v>
      </c>
      <c r="E1081" s="6" t="s">
        <v>1587</v>
      </c>
      <c r="F1081" s="6" t="s">
        <v>21</v>
      </c>
      <c r="G1081" s="6" t="s">
        <v>1440</v>
      </c>
      <c r="H1081" s="6" t="s">
        <v>1377</v>
      </c>
      <c r="I1081" s="6">
        <v>6299</v>
      </c>
      <c r="J1081" s="6" t="s">
        <v>1267</v>
      </c>
      <c r="K1081" s="6"/>
    </row>
    <row r="1082" spans="1:11" x14ac:dyDescent="0.25">
      <c r="A1082" s="5" t="s">
        <v>1120</v>
      </c>
      <c r="B1082" s="5" t="s">
        <v>2000</v>
      </c>
      <c r="C1082" s="5" t="s">
        <v>1288</v>
      </c>
      <c r="D1082" s="5" t="s">
        <v>1283</v>
      </c>
      <c r="E1082" s="5" t="s">
        <v>27</v>
      </c>
      <c r="F1082" s="5" t="s">
        <v>28</v>
      </c>
      <c r="G1082" s="5" t="s">
        <v>1331</v>
      </c>
      <c r="H1082" s="5" t="s">
        <v>1266</v>
      </c>
      <c r="I1082" s="5">
        <v>11077</v>
      </c>
      <c r="J1082" s="5" t="s">
        <v>16</v>
      </c>
      <c r="K1082" s="5" t="s">
        <v>1286</v>
      </c>
    </row>
    <row r="1083" spans="1:11" x14ac:dyDescent="0.25">
      <c r="A1083" s="6" t="s">
        <v>1121</v>
      </c>
      <c r="B1083" s="6" t="s">
        <v>1579</v>
      </c>
      <c r="C1083" s="6" t="s">
        <v>1264</v>
      </c>
      <c r="D1083" s="6" t="s">
        <v>1270</v>
      </c>
      <c r="E1083" s="6" t="s">
        <v>55</v>
      </c>
      <c r="F1083" s="6" t="s">
        <v>34</v>
      </c>
      <c r="G1083" s="6" t="s">
        <v>1331</v>
      </c>
      <c r="H1083" s="6" t="s">
        <v>1278</v>
      </c>
      <c r="I1083" s="6">
        <v>23803</v>
      </c>
      <c r="J1083" s="6" t="s">
        <v>45</v>
      </c>
      <c r="K1083" s="6" t="s">
        <v>1262</v>
      </c>
    </row>
    <row r="1084" spans="1:11" x14ac:dyDescent="0.25">
      <c r="A1084" s="5" t="s">
        <v>1122</v>
      </c>
      <c r="B1084" s="5" t="s">
        <v>1662</v>
      </c>
      <c r="C1084" s="5" t="s">
        <v>1254</v>
      </c>
      <c r="D1084" s="5" t="s">
        <v>1255</v>
      </c>
      <c r="E1084" s="5" t="s">
        <v>27</v>
      </c>
      <c r="F1084" s="5" t="s">
        <v>28</v>
      </c>
      <c r="G1084" s="5" t="s">
        <v>1260</v>
      </c>
      <c r="H1084" s="5" t="s">
        <v>1266</v>
      </c>
      <c r="I1084" s="5">
        <v>10300</v>
      </c>
      <c r="J1084" s="5" t="s">
        <v>16</v>
      </c>
      <c r="K1084" s="5" t="s">
        <v>46</v>
      </c>
    </row>
    <row r="1085" spans="1:11" x14ac:dyDescent="0.25">
      <c r="A1085" s="6" t="s">
        <v>1123</v>
      </c>
      <c r="B1085" s="6" t="s">
        <v>1656</v>
      </c>
      <c r="C1085" s="6" t="s">
        <v>48</v>
      </c>
      <c r="D1085" s="6" t="s">
        <v>36</v>
      </c>
      <c r="E1085" s="6" t="s">
        <v>66</v>
      </c>
      <c r="F1085" s="6" t="s">
        <v>67</v>
      </c>
      <c r="G1085" s="6" t="s">
        <v>1364</v>
      </c>
      <c r="H1085" s="6" t="s">
        <v>1335</v>
      </c>
      <c r="I1085" s="6">
        <v>1580</v>
      </c>
      <c r="J1085" s="6" t="s">
        <v>16</v>
      </c>
      <c r="K1085" s="6" t="s">
        <v>17</v>
      </c>
    </row>
    <row r="1086" spans="1:11" x14ac:dyDescent="0.25">
      <c r="A1086" s="5" t="s">
        <v>1124</v>
      </c>
      <c r="B1086" s="5" t="s">
        <v>1769</v>
      </c>
      <c r="C1086" s="5" t="s">
        <v>1259</v>
      </c>
      <c r="D1086" s="5"/>
      <c r="E1086" s="5" t="s">
        <v>1353</v>
      </c>
      <c r="F1086" s="5" t="s">
        <v>59</v>
      </c>
      <c r="G1086" s="5" t="s">
        <v>1315</v>
      </c>
      <c r="H1086" s="5" t="s">
        <v>1403</v>
      </c>
      <c r="I1086" s="5">
        <v>3223</v>
      </c>
      <c r="J1086" s="5" t="s">
        <v>16</v>
      </c>
      <c r="K1086" s="5" t="s">
        <v>1286</v>
      </c>
    </row>
    <row r="1087" spans="1:11" x14ac:dyDescent="0.25">
      <c r="A1087" s="6" t="s">
        <v>1125</v>
      </c>
      <c r="B1087" s="6" t="s">
        <v>2042</v>
      </c>
      <c r="C1087" s="6" t="s">
        <v>1264</v>
      </c>
      <c r="D1087" s="6" t="s">
        <v>36</v>
      </c>
      <c r="E1087" s="6" t="s">
        <v>55</v>
      </c>
      <c r="F1087" s="6" t="s">
        <v>34</v>
      </c>
      <c r="G1087" s="6" t="s">
        <v>1284</v>
      </c>
      <c r="H1087" s="6" t="s">
        <v>1278</v>
      </c>
      <c r="I1087" s="6">
        <v>22994</v>
      </c>
      <c r="J1087" s="6" t="s">
        <v>16</v>
      </c>
      <c r="K1087" s="6" t="s">
        <v>1273</v>
      </c>
    </row>
    <row r="1088" spans="1:11" x14ac:dyDescent="0.25">
      <c r="A1088" s="5" t="s">
        <v>1126</v>
      </c>
      <c r="B1088" s="5" t="s">
        <v>1552</v>
      </c>
      <c r="C1088" s="5" t="s">
        <v>62</v>
      </c>
      <c r="D1088" s="5" t="s">
        <v>36</v>
      </c>
      <c r="E1088" s="5" t="s">
        <v>14</v>
      </c>
      <c r="F1088" s="5" t="s">
        <v>15</v>
      </c>
      <c r="G1088" s="5" t="s">
        <v>1297</v>
      </c>
      <c r="H1088" s="5" t="s">
        <v>1257</v>
      </c>
      <c r="I1088" s="5">
        <v>9276</v>
      </c>
      <c r="J1088" s="5" t="s">
        <v>45</v>
      </c>
      <c r="K1088" s="5" t="s">
        <v>46</v>
      </c>
    </row>
    <row r="1089" spans="1:11" x14ac:dyDescent="0.25">
      <c r="A1089" s="6" t="s">
        <v>1127</v>
      </c>
      <c r="B1089" s="6" t="s">
        <v>2043</v>
      </c>
      <c r="C1089" s="6" t="s">
        <v>1269</v>
      </c>
      <c r="D1089" s="6" t="s">
        <v>1283</v>
      </c>
      <c r="E1089" s="6" t="s">
        <v>20</v>
      </c>
      <c r="F1089" s="6" t="s">
        <v>21</v>
      </c>
      <c r="G1089" s="6" t="s">
        <v>1560</v>
      </c>
      <c r="H1089" s="6" t="s">
        <v>1377</v>
      </c>
      <c r="I1089" s="6">
        <v>6192</v>
      </c>
      <c r="J1089" s="6" t="s">
        <v>29</v>
      </c>
      <c r="K1089" s="6" t="s">
        <v>1262</v>
      </c>
    </row>
    <row r="1090" spans="1:11" x14ac:dyDescent="0.25">
      <c r="A1090" s="5" t="s">
        <v>1128</v>
      </c>
      <c r="B1090" s="5" t="s">
        <v>2044</v>
      </c>
      <c r="C1090" s="5" t="s">
        <v>1254</v>
      </c>
      <c r="D1090" s="5" t="s">
        <v>36</v>
      </c>
      <c r="E1090" s="5" t="s">
        <v>66</v>
      </c>
      <c r="F1090" s="5" t="s">
        <v>67</v>
      </c>
      <c r="G1090" s="5" t="s">
        <v>1294</v>
      </c>
      <c r="H1090" s="5" t="s">
        <v>1317</v>
      </c>
      <c r="I1090" s="5">
        <v>1799</v>
      </c>
      <c r="J1090" s="5" t="s">
        <v>1267</v>
      </c>
      <c r="K1090" s="5" t="s">
        <v>1273</v>
      </c>
    </row>
    <row r="1091" spans="1:11" x14ac:dyDescent="0.25">
      <c r="A1091" s="6" t="s">
        <v>1129</v>
      </c>
      <c r="B1091" s="6" t="s">
        <v>1452</v>
      </c>
      <c r="C1091" s="6" t="s">
        <v>62</v>
      </c>
      <c r="D1091" s="6" t="s">
        <v>36</v>
      </c>
      <c r="E1091" s="6" t="s">
        <v>1529</v>
      </c>
      <c r="F1091" s="6" t="s">
        <v>67</v>
      </c>
      <c r="G1091" s="6" t="s">
        <v>1337</v>
      </c>
      <c r="H1091" s="6" t="s">
        <v>1317</v>
      </c>
      <c r="I1091" s="6">
        <v>1647</v>
      </c>
      <c r="J1091" s="6" t="s">
        <v>22</v>
      </c>
      <c r="K1091" s="6" t="s">
        <v>1273</v>
      </c>
    </row>
    <row r="1092" spans="1:11" x14ac:dyDescent="0.25">
      <c r="A1092" s="5" t="s">
        <v>1130</v>
      </c>
      <c r="B1092" s="5" t="s">
        <v>1602</v>
      </c>
      <c r="C1092" s="5" t="s">
        <v>1264</v>
      </c>
      <c r="D1092" s="5" t="s">
        <v>26</v>
      </c>
      <c r="E1092" s="5" t="s">
        <v>41</v>
      </c>
      <c r="F1092" s="5" t="s">
        <v>42</v>
      </c>
      <c r="G1092" s="5" t="s">
        <v>1297</v>
      </c>
      <c r="H1092" s="5" t="s">
        <v>1325</v>
      </c>
      <c r="I1092" s="5">
        <v>20521</v>
      </c>
      <c r="J1092" s="5" t="s">
        <v>1267</v>
      </c>
      <c r="K1092" s="5" t="s">
        <v>1286</v>
      </c>
    </row>
    <row r="1093" spans="1:11" x14ac:dyDescent="0.25">
      <c r="A1093" s="6" t="s">
        <v>1131</v>
      </c>
      <c r="B1093" s="6" t="s">
        <v>1975</v>
      </c>
      <c r="C1093" s="6" t="s">
        <v>1288</v>
      </c>
      <c r="D1093" s="6" t="s">
        <v>1275</v>
      </c>
      <c r="E1093" s="6" t="s">
        <v>27</v>
      </c>
      <c r="F1093" s="6" t="s">
        <v>28</v>
      </c>
      <c r="G1093" s="6" t="s">
        <v>1297</v>
      </c>
      <c r="H1093" s="6" t="s">
        <v>1458</v>
      </c>
      <c r="I1093" s="6">
        <v>10741</v>
      </c>
      <c r="J1093" s="6" t="s">
        <v>29</v>
      </c>
      <c r="K1093" s="6" t="s">
        <v>17</v>
      </c>
    </row>
    <row r="1094" spans="1:11" x14ac:dyDescent="0.25">
      <c r="A1094" s="5" t="s">
        <v>1132</v>
      </c>
      <c r="B1094" s="5" t="s">
        <v>2045</v>
      </c>
      <c r="C1094" s="5" t="s">
        <v>48</v>
      </c>
      <c r="D1094" s="5" t="s">
        <v>26</v>
      </c>
      <c r="E1094" s="5" t="s">
        <v>66</v>
      </c>
      <c r="F1094" s="5" t="s">
        <v>67</v>
      </c>
      <c r="G1094" s="5" t="s">
        <v>1380</v>
      </c>
      <c r="H1094" s="5" t="s">
        <v>1317</v>
      </c>
      <c r="I1094" s="5">
        <v>1629</v>
      </c>
      <c r="J1094" s="5" t="s">
        <v>22</v>
      </c>
      <c r="K1094" s="5" t="s">
        <v>1273</v>
      </c>
    </row>
    <row r="1095" spans="1:11" x14ac:dyDescent="0.25">
      <c r="A1095" s="6" t="s">
        <v>1133</v>
      </c>
      <c r="B1095" s="6" t="s">
        <v>1740</v>
      </c>
      <c r="C1095" s="6" t="s">
        <v>1264</v>
      </c>
      <c r="D1095" s="6" t="s">
        <v>1275</v>
      </c>
      <c r="E1095" s="6" t="s">
        <v>37</v>
      </c>
      <c r="F1095" s="6" t="s">
        <v>38</v>
      </c>
      <c r="G1095" s="6" t="s">
        <v>1297</v>
      </c>
      <c r="H1095" s="6" t="s">
        <v>1281</v>
      </c>
      <c r="I1095" s="6">
        <v>43390</v>
      </c>
      <c r="J1095" s="6" t="s">
        <v>45</v>
      </c>
      <c r="K1095" s="6" t="s">
        <v>1262</v>
      </c>
    </row>
    <row r="1096" spans="1:11" x14ac:dyDescent="0.25">
      <c r="A1096" s="5" t="s">
        <v>1134</v>
      </c>
      <c r="B1096" s="5" t="s">
        <v>2046</v>
      </c>
      <c r="C1096" s="5" t="s">
        <v>73</v>
      </c>
      <c r="D1096" s="5" t="s">
        <v>36</v>
      </c>
      <c r="E1096" s="5" t="s">
        <v>1524</v>
      </c>
      <c r="F1096" s="5" t="s">
        <v>15</v>
      </c>
      <c r="G1096" s="5" t="s">
        <v>1280</v>
      </c>
      <c r="H1096" s="5" t="s">
        <v>1257</v>
      </c>
      <c r="I1096" s="5">
        <v>8178</v>
      </c>
      <c r="J1096" s="5" t="s">
        <v>29</v>
      </c>
      <c r="K1096" s="5" t="s">
        <v>46</v>
      </c>
    </row>
    <row r="1097" spans="1:11" x14ac:dyDescent="0.25">
      <c r="A1097" s="6" t="s">
        <v>1135</v>
      </c>
      <c r="B1097" s="6" t="s">
        <v>1739</v>
      </c>
      <c r="C1097" s="6" t="s">
        <v>62</v>
      </c>
      <c r="D1097" s="6" t="s">
        <v>1296</v>
      </c>
      <c r="E1097" s="6" t="s">
        <v>37</v>
      </c>
      <c r="F1097" s="6" t="s">
        <v>38</v>
      </c>
      <c r="G1097" s="6" t="s">
        <v>1625</v>
      </c>
      <c r="H1097" s="6" t="s">
        <v>1342</v>
      </c>
      <c r="I1097" s="6">
        <v>33124</v>
      </c>
      <c r="J1097" s="6" t="s">
        <v>22</v>
      </c>
      <c r="K1097" s="6" t="s">
        <v>1273</v>
      </c>
    </row>
    <row r="1098" spans="1:11" x14ac:dyDescent="0.25">
      <c r="A1098" s="5" t="s">
        <v>1136</v>
      </c>
      <c r="B1098" s="5" t="s">
        <v>1493</v>
      </c>
      <c r="C1098" s="5" t="s">
        <v>53</v>
      </c>
      <c r="D1098" s="5" t="s">
        <v>26</v>
      </c>
      <c r="E1098" s="5" t="s">
        <v>41</v>
      </c>
      <c r="F1098" s="5" t="s">
        <v>42</v>
      </c>
      <c r="G1098" s="5" t="s">
        <v>1280</v>
      </c>
      <c r="H1098" s="5" t="s">
        <v>1325</v>
      </c>
      <c r="I1098" s="5">
        <v>18746</v>
      </c>
      <c r="J1098" s="5" t="s">
        <v>45</v>
      </c>
      <c r="K1098" s="5" t="s">
        <v>1273</v>
      </c>
    </row>
    <row r="1099" spans="1:11" x14ac:dyDescent="0.25">
      <c r="A1099" s="6" t="s">
        <v>1137</v>
      </c>
      <c r="B1099" s="6" t="s">
        <v>2047</v>
      </c>
      <c r="C1099" s="6" t="s">
        <v>1259</v>
      </c>
      <c r="D1099" s="6" t="s">
        <v>26</v>
      </c>
      <c r="E1099" s="6" t="s">
        <v>27</v>
      </c>
      <c r="F1099" s="6" t="s">
        <v>28</v>
      </c>
      <c r="G1099" s="6" t="s">
        <v>1337</v>
      </c>
      <c r="H1099" s="6" t="s">
        <v>1266</v>
      </c>
      <c r="I1099" s="6">
        <v>11143</v>
      </c>
      <c r="J1099" s="6" t="s">
        <v>16</v>
      </c>
      <c r="K1099" s="6" t="s">
        <v>1273</v>
      </c>
    </row>
    <row r="1100" spans="1:11" x14ac:dyDescent="0.25">
      <c r="A1100" s="5" t="s">
        <v>1138</v>
      </c>
      <c r="B1100" s="5" t="s">
        <v>1530</v>
      </c>
      <c r="C1100" s="5" t="s">
        <v>53</v>
      </c>
      <c r="D1100" s="5" t="s">
        <v>1275</v>
      </c>
      <c r="E1100" s="5" t="s">
        <v>63</v>
      </c>
      <c r="F1100" s="5" t="s">
        <v>59</v>
      </c>
      <c r="G1100" s="5" t="s">
        <v>1364</v>
      </c>
      <c r="H1100" s="5" t="s">
        <v>1403</v>
      </c>
      <c r="I1100" s="5">
        <v>2838</v>
      </c>
      <c r="J1100" s="5" t="s">
        <v>45</v>
      </c>
      <c r="K1100" s="5" t="s">
        <v>46</v>
      </c>
    </row>
    <row r="1101" spans="1:11" x14ac:dyDescent="0.25">
      <c r="A1101" s="6" t="s">
        <v>1139</v>
      </c>
      <c r="B1101" s="6" t="s">
        <v>2048</v>
      </c>
      <c r="C1101" s="6" t="s">
        <v>62</v>
      </c>
      <c r="D1101" s="6" t="s">
        <v>1283</v>
      </c>
      <c r="E1101" s="6" t="s">
        <v>1383</v>
      </c>
      <c r="F1101" s="6" t="s">
        <v>42</v>
      </c>
      <c r="G1101" s="6" t="s">
        <v>1307</v>
      </c>
      <c r="H1101" s="6" t="s">
        <v>1311</v>
      </c>
      <c r="I1101" s="6">
        <v>17980</v>
      </c>
      <c r="J1101" s="6" t="s">
        <v>22</v>
      </c>
      <c r="K1101" s="6" t="s">
        <v>1273</v>
      </c>
    </row>
    <row r="1102" spans="1:11" x14ac:dyDescent="0.25">
      <c r="A1102" s="5" t="s">
        <v>1140</v>
      </c>
      <c r="B1102" s="5" t="s">
        <v>1622</v>
      </c>
      <c r="C1102" s="5" t="s">
        <v>62</v>
      </c>
      <c r="D1102" s="5" t="s">
        <v>1296</v>
      </c>
      <c r="E1102" s="5" t="s">
        <v>49</v>
      </c>
      <c r="F1102" s="5" t="s">
        <v>50</v>
      </c>
      <c r="G1102" s="5" t="s">
        <v>1303</v>
      </c>
      <c r="H1102" s="5" t="s">
        <v>1291</v>
      </c>
      <c r="I1102" s="5">
        <v>46079</v>
      </c>
      <c r="J1102" s="5" t="s">
        <v>29</v>
      </c>
      <c r="K1102" s="5" t="s">
        <v>46</v>
      </c>
    </row>
    <row r="1103" spans="1:11" x14ac:dyDescent="0.25">
      <c r="A1103" s="6" t="s">
        <v>1141</v>
      </c>
      <c r="B1103" s="6" t="s">
        <v>2049</v>
      </c>
      <c r="C1103" s="6" t="s">
        <v>53</v>
      </c>
      <c r="D1103" s="6" t="s">
        <v>26</v>
      </c>
      <c r="E1103" s="6" t="s">
        <v>49</v>
      </c>
      <c r="F1103" s="6" t="s">
        <v>50</v>
      </c>
      <c r="G1103" s="6" t="s">
        <v>1303</v>
      </c>
      <c r="H1103" s="6" t="s">
        <v>1291</v>
      </c>
      <c r="I1103" s="6">
        <v>57875</v>
      </c>
      <c r="J1103" s="6" t="s">
        <v>45</v>
      </c>
      <c r="K1103" s="6" t="s">
        <v>1273</v>
      </c>
    </row>
    <row r="1104" spans="1:11" x14ac:dyDescent="0.25">
      <c r="A1104" s="5" t="s">
        <v>1142</v>
      </c>
      <c r="B1104" s="5" t="s">
        <v>2050</v>
      </c>
      <c r="C1104" s="5" t="s">
        <v>1269</v>
      </c>
      <c r="D1104" s="5" t="s">
        <v>1296</v>
      </c>
      <c r="E1104" s="5" t="s">
        <v>63</v>
      </c>
      <c r="F1104" s="5" t="s">
        <v>59</v>
      </c>
      <c r="G1104" s="5" t="s">
        <v>1294</v>
      </c>
      <c r="H1104" s="5" t="s">
        <v>1308</v>
      </c>
      <c r="I1104" s="5">
        <v>3191</v>
      </c>
      <c r="J1104" s="5" t="s">
        <v>22</v>
      </c>
      <c r="K1104" s="5" t="s">
        <v>17</v>
      </c>
    </row>
    <row r="1105" spans="1:11" x14ac:dyDescent="0.25">
      <c r="A1105" s="6" t="s">
        <v>1143</v>
      </c>
      <c r="B1105" s="6" t="s">
        <v>2051</v>
      </c>
      <c r="C1105" s="6" t="s">
        <v>1269</v>
      </c>
      <c r="D1105" s="6" t="s">
        <v>1270</v>
      </c>
      <c r="E1105" s="6" t="s">
        <v>49</v>
      </c>
      <c r="F1105" s="6" t="s">
        <v>50</v>
      </c>
      <c r="G1105" s="6" t="s">
        <v>1289</v>
      </c>
      <c r="H1105" s="6" t="s">
        <v>1359</v>
      </c>
      <c r="I1105" s="6">
        <v>56876</v>
      </c>
      <c r="J1105" s="6" t="s">
        <v>1267</v>
      </c>
      <c r="K1105" s="6" t="s">
        <v>46</v>
      </c>
    </row>
    <row r="1106" spans="1:11" x14ac:dyDescent="0.25">
      <c r="A1106" s="5" t="s">
        <v>1144</v>
      </c>
      <c r="B1106" s="5" t="s">
        <v>1787</v>
      </c>
      <c r="C1106" s="5" t="s">
        <v>1264</v>
      </c>
      <c r="D1106" s="5" t="s">
        <v>1296</v>
      </c>
      <c r="E1106" s="5" t="s">
        <v>1607</v>
      </c>
      <c r="F1106" s="5" t="s">
        <v>28</v>
      </c>
      <c r="G1106" s="5" t="s">
        <v>1307</v>
      </c>
      <c r="H1106" s="5" t="s">
        <v>1266</v>
      </c>
      <c r="I1106" s="5">
        <v>8575</v>
      </c>
      <c r="J1106" s="5" t="s">
        <v>45</v>
      </c>
      <c r="K1106" s="5" t="s">
        <v>1286</v>
      </c>
    </row>
    <row r="1107" spans="1:11" x14ac:dyDescent="0.25">
      <c r="A1107" s="6" t="s">
        <v>1145</v>
      </c>
      <c r="B1107" s="6" t="s">
        <v>1715</v>
      </c>
      <c r="C1107" s="6" t="s">
        <v>1269</v>
      </c>
      <c r="D1107" s="6" t="s">
        <v>1296</v>
      </c>
      <c r="E1107" s="6" t="s">
        <v>49</v>
      </c>
      <c r="F1107" s="6" t="s">
        <v>50</v>
      </c>
      <c r="G1107" s="6" t="s">
        <v>1284</v>
      </c>
      <c r="H1107" s="6" t="s">
        <v>1304</v>
      </c>
      <c r="I1107" s="6">
        <v>49271</v>
      </c>
      <c r="J1107" s="6" t="s">
        <v>1267</v>
      </c>
      <c r="K1107" s="6" t="s">
        <v>17</v>
      </c>
    </row>
    <row r="1108" spans="1:11" x14ac:dyDescent="0.25">
      <c r="A1108" s="5" t="s">
        <v>1146</v>
      </c>
      <c r="B1108" s="5" t="s">
        <v>2052</v>
      </c>
      <c r="C1108" s="5" t="s">
        <v>1259</v>
      </c>
      <c r="D1108" s="5" t="s">
        <v>36</v>
      </c>
      <c r="E1108" s="5" t="s">
        <v>49</v>
      </c>
      <c r="F1108" s="5" t="s">
        <v>50</v>
      </c>
      <c r="G1108" s="5" t="s">
        <v>1280</v>
      </c>
      <c r="H1108" s="5" t="s">
        <v>1291</v>
      </c>
      <c r="I1108" s="5">
        <v>52558</v>
      </c>
      <c r="J1108" s="5" t="s">
        <v>22</v>
      </c>
      <c r="K1108" s="5" t="s">
        <v>46</v>
      </c>
    </row>
    <row r="1109" spans="1:11" x14ac:dyDescent="0.25">
      <c r="A1109" s="6" t="s">
        <v>1147</v>
      </c>
      <c r="B1109" s="6" t="s">
        <v>1810</v>
      </c>
      <c r="C1109" s="6" t="s">
        <v>62</v>
      </c>
      <c r="D1109" s="6" t="s">
        <v>1283</v>
      </c>
      <c r="E1109" s="6" t="s">
        <v>27</v>
      </c>
      <c r="F1109" s="6" t="s">
        <v>28</v>
      </c>
      <c r="G1109" s="6" t="s">
        <v>1284</v>
      </c>
      <c r="H1109" s="6" t="s">
        <v>1458</v>
      </c>
      <c r="I1109" s="6">
        <v>8511</v>
      </c>
      <c r="J1109" s="6" t="s">
        <v>29</v>
      </c>
      <c r="K1109" s="6" t="s">
        <v>1273</v>
      </c>
    </row>
    <row r="1110" spans="1:11" x14ac:dyDescent="0.25">
      <c r="A1110" s="5" t="s">
        <v>1148</v>
      </c>
      <c r="B1110" s="5" t="s">
        <v>1527</v>
      </c>
      <c r="C1110" s="5" t="s">
        <v>1259</v>
      </c>
      <c r="D1110" s="5" t="s">
        <v>1255</v>
      </c>
      <c r="E1110" s="5" t="s">
        <v>55</v>
      </c>
      <c r="F1110" s="5" t="s">
        <v>34</v>
      </c>
      <c r="G1110" s="5" t="s">
        <v>1337</v>
      </c>
      <c r="H1110" s="5" t="s">
        <v>1278</v>
      </c>
      <c r="I1110" s="5">
        <v>22160</v>
      </c>
      <c r="J1110" s="5" t="s">
        <v>29</v>
      </c>
      <c r="K1110" s="5" t="s">
        <v>46</v>
      </c>
    </row>
    <row r="1111" spans="1:11" x14ac:dyDescent="0.25">
      <c r="A1111" s="6" t="s">
        <v>1149</v>
      </c>
      <c r="B1111" s="6" t="s">
        <v>1610</v>
      </c>
      <c r="C1111" s="6" t="s">
        <v>1269</v>
      </c>
      <c r="D1111" s="6" t="s">
        <v>1296</v>
      </c>
      <c r="E1111" s="6" t="s">
        <v>1437</v>
      </c>
      <c r="F1111" s="6" t="s">
        <v>38</v>
      </c>
      <c r="G1111" s="6" t="s">
        <v>1297</v>
      </c>
      <c r="H1111" s="6" t="s">
        <v>1281</v>
      </c>
      <c r="I1111" s="6">
        <v>33885</v>
      </c>
      <c r="J1111" s="6" t="s">
        <v>1267</v>
      </c>
      <c r="K1111" s="6" t="s">
        <v>17</v>
      </c>
    </row>
    <row r="1112" spans="1:11" x14ac:dyDescent="0.25">
      <c r="A1112" s="5" t="s">
        <v>1150</v>
      </c>
      <c r="B1112" s="5" t="s">
        <v>2053</v>
      </c>
      <c r="C1112" s="5" t="s">
        <v>1269</v>
      </c>
      <c r="D1112" s="5" t="s">
        <v>1283</v>
      </c>
      <c r="E1112" s="5" t="s">
        <v>41</v>
      </c>
      <c r="F1112" s="5" t="s">
        <v>42</v>
      </c>
      <c r="G1112" s="5" t="s">
        <v>1280</v>
      </c>
      <c r="H1112" s="5" t="s">
        <v>1325</v>
      </c>
      <c r="I1112" s="5">
        <v>19639</v>
      </c>
      <c r="J1112" s="5" t="s">
        <v>16</v>
      </c>
      <c r="K1112" s="5" t="s">
        <v>1262</v>
      </c>
    </row>
    <row r="1113" spans="1:11" x14ac:dyDescent="0.25">
      <c r="A1113" s="6" t="s">
        <v>1151</v>
      </c>
      <c r="B1113" s="6" t="s">
        <v>1641</v>
      </c>
      <c r="C1113" s="6" t="s">
        <v>73</v>
      </c>
      <c r="D1113" s="6" t="s">
        <v>1283</v>
      </c>
      <c r="E1113" s="6" t="s">
        <v>63</v>
      </c>
      <c r="F1113" s="6" t="s">
        <v>59</v>
      </c>
      <c r="G1113" s="6" t="s">
        <v>1475</v>
      </c>
      <c r="H1113" s="6" t="s">
        <v>1320</v>
      </c>
      <c r="I1113" s="6">
        <v>3130</v>
      </c>
      <c r="J1113" s="6" t="s">
        <v>16</v>
      </c>
      <c r="K1113" s="6" t="s">
        <v>1262</v>
      </c>
    </row>
    <row r="1114" spans="1:11" x14ac:dyDescent="0.25">
      <c r="A1114" s="5" t="s">
        <v>1152</v>
      </c>
      <c r="B1114" s="5" t="s">
        <v>1888</v>
      </c>
      <c r="C1114" s="5" t="s">
        <v>1269</v>
      </c>
      <c r="D1114" s="5" t="s">
        <v>1255</v>
      </c>
      <c r="E1114" s="5" t="s">
        <v>55</v>
      </c>
      <c r="F1114" s="5" t="s">
        <v>34</v>
      </c>
      <c r="G1114" s="5" t="s">
        <v>1315</v>
      </c>
      <c r="H1114" s="5" t="s">
        <v>1395</v>
      </c>
      <c r="I1114" s="5">
        <v>24812</v>
      </c>
      <c r="J1114" s="5" t="s">
        <v>45</v>
      </c>
      <c r="K1114" s="5" t="s">
        <v>1286</v>
      </c>
    </row>
    <row r="1115" spans="1:11" x14ac:dyDescent="0.25">
      <c r="A1115" s="6" t="s">
        <v>1153</v>
      </c>
      <c r="B1115" s="6" t="s">
        <v>1895</v>
      </c>
      <c r="C1115" s="6" t="s">
        <v>1259</v>
      </c>
      <c r="D1115" s="6" t="s">
        <v>1296</v>
      </c>
      <c r="E1115" s="6" t="s">
        <v>63</v>
      </c>
      <c r="F1115" s="6" t="s">
        <v>59</v>
      </c>
      <c r="G1115" s="6" t="s">
        <v>1297</v>
      </c>
      <c r="H1115" s="6" t="s">
        <v>1308</v>
      </c>
      <c r="I1115" s="6">
        <v>2768</v>
      </c>
      <c r="J1115" s="6" t="s">
        <v>22</v>
      </c>
      <c r="K1115" s="6" t="s">
        <v>1286</v>
      </c>
    </row>
    <row r="1116" spans="1:11" x14ac:dyDescent="0.25">
      <c r="A1116" s="5" t="s">
        <v>1154</v>
      </c>
      <c r="B1116" s="5" t="s">
        <v>1836</v>
      </c>
      <c r="C1116" s="5" t="s">
        <v>1269</v>
      </c>
      <c r="D1116" s="5" t="s">
        <v>1275</v>
      </c>
      <c r="E1116" s="5" t="s">
        <v>1636</v>
      </c>
      <c r="F1116" s="5" t="s">
        <v>50</v>
      </c>
      <c r="G1116" s="5" t="s">
        <v>1337</v>
      </c>
      <c r="H1116" s="5" t="s">
        <v>1291</v>
      </c>
      <c r="I1116" s="5">
        <v>57846</v>
      </c>
      <c r="J1116" s="5" t="s">
        <v>29</v>
      </c>
      <c r="K1116" s="5" t="s">
        <v>1273</v>
      </c>
    </row>
    <row r="1117" spans="1:11" x14ac:dyDescent="0.25">
      <c r="A1117" s="6" t="s">
        <v>1155</v>
      </c>
      <c r="B1117" s="6" t="s">
        <v>2054</v>
      </c>
      <c r="C1117" s="6" t="s">
        <v>1254</v>
      </c>
      <c r="D1117" s="6" t="s">
        <v>26</v>
      </c>
      <c r="E1117" s="6" t="s">
        <v>41</v>
      </c>
      <c r="F1117" s="6" t="s">
        <v>42</v>
      </c>
      <c r="G1117" s="6" t="s">
        <v>1364</v>
      </c>
      <c r="H1117" s="6" t="s">
        <v>1311</v>
      </c>
      <c r="I1117" s="6">
        <v>21435</v>
      </c>
      <c r="J1117" s="6" t="s">
        <v>22</v>
      </c>
      <c r="K1117" s="6" t="s">
        <v>46</v>
      </c>
    </row>
    <row r="1118" spans="1:11" x14ac:dyDescent="0.25">
      <c r="A1118" s="5" t="s">
        <v>1156</v>
      </c>
      <c r="B1118" s="5" t="s">
        <v>2055</v>
      </c>
      <c r="C1118" s="5" t="s">
        <v>1288</v>
      </c>
      <c r="D1118" s="5" t="s">
        <v>1270</v>
      </c>
      <c r="E1118" s="5" t="s">
        <v>20</v>
      </c>
      <c r="F1118" s="5" t="s">
        <v>21</v>
      </c>
      <c r="G1118" s="5" t="s">
        <v>1364</v>
      </c>
      <c r="H1118" s="5" t="s">
        <v>1261</v>
      </c>
      <c r="I1118" s="5">
        <v>6791</v>
      </c>
      <c r="J1118" s="5" t="s">
        <v>22</v>
      </c>
      <c r="K1118" s="5" t="s">
        <v>46</v>
      </c>
    </row>
    <row r="1119" spans="1:11" x14ac:dyDescent="0.25">
      <c r="A1119" s="6" t="s">
        <v>1157</v>
      </c>
      <c r="B1119" s="6" t="s">
        <v>1852</v>
      </c>
      <c r="C1119" s="6" t="s">
        <v>1288</v>
      </c>
      <c r="D1119" s="6" t="s">
        <v>1270</v>
      </c>
      <c r="E1119" s="6" t="s">
        <v>20</v>
      </c>
      <c r="F1119" s="6" t="s">
        <v>21</v>
      </c>
      <c r="G1119" s="6" t="s">
        <v>1315</v>
      </c>
      <c r="H1119" s="6" t="s">
        <v>1261</v>
      </c>
      <c r="I1119" s="6">
        <v>6413</v>
      </c>
      <c r="J1119" s="6" t="s">
        <v>29</v>
      </c>
      <c r="K1119" s="6" t="s">
        <v>1273</v>
      </c>
    </row>
    <row r="1120" spans="1:11" x14ac:dyDescent="0.25">
      <c r="A1120" s="5" t="s">
        <v>1158</v>
      </c>
      <c r="B1120" s="5" t="s">
        <v>1776</v>
      </c>
      <c r="C1120" s="5" t="s">
        <v>1269</v>
      </c>
      <c r="D1120" s="5" t="s">
        <v>1270</v>
      </c>
      <c r="E1120" s="5" t="s">
        <v>14</v>
      </c>
      <c r="F1120" s="5" t="s">
        <v>15</v>
      </c>
      <c r="G1120" s="5" t="s">
        <v>1405</v>
      </c>
      <c r="H1120" s="5" t="s">
        <v>1257</v>
      </c>
      <c r="I1120" s="5">
        <v>9140</v>
      </c>
      <c r="J1120" s="5" t="s">
        <v>45</v>
      </c>
      <c r="K1120" s="5" t="s">
        <v>17</v>
      </c>
    </row>
    <row r="1121" spans="1:11" x14ac:dyDescent="0.25">
      <c r="A1121" s="6" t="s">
        <v>1159</v>
      </c>
      <c r="B1121" s="6" t="s">
        <v>2056</v>
      </c>
      <c r="C1121" s="6" t="s">
        <v>48</v>
      </c>
      <c r="D1121" s="6"/>
      <c r="E1121" s="6" t="s">
        <v>1394</v>
      </c>
      <c r="F1121" s="6" t="s">
        <v>34</v>
      </c>
      <c r="G1121" s="6" t="s">
        <v>1310</v>
      </c>
      <c r="H1121" s="6" t="s">
        <v>1299</v>
      </c>
      <c r="I1121" s="6">
        <v>22324</v>
      </c>
      <c r="J1121" s="6" t="s">
        <v>45</v>
      </c>
      <c r="K1121" s="6" t="s">
        <v>17</v>
      </c>
    </row>
    <row r="1122" spans="1:11" x14ac:dyDescent="0.25">
      <c r="A1122" s="5" t="s">
        <v>1160</v>
      </c>
      <c r="B1122" s="5" t="s">
        <v>1575</v>
      </c>
      <c r="C1122" s="5" t="s">
        <v>1259</v>
      </c>
      <c r="D1122" s="5" t="s">
        <v>36</v>
      </c>
      <c r="E1122" s="5" t="s">
        <v>20</v>
      </c>
      <c r="F1122" s="5" t="s">
        <v>21</v>
      </c>
      <c r="G1122" s="5" t="s">
        <v>1271</v>
      </c>
      <c r="H1122" s="5" t="s">
        <v>1261</v>
      </c>
      <c r="I1122" s="5">
        <v>5513</v>
      </c>
      <c r="J1122" s="5" t="s">
        <v>16</v>
      </c>
      <c r="K1122" s="5" t="s">
        <v>1262</v>
      </c>
    </row>
    <row r="1123" spans="1:11" x14ac:dyDescent="0.25">
      <c r="A1123" s="6" t="s">
        <v>1161</v>
      </c>
      <c r="B1123" s="6" t="s">
        <v>2057</v>
      </c>
      <c r="C1123" s="6" t="s">
        <v>1288</v>
      </c>
      <c r="D1123" s="6" t="s">
        <v>1296</v>
      </c>
      <c r="E1123" s="6" t="s">
        <v>66</v>
      </c>
      <c r="F1123" s="6" t="s">
        <v>67</v>
      </c>
      <c r="G1123" s="6" t="s">
        <v>1364</v>
      </c>
      <c r="H1123" s="6" t="s">
        <v>1317</v>
      </c>
      <c r="I1123" s="6">
        <v>1945</v>
      </c>
      <c r="J1123" s="6" t="s">
        <v>1267</v>
      </c>
      <c r="K1123" s="6" t="s">
        <v>1273</v>
      </c>
    </row>
    <row r="1124" spans="1:11" x14ac:dyDescent="0.25">
      <c r="A1124" s="5" t="s">
        <v>1162</v>
      </c>
      <c r="B1124" s="5" t="s">
        <v>1657</v>
      </c>
      <c r="C1124" s="5" t="s">
        <v>1259</v>
      </c>
      <c r="D1124" s="5" t="s">
        <v>1270</v>
      </c>
      <c r="E1124" s="5" t="s">
        <v>20</v>
      </c>
      <c r="F1124" s="5" t="s">
        <v>21</v>
      </c>
      <c r="G1124" s="5" t="s">
        <v>1280</v>
      </c>
      <c r="H1124" s="5" t="s">
        <v>1261</v>
      </c>
      <c r="I1124" s="5">
        <v>5811</v>
      </c>
      <c r="J1124" s="5" t="s">
        <v>16</v>
      </c>
      <c r="K1124" s="5" t="s">
        <v>1262</v>
      </c>
    </row>
    <row r="1125" spans="1:11" x14ac:dyDescent="0.25">
      <c r="A1125" s="6" t="s">
        <v>1163</v>
      </c>
      <c r="B1125" s="6" t="s">
        <v>2052</v>
      </c>
      <c r="C1125" s="6" t="s">
        <v>73</v>
      </c>
      <c r="D1125" s="6" t="s">
        <v>36</v>
      </c>
      <c r="E1125" s="6" t="s">
        <v>27</v>
      </c>
      <c r="F1125" s="6" t="s">
        <v>28</v>
      </c>
      <c r="G1125" s="6" t="s">
        <v>1303</v>
      </c>
      <c r="H1125" s="6" t="s">
        <v>1458</v>
      </c>
      <c r="I1125" s="6">
        <v>10469</v>
      </c>
      <c r="J1125" s="6" t="s">
        <v>45</v>
      </c>
      <c r="K1125" s="6" t="s">
        <v>1273</v>
      </c>
    </row>
    <row r="1126" spans="1:11" x14ac:dyDescent="0.25">
      <c r="A1126" s="5" t="s">
        <v>1164</v>
      </c>
      <c r="B1126" s="5" t="s">
        <v>1870</v>
      </c>
      <c r="C1126" s="5" t="s">
        <v>1264</v>
      </c>
      <c r="D1126" s="5" t="s">
        <v>1275</v>
      </c>
      <c r="E1126" s="5" t="s">
        <v>1389</v>
      </c>
      <c r="F1126" s="5" t="s">
        <v>34</v>
      </c>
      <c r="G1126" s="5" t="s">
        <v>1277</v>
      </c>
      <c r="H1126" s="5" t="s">
        <v>1278</v>
      </c>
      <c r="I1126" s="5">
        <v>24351</v>
      </c>
      <c r="J1126" s="5" t="s">
        <v>22</v>
      </c>
      <c r="K1126" s="5"/>
    </row>
    <row r="1127" spans="1:11" x14ac:dyDescent="0.25">
      <c r="A1127" s="6" t="s">
        <v>1165</v>
      </c>
      <c r="B1127" s="6" t="s">
        <v>1516</v>
      </c>
      <c r="C1127" s="6" t="s">
        <v>48</v>
      </c>
      <c r="D1127" s="6" t="s">
        <v>1283</v>
      </c>
      <c r="E1127" s="6" t="s">
        <v>14</v>
      </c>
      <c r="F1127" s="6" t="s">
        <v>15</v>
      </c>
      <c r="G1127" s="6" t="s">
        <v>1284</v>
      </c>
      <c r="H1127" s="6" t="s">
        <v>1257</v>
      </c>
      <c r="I1127" s="6">
        <v>8644</v>
      </c>
      <c r="J1127" s="6" t="s">
        <v>1267</v>
      </c>
      <c r="K1127" s="6" t="s">
        <v>1262</v>
      </c>
    </row>
    <row r="1128" spans="1:11" x14ac:dyDescent="0.25">
      <c r="A1128" s="5" t="s">
        <v>1166</v>
      </c>
      <c r="B1128" s="5" t="s">
        <v>2058</v>
      </c>
      <c r="C1128" s="5" t="s">
        <v>53</v>
      </c>
      <c r="D1128" s="5" t="s">
        <v>1275</v>
      </c>
      <c r="E1128" s="5" t="s">
        <v>37</v>
      </c>
      <c r="F1128" s="5" t="s">
        <v>38</v>
      </c>
      <c r="G1128" s="5" t="s">
        <v>1265</v>
      </c>
      <c r="H1128" s="5" t="s">
        <v>1367</v>
      </c>
      <c r="I1128" s="5">
        <v>34730</v>
      </c>
      <c r="J1128" s="5" t="s">
        <v>29</v>
      </c>
      <c r="K1128" s="5" t="s">
        <v>1273</v>
      </c>
    </row>
    <row r="1129" spans="1:11" x14ac:dyDescent="0.25">
      <c r="A1129" s="6" t="s">
        <v>1167</v>
      </c>
      <c r="B1129" s="6" t="s">
        <v>2059</v>
      </c>
      <c r="C1129" s="6" t="s">
        <v>53</v>
      </c>
      <c r="D1129" s="6" t="s">
        <v>1275</v>
      </c>
      <c r="E1129" s="6" t="s">
        <v>27</v>
      </c>
      <c r="F1129" s="6" t="s">
        <v>28</v>
      </c>
      <c r="G1129" s="6" t="s">
        <v>1517</v>
      </c>
      <c r="H1129" s="6" t="s">
        <v>1458</v>
      </c>
      <c r="I1129" s="6">
        <v>9995</v>
      </c>
      <c r="J1129" s="6" t="s">
        <v>22</v>
      </c>
      <c r="K1129" s="6" t="s">
        <v>1273</v>
      </c>
    </row>
    <row r="1130" spans="1:11" x14ac:dyDescent="0.25">
      <c r="A1130" s="5" t="s">
        <v>1168</v>
      </c>
      <c r="B1130" s="5" t="s">
        <v>1333</v>
      </c>
      <c r="C1130" s="5" t="s">
        <v>1264</v>
      </c>
      <c r="D1130" s="5" t="s">
        <v>36</v>
      </c>
      <c r="E1130" s="5" t="s">
        <v>41</v>
      </c>
      <c r="F1130" s="5" t="s">
        <v>42</v>
      </c>
      <c r="G1130" s="5" t="s">
        <v>1337</v>
      </c>
      <c r="H1130" s="5" t="s">
        <v>1325</v>
      </c>
      <c r="I1130" s="5">
        <v>21272</v>
      </c>
      <c r="J1130" s="5" t="s">
        <v>45</v>
      </c>
      <c r="K1130" s="5" t="s">
        <v>46</v>
      </c>
    </row>
    <row r="1131" spans="1:11" x14ac:dyDescent="0.25">
      <c r="A1131" s="6" t="s">
        <v>1169</v>
      </c>
      <c r="B1131" s="6" t="s">
        <v>1818</v>
      </c>
      <c r="C1131" s="6" t="s">
        <v>1259</v>
      </c>
      <c r="D1131" s="6" t="s">
        <v>1255</v>
      </c>
      <c r="E1131" s="6" t="s">
        <v>1389</v>
      </c>
      <c r="F1131" s="6" t="s">
        <v>34</v>
      </c>
      <c r="G1131" s="6" t="s">
        <v>1271</v>
      </c>
      <c r="H1131" s="6" t="s">
        <v>1278</v>
      </c>
      <c r="I1131" s="6">
        <v>27927</v>
      </c>
      <c r="J1131" s="6" t="s">
        <v>16</v>
      </c>
      <c r="K1131" s="6" t="s">
        <v>1262</v>
      </c>
    </row>
    <row r="1132" spans="1:11" x14ac:dyDescent="0.25">
      <c r="A1132" s="5" t="s">
        <v>1170</v>
      </c>
      <c r="B1132" s="5" t="s">
        <v>1426</v>
      </c>
      <c r="C1132" s="5" t="s">
        <v>62</v>
      </c>
      <c r="D1132" s="5" t="s">
        <v>36</v>
      </c>
      <c r="E1132" s="5" t="s">
        <v>20</v>
      </c>
      <c r="F1132" s="5" t="s">
        <v>21</v>
      </c>
      <c r="G1132" s="5" t="s">
        <v>1337</v>
      </c>
      <c r="H1132" s="5" t="s">
        <v>1261</v>
      </c>
      <c r="I1132" s="5">
        <v>5596</v>
      </c>
      <c r="J1132" s="5" t="s">
        <v>29</v>
      </c>
      <c r="K1132" s="5" t="s">
        <v>1262</v>
      </c>
    </row>
    <row r="1133" spans="1:11" x14ac:dyDescent="0.25">
      <c r="A1133" s="6" t="s">
        <v>1171</v>
      </c>
      <c r="B1133" s="6" t="s">
        <v>1638</v>
      </c>
      <c r="C1133" s="6" t="s">
        <v>73</v>
      </c>
      <c r="D1133" s="6" t="s">
        <v>1296</v>
      </c>
      <c r="E1133" s="6" t="s">
        <v>49</v>
      </c>
      <c r="F1133" s="6" t="s">
        <v>50</v>
      </c>
      <c r="G1133" s="6" t="s">
        <v>1277</v>
      </c>
      <c r="H1133" s="6" t="s">
        <v>1359</v>
      </c>
      <c r="I1133" s="6">
        <v>57202</v>
      </c>
      <c r="J1133" s="6" t="s">
        <v>29</v>
      </c>
      <c r="K1133" s="6" t="s">
        <v>46</v>
      </c>
    </row>
    <row r="1134" spans="1:11" x14ac:dyDescent="0.25">
      <c r="A1134" s="5" t="s">
        <v>1172</v>
      </c>
      <c r="B1134" s="5" t="s">
        <v>2060</v>
      </c>
      <c r="C1134" s="5" t="s">
        <v>53</v>
      </c>
      <c r="D1134" s="5" t="s">
        <v>1270</v>
      </c>
      <c r="E1134" s="5" t="s">
        <v>49</v>
      </c>
      <c r="F1134" s="5" t="s">
        <v>50</v>
      </c>
      <c r="G1134" s="5" t="s">
        <v>1294</v>
      </c>
      <c r="H1134" s="5" t="s">
        <v>1291</v>
      </c>
      <c r="I1134" s="5">
        <v>54409</v>
      </c>
      <c r="J1134" s="5" t="s">
        <v>22</v>
      </c>
      <c r="K1134" s="5" t="s">
        <v>1262</v>
      </c>
    </row>
    <row r="1135" spans="1:11" x14ac:dyDescent="0.25">
      <c r="A1135" s="6" t="s">
        <v>1173</v>
      </c>
      <c r="B1135" s="6" t="s">
        <v>2061</v>
      </c>
      <c r="C1135" s="6" t="s">
        <v>1269</v>
      </c>
      <c r="D1135" s="6" t="s">
        <v>1296</v>
      </c>
      <c r="E1135" s="6" t="s">
        <v>41</v>
      </c>
      <c r="F1135" s="6" t="s">
        <v>42</v>
      </c>
      <c r="G1135" s="6" t="s">
        <v>1280</v>
      </c>
      <c r="H1135" s="6" t="s">
        <v>1285</v>
      </c>
      <c r="I1135" s="6">
        <v>19238</v>
      </c>
      <c r="J1135" s="6" t="s">
        <v>45</v>
      </c>
      <c r="K1135" s="6" t="s">
        <v>1286</v>
      </c>
    </row>
    <row r="1136" spans="1:11" x14ac:dyDescent="0.25">
      <c r="A1136" s="5" t="s">
        <v>1174</v>
      </c>
      <c r="B1136" s="5" t="s">
        <v>1679</v>
      </c>
      <c r="C1136" s="5" t="s">
        <v>1264</v>
      </c>
      <c r="D1136" s="5" t="s">
        <v>1275</v>
      </c>
      <c r="E1136" s="5" t="s">
        <v>1374</v>
      </c>
      <c r="F1136" s="5" t="s">
        <v>50</v>
      </c>
      <c r="G1136" s="5" t="s">
        <v>1297</v>
      </c>
      <c r="H1136" s="5" t="s">
        <v>1291</v>
      </c>
      <c r="I1136" s="5">
        <v>50725</v>
      </c>
      <c r="J1136" s="5" t="s">
        <v>45</v>
      </c>
      <c r="K1136" s="5" t="s">
        <v>1262</v>
      </c>
    </row>
    <row r="1137" spans="1:11" x14ac:dyDescent="0.25">
      <c r="A1137" s="6" t="s">
        <v>1175</v>
      </c>
      <c r="B1137" s="6" t="s">
        <v>2062</v>
      </c>
      <c r="C1137" s="6" t="s">
        <v>1259</v>
      </c>
      <c r="D1137" s="6" t="s">
        <v>1283</v>
      </c>
      <c r="E1137" s="6" t="s">
        <v>41</v>
      </c>
      <c r="F1137" s="6" t="s">
        <v>42</v>
      </c>
      <c r="G1137" s="6" t="s">
        <v>1560</v>
      </c>
      <c r="H1137" s="6" t="s">
        <v>1311</v>
      </c>
      <c r="I1137" s="6">
        <v>20565</v>
      </c>
      <c r="J1137" s="6" t="s">
        <v>45</v>
      </c>
      <c r="K1137" s="6" t="s">
        <v>1273</v>
      </c>
    </row>
    <row r="1138" spans="1:11" x14ac:dyDescent="0.25">
      <c r="A1138" s="5" t="s">
        <v>1176</v>
      </c>
      <c r="B1138" s="5" t="s">
        <v>2063</v>
      </c>
      <c r="C1138" s="5" t="s">
        <v>62</v>
      </c>
      <c r="D1138" s="5" t="s">
        <v>1275</v>
      </c>
      <c r="E1138" s="5" t="s">
        <v>37</v>
      </c>
      <c r="F1138" s="5" t="s">
        <v>38</v>
      </c>
      <c r="G1138" s="5" t="s">
        <v>1297</v>
      </c>
      <c r="H1138" s="5" t="s">
        <v>1281</v>
      </c>
      <c r="I1138" s="5">
        <v>35501</v>
      </c>
      <c r="J1138" s="5" t="s">
        <v>45</v>
      </c>
      <c r="K1138" s="5" t="s">
        <v>1286</v>
      </c>
    </row>
    <row r="1139" spans="1:11" x14ac:dyDescent="0.25">
      <c r="A1139" s="6" t="s">
        <v>1177</v>
      </c>
      <c r="B1139" s="6" t="s">
        <v>2064</v>
      </c>
      <c r="C1139" s="6" t="s">
        <v>1259</v>
      </c>
      <c r="D1139" s="6" t="s">
        <v>1270</v>
      </c>
      <c r="E1139" s="6" t="s">
        <v>41</v>
      </c>
      <c r="F1139" s="6" t="s">
        <v>42</v>
      </c>
      <c r="G1139" s="6" t="s">
        <v>1364</v>
      </c>
      <c r="H1139" s="6" t="s">
        <v>1325</v>
      </c>
      <c r="I1139" s="6">
        <v>20049</v>
      </c>
      <c r="J1139" s="6" t="s">
        <v>45</v>
      </c>
      <c r="K1139" s="6" t="s">
        <v>1262</v>
      </c>
    </row>
    <row r="1140" spans="1:11" x14ac:dyDescent="0.25">
      <c r="A1140" s="5" t="s">
        <v>1178</v>
      </c>
      <c r="B1140" s="5" t="s">
        <v>2063</v>
      </c>
      <c r="C1140" s="5" t="s">
        <v>1254</v>
      </c>
      <c r="D1140" s="5" t="s">
        <v>1275</v>
      </c>
      <c r="E1140" s="5" t="s">
        <v>37</v>
      </c>
      <c r="F1140" s="5" t="s">
        <v>38</v>
      </c>
      <c r="G1140" s="5" t="s">
        <v>1297</v>
      </c>
      <c r="H1140" s="5" t="s">
        <v>1281</v>
      </c>
      <c r="I1140" s="5">
        <v>37821</v>
      </c>
      <c r="J1140" s="5" t="s">
        <v>1267</v>
      </c>
      <c r="K1140" s="5" t="s">
        <v>1273</v>
      </c>
    </row>
    <row r="1141" spans="1:11" x14ac:dyDescent="0.25">
      <c r="A1141" s="6" t="s">
        <v>1179</v>
      </c>
      <c r="B1141" s="6" t="s">
        <v>2065</v>
      </c>
      <c r="C1141" s="6" t="s">
        <v>53</v>
      </c>
      <c r="D1141" s="6" t="s">
        <v>1275</v>
      </c>
      <c r="E1141" s="6" t="s">
        <v>1276</v>
      </c>
      <c r="F1141" s="6" t="s">
        <v>34</v>
      </c>
      <c r="G1141" s="6" t="s">
        <v>1277</v>
      </c>
      <c r="H1141" s="6" t="s">
        <v>1299</v>
      </c>
      <c r="I1141" s="6">
        <v>24351</v>
      </c>
      <c r="J1141" s="6" t="s">
        <v>16</v>
      </c>
      <c r="K1141" s="6" t="s">
        <v>1262</v>
      </c>
    </row>
    <row r="1142" spans="1:11" x14ac:dyDescent="0.25">
      <c r="A1142" s="5" t="s">
        <v>1180</v>
      </c>
      <c r="B1142" s="5" t="s">
        <v>1723</v>
      </c>
      <c r="C1142" s="5" t="s">
        <v>1269</v>
      </c>
      <c r="D1142" s="5" t="s">
        <v>1255</v>
      </c>
      <c r="E1142" s="5" t="s">
        <v>14</v>
      </c>
      <c r="F1142" s="5" t="s">
        <v>15</v>
      </c>
      <c r="G1142" s="5" t="s">
        <v>1303</v>
      </c>
      <c r="H1142" s="5" t="s">
        <v>1347</v>
      </c>
      <c r="I1142" s="5">
        <v>8336</v>
      </c>
      <c r="J1142" s="5" t="s">
        <v>45</v>
      </c>
      <c r="K1142" s="5" t="s">
        <v>46</v>
      </c>
    </row>
    <row r="1143" spans="1:11" x14ac:dyDescent="0.25">
      <c r="A1143" s="6" t="s">
        <v>1181</v>
      </c>
      <c r="B1143" s="6" t="s">
        <v>1522</v>
      </c>
      <c r="C1143" s="6" t="s">
        <v>48</v>
      </c>
      <c r="D1143" s="6" t="s">
        <v>1275</v>
      </c>
      <c r="E1143" s="6" t="s">
        <v>37</v>
      </c>
      <c r="F1143" s="6" t="s">
        <v>38</v>
      </c>
      <c r="G1143" s="6" t="s">
        <v>1265</v>
      </c>
      <c r="H1143" s="6" t="s">
        <v>1281</v>
      </c>
      <c r="I1143" s="6">
        <v>35719</v>
      </c>
      <c r="J1143" s="6" t="s">
        <v>45</v>
      </c>
      <c r="K1143" s="6" t="s">
        <v>46</v>
      </c>
    </row>
    <row r="1144" spans="1:11" x14ac:dyDescent="0.25">
      <c r="A1144" s="5" t="s">
        <v>1182</v>
      </c>
      <c r="B1144" s="5" t="s">
        <v>1606</v>
      </c>
      <c r="C1144" s="5" t="s">
        <v>1259</v>
      </c>
      <c r="D1144" s="5" t="s">
        <v>1296</v>
      </c>
      <c r="E1144" s="5" t="s">
        <v>27</v>
      </c>
      <c r="F1144" s="5" t="s">
        <v>28</v>
      </c>
      <c r="G1144" s="5" t="s">
        <v>1331</v>
      </c>
      <c r="H1144" s="5" t="s">
        <v>1266</v>
      </c>
      <c r="I1144" s="5">
        <v>10123</v>
      </c>
      <c r="J1144" s="5" t="s">
        <v>16</v>
      </c>
      <c r="K1144" s="5" t="s">
        <v>1262</v>
      </c>
    </row>
    <row r="1145" spans="1:11" x14ac:dyDescent="0.25">
      <c r="A1145" s="6" t="s">
        <v>1183</v>
      </c>
      <c r="B1145" s="6" t="s">
        <v>2066</v>
      </c>
      <c r="C1145" s="6" t="s">
        <v>1259</v>
      </c>
      <c r="D1145" s="6" t="s">
        <v>1275</v>
      </c>
      <c r="E1145" s="6" t="s">
        <v>49</v>
      </c>
      <c r="F1145" s="6" t="s">
        <v>50</v>
      </c>
      <c r="G1145" s="6" t="s">
        <v>1541</v>
      </c>
      <c r="H1145" s="6" t="s">
        <v>1359</v>
      </c>
      <c r="I1145" s="6">
        <v>46478</v>
      </c>
      <c r="J1145" s="6" t="s">
        <v>22</v>
      </c>
      <c r="K1145" s="6" t="s">
        <v>1286</v>
      </c>
    </row>
    <row r="1146" spans="1:11" x14ac:dyDescent="0.25">
      <c r="A1146" s="5" t="s">
        <v>1184</v>
      </c>
      <c r="B1146" s="5" t="s">
        <v>1465</v>
      </c>
      <c r="C1146" s="5" t="s">
        <v>48</v>
      </c>
      <c r="D1146" s="5" t="s">
        <v>1255</v>
      </c>
      <c r="E1146" s="5" t="s">
        <v>1374</v>
      </c>
      <c r="F1146" s="5" t="s">
        <v>50</v>
      </c>
      <c r="G1146" s="5" t="s">
        <v>1301</v>
      </c>
      <c r="H1146" s="5" t="s">
        <v>1291</v>
      </c>
      <c r="I1146" s="5">
        <v>45367</v>
      </c>
      <c r="J1146" s="5" t="s">
        <v>29</v>
      </c>
      <c r="K1146" s="5" t="s">
        <v>1273</v>
      </c>
    </row>
    <row r="1147" spans="1:11" x14ac:dyDescent="0.25">
      <c r="A1147" s="6" t="s">
        <v>1185</v>
      </c>
      <c r="B1147" s="6" t="s">
        <v>2067</v>
      </c>
      <c r="C1147" s="6" t="s">
        <v>73</v>
      </c>
      <c r="D1147" s="6" t="s">
        <v>1275</v>
      </c>
      <c r="E1147" s="6" t="s">
        <v>27</v>
      </c>
      <c r="F1147" s="6" t="s">
        <v>28</v>
      </c>
      <c r="G1147" s="6" t="s">
        <v>1364</v>
      </c>
      <c r="H1147" s="6" t="s">
        <v>1266</v>
      </c>
      <c r="I1147" s="6">
        <v>8488</v>
      </c>
      <c r="J1147" s="6" t="s">
        <v>1267</v>
      </c>
      <c r="K1147" s="6" t="s">
        <v>1273</v>
      </c>
    </row>
    <row r="1148" spans="1:11" x14ac:dyDescent="0.25">
      <c r="A1148" s="5" t="s">
        <v>1186</v>
      </c>
      <c r="B1148" s="5" t="s">
        <v>1872</v>
      </c>
      <c r="C1148" s="5" t="s">
        <v>1259</v>
      </c>
      <c r="D1148" s="5" t="s">
        <v>26</v>
      </c>
      <c r="E1148" s="5" t="s">
        <v>63</v>
      </c>
      <c r="F1148" s="5" t="s">
        <v>59</v>
      </c>
      <c r="G1148" s="5" t="s">
        <v>1294</v>
      </c>
      <c r="H1148" s="5" t="s">
        <v>1308</v>
      </c>
      <c r="I1148" s="5">
        <v>3045</v>
      </c>
      <c r="J1148" s="5" t="s">
        <v>22</v>
      </c>
      <c r="K1148" s="5" t="s">
        <v>17</v>
      </c>
    </row>
    <row r="1149" spans="1:11" x14ac:dyDescent="0.25">
      <c r="A1149" s="6" t="s">
        <v>1187</v>
      </c>
      <c r="B1149" s="6" t="s">
        <v>1849</v>
      </c>
      <c r="C1149" s="6" t="s">
        <v>1259</v>
      </c>
      <c r="D1149" s="6" t="s">
        <v>26</v>
      </c>
      <c r="E1149" s="6" t="s">
        <v>14</v>
      </c>
      <c r="F1149" s="6" t="s">
        <v>15</v>
      </c>
      <c r="G1149" s="6" t="s">
        <v>1284</v>
      </c>
      <c r="H1149" s="6" t="s">
        <v>1272</v>
      </c>
      <c r="I1149" s="6">
        <v>9976</v>
      </c>
      <c r="J1149" s="6" t="s">
        <v>1267</v>
      </c>
      <c r="K1149" s="6" t="s">
        <v>1286</v>
      </c>
    </row>
    <row r="1150" spans="1:11" x14ac:dyDescent="0.25">
      <c r="A1150" s="5" t="s">
        <v>1188</v>
      </c>
      <c r="B1150" s="5" t="s">
        <v>1912</v>
      </c>
      <c r="C1150" s="5" t="s">
        <v>1259</v>
      </c>
      <c r="D1150" s="5" t="s">
        <v>1270</v>
      </c>
      <c r="E1150" s="5" t="s">
        <v>27</v>
      </c>
      <c r="F1150" s="5" t="s">
        <v>28</v>
      </c>
      <c r="G1150" s="5" t="s">
        <v>1315</v>
      </c>
      <c r="H1150" s="5" t="s">
        <v>1266</v>
      </c>
      <c r="I1150" s="5">
        <v>10312</v>
      </c>
      <c r="J1150" s="5" t="s">
        <v>1267</v>
      </c>
      <c r="K1150" s="5" t="s">
        <v>1286</v>
      </c>
    </row>
    <row r="1151" spans="1:11" x14ac:dyDescent="0.25">
      <c r="A1151" s="6" t="s">
        <v>1189</v>
      </c>
      <c r="B1151" s="6" t="s">
        <v>1496</v>
      </c>
      <c r="C1151" s="6" t="s">
        <v>1288</v>
      </c>
      <c r="D1151" s="6" t="s">
        <v>36</v>
      </c>
      <c r="E1151" s="6" t="s">
        <v>1466</v>
      </c>
      <c r="F1151" s="6" t="s">
        <v>21</v>
      </c>
      <c r="G1151" s="6" t="s">
        <v>1380</v>
      </c>
      <c r="H1151" s="6" t="s">
        <v>1261</v>
      </c>
      <c r="I1151" s="6">
        <v>6016</v>
      </c>
      <c r="J1151" s="6" t="s">
        <v>45</v>
      </c>
      <c r="K1151" s="6" t="s">
        <v>1273</v>
      </c>
    </row>
    <row r="1152" spans="1:11" x14ac:dyDescent="0.25">
      <c r="A1152" s="5" t="s">
        <v>1190</v>
      </c>
      <c r="B1152" s="5" t="s">
        <v>1571</v>
      </c>
      <c r="C1152" s="5" t="s">
        <v>73</v>
      </c>
      <c r="D1152" s="5" t="s">
        <v>1270</v>
      </c>
      <c r="E1152" s="5" t="s">
        <v>41</v>
      </c>
      <c r="F1152" s="5" t="s">
        <v>42</v>
      </c>
      <c r="G1152" s="5" t="s">
        <v>1297</v>
      </c>
      <c r="H1152" s="5" t="s">
        <v>1325</v>
      </c>
      <c r="I1152" s="5">
        <v>21498</v>
      </c>
      <c r="J1152" s="5" t="s">
        <v>29</v>
      </c>
      <c r="K1152" s="5" t="s">
        <v>1286</v>
      </c>
    </row>
    <row r="1153" spans="1:11" x14ac:dyDescent="0.25">
      <c r="A1153" s="6" t="s">
        <v>1191</v>
      </c>
      <c r="B1153" s="6" t="s">
        <v>2068</v>
      </c>
      <c r="C1153" s="6" t="s">
        <v>1288</v>
      </c>
      <c r="D1153" s="6" t="s">
        <v>1275</v>
      </c>
      <c r="E1153" s="6" t="s">
        <v>14</v>
      </c>
      <c r="F1153" s="6" t="s">
        <v>15</v>
      </c>
      <c r="G1153" s="6" t="s">
        <v>1341</v>
      </c>
      <c r="H1153" s="6" t="s">
        <v>1272</v>
      </c>
      <c r="I1153" s="6">
        <v>8356</v>
      </c>
      <c r="J1153" s="6" t="s">
        <v>16</v>
      </c>
      <c r="K1153" s="6" t="s">
        <v>1273</v>
      </c>
    </row>
    <row r="1154" spans="1:11" x14ac:dyDescent="0.25">
      <c r="A1154" s="5" t="s">
        <v>1192</v>
      </c>
      <c r="B1154" s="5" t="s">
        <v>1849</v>
      </c>
      <c r="C1154" s="5" t="s">
        <v>53</v>
      </c>
      <c r="D1154" s="5" t="s">
        <v>26</v>
      </c>
      <c r="E1154" s="5" t="s">
        <v>66</v>
      </c>
      <c r="F1154" s="5" t="s">
        <v>67</v>
      </c>
      <c r="G1154" s="5" t="s">
        <v>1380</v>
      </c>
      <c r="H1154" s="5" t="s">
        <v>1317</v>
      </c>
      <c r="I1154" s="5">
        <v>1646</v>
      </c>
      <c r="J1154" s="5" t="s">
        <v>16</v>
      </c>
      <c r="K1154" s="5" t="s">
        <v>1262</v>
      </c>
    </row>
    <row r="1155" spans="1:11" x14ac:dyDescent="0.25">
      <c r="A1155" s="6" t="s">
        <v>1193</v>
      </c>
      <c r="B1155" s="6" t="s">
        <v>2011</v>
      </c>
      <c r="C1155" s="6" t="s">
        <v>1254</v>
      </c>
      <c r="D1155" s="6" t="s">
        <v>1270</v>
      </c>
      <c r="E1155" s="6" t="s">
        <v>55</v>
      </c>
      <c r="F1155" s="6" t="s">
        <v>34</v>
      </c>
      <c r="G1155" s="6" t="s">
        <v>1303</v>
      </c>
      <c r="H1155" s="6" t="s">
        <v>1278</v>
      </c>
      <c r="I1155" s="6">
        <v>25892</v>
      </c>
      <c r="J1155" s="6" t="s">
        <v>45</v>
      </c>
      <c r="K1155" s="6" t="s">
        <v>17</v>
      </c>
    </row>
    <row r="1156" spans="1:11" x14ac:dyDescent="0.25">
      <c r="A1156" s="5" t="s">
        <v>1194</v>
      </c>
      <c r="B1156" s="5" t="s">
        <v>2069</v>
      </c>
      <c r="C1156" s="5" t="s">
        <v>1259</v>
      </c>
      <c r="D1156" s="5"/>
      <c r="E1156" s="5" t="s">
        <v>1529</v>
      </c>
      <c r="F1156" s="5" t="s">
        <v>67</v>
      </c>
      <c r="G1156" s="5" t="s">
        <v>1271</v>
      </c>
      <c r="H1156" s="5" t="s">
        <v>1482</v>
      </c>
      <c r="I1156" s="5">
        <v>1504</v>
      </c>
      <c r="J1156" s="5" t="s">
        <v>1267</v>
      </c>
      <c r="K1156" s="5" t="s">
        <v>1262</v>
      </c>
    </row>
    <row r="1157" spans="1:11" x14ac:dyDescent="0.25">
      <c r="A1157" s="6" t="s">
        <v>1195</v>
      </c>
      <c r="B1157" s="6" t="s">
        <v>2070</v>
      </c>
      <c r="C1157" s="6" t="s">
        <v>73</v>
      </c>
      <c r="D1157" s="6" t="s">
        <v>26</v>
      </c>
      <c r="E1157" s="6" t="s">
        <v>41</v>
      </c>
      <c r="F1157" s="6" t="s">
        <v>42</v>
      </c>
      <c r="G1157" s="6" t="s">
        <v>1256</v>
      </c>
      <c r="H1157" s="6" t="s">
        <v>1311</v>
      </c>
      <c r="I1157" s="6">
        <v>19379</v>
      </c>
      <c r="J1157" s="6" t="s">
        <v>29</v>
      </c>
      <c r="K1157" s="6" t="s">
        <v>1262</v>
      </c>
    </row>
    <row r="1158" spans="1:11" x14ac:dyDescent="0.25">
      <c r="A1158" s="5" t="s">
        <v>1196</v>
      </c>
      <c r="B1158" s="5" t="s">
        <v>2071</v>
      </c>
      <c r="C1158" s="5" t="s">
        <v>1259</v>
      </c>
      <c r="D1158" s="5" t="s">
        <v>1255</v>
      </c>
      <c r="E1158" s="5" t="s">
        <v>49</v>
      </c>
      <c r="F1158" s="5" t="s">
        <v>50</v>
      </c>
      <c r="G1158" s="5" t="s">
        <v>1277</v>
      </c>
      <c r="H1158" s="5" t="s">
        <v>1291</v>
      </c>
      <c r="I1158" s="5">
        <v>45796</v>
      </c>
      <c r="J1158" s="5" t="s">
        <v>16</v>
      </c>
      <c r="K1158" s="5" t="s">
        <v>46</v>
      </c>
    </row>
    <row r="1159" spans="1:11" x14ac:dyDescent="0.25">
      <c r="A1159" s="6" t="s">
        <v>1197</v>
      </c>
      <c r="B1159" s="6" t="s">
        <v>1416</v>
      </c>
      <c r="C1159" s="6" t="s">
        <v>62</v>
      </c>
      <c r="D1159" s="6" t="s">
        <v>1283</v>
      </c>
      <c r="E1159" s="6" t="s">
        <v>41</v>
      </c>
      <c r="F1159" s="6" t="s">
        <v>42</v>
      </c>
      <c r="G1159" s="6" t="s">
        <v>1265</v>
      </c>
      <c r="H1159" s="6" t="s">
        <v>1325</v>
      </c>
      <c r="I1159" s="6">
        <v>19712</v>
      </c>
      <c r="J1159" s="6" t="s">
        <v>16</v>
      </c>
      <c r="K1159" s="6" t="s">
        <v>1262</v>
      </c>
    </row>
    <row r="1160" spans="1:11" x14ac:dyDescent="0.25">
      <c r="A1160" s="5" t="s">
        <v>1198</v>
      </c>
      <c r="B1160" s="5" t="s">
        <v>1709</v>
      </c>
      <c r="C1160" s="5" t="s">
        <v>1288</v>
      </c>
      <c r="D1160" s="5" t="s">
        <v>36</v>
      </c>
      <c r="E1160" s="5" t="s">
        <v>49</v>
      </c>
      <c r="F1160" s="5" t="s">
        <v>50</v>
      </c>
      <c r="G1160" s="5" t="s">
        <v>1280</v>
      </c>
      <c r="H1160" s="5" t="s">
        <v>1291</v>
      </c>
      <c r="I1160" s="5">
        <v>58556</v>
      </c>
      <c r="J1160" s="5" t="s">
        <v>22</v>
      </c>
      <c r="K1160" s="5" t="s">
        <v>46</v>
      </c>
    </row>
    <row r="1161" spans="1:11" x14ac:dyDescent="0.25">
      <c r="A1161" s="6" t="s">
        <v>1199</v>
      </c>
      <c r="B1161" s="6" t="s">
        <v>2050</v>
      </c>
      <c r="C1161" s="6" t="s">
        <v>1264</v>
      </c>
      <c r="D1161" s="6" t="s">
        <v>1275</v>
      </c>
      <c r="E1161" s="6" t="s">
        <v>1489</v>
      </c>
      <c r="F1161" s="6" t="s">
        <v>67</v>
      </c>
      <c r="G1161" s="6" t="s">
        <v>1408</v>
      </c>
      <c r="H1161" s="6" t="s">
        <v>1335</v>
      </c>
      <c r="I1161" s="6">
        <v>1563</v>
      </c>
      <c r="J1161" s="6" t="s">
        <v>29</v>
      </c>
      <c r="K1161" s="6" t="s">
        <v>1273</v>
      </c>
    </row>
    <row r="1162" spans="1:11" x14ac:dyDescent="0.25">
      <c r="A1162" s="5" t="s">
        <v>1200</v>
      </c>
      <c r="B1162" s="5" t="s">
        <v>1369</v>
      </c>
      <c r="C1162" s="5" t="s">
        <v>53</v>
      </c>
      <c r="D1162" s="5" t="s">
        <v>1270</v>
      </c>
      <c r="E1162" s="5" t="s">
        <v>63</v>
      </c>
      <c r="F1162" s="5" t="s">
        <v>59</v>
      </c>
      <c r="G1162" s="5" t="s">
        <v>1307</v>
      </c>
      <c r="H1162" s="5" t="s">
        <v>1308</v>
      </c>
      <c r="I1162" s="5">
        <v>2865</v>
      </c>
      <c r="J1162" s="5" t="s">
        <v>45</v>
      </c>
      <c r="K1162" s="5" t="s">
        <v>46</v>
      </c>
    </row>
    <row r="1163" spans="1:11" x14ac:dyDescent="0.25">
      <c r="A1163" s="6" t="s">
        <v>1201</v>
      </c>
      <c r="B1163" s="6" t="s">
        <v>1662</v>
      </c>
      <c r="C1163" s="6" t="s">
        <v>1288</v>
      </c>
      <c r="D1163" s="6" t="s">
        <v>1296</v>
      </c>
      <c r="E1163" s="6" t="s">
        <v>63</v>
      </c>
      <c r="F1163" s="6" t="s">
        <v>59</v>
      </c>
      <c r="G1163" s="6" t="s">
        <v>1337</v>
      </c>
      <c r="H1163" s="6" t="s">
        <v>1403</v>
      </c>
      <c r="I1163" s="6">
        <v>3094</v>
      </c>
      <c r="J1163" s="6" t="s">
        <v>29</v>
      </c>
      <c r="K1163" s="6" t="s">
        <v>1273</v>
      </c>
    </row>
    <row r="1164" spans="1:11" x14ac:dyDescent="0.25">
      <c r="A1164" s="5" t="s">
        <v>1202</v>
      </c>
      <c r="B1164" s="5" t="s">
        <v>2072</v>
      </c>
      <c r="C1164" s="5" t="s">
        <v>1254</v>
      </c>
      <c r="D1164" s="5" t="s">
        <v>36</v>
      </c>
      <c r="E1164" s="5" t="s">
        <v>49</v>
      </c>
      <c r="F1164" s="5" t="s">
        <v>50</v>
      </c>
      <c r="G1164" s="5" t="s">
        <v>1271</v>
      </c>
      <c r="H1164" s="5" t="s">
        <v>1291</v>
      </c>
      <c r="I1164" s="5">
        <v>51573</v>
      </c>
      <c r="J1164" s="5" t="s">
        <v>22</v>
      </c>
      <c r="K1164" s="5" t="s">
        <v>46</v>
      </c>
    </row>
    <row r="1165" spans="1:11" x14ac:dyDescent="0.25">
      <c r="A1165" s="6" t="s">
        <v>1203</v>
      </c>
      <c r="B1165" s="6" t="s">
        <v>2073</v>
      </c>
      <c r="C1165" s="6" t="s">
        <v>73</v>
      </c>
      <c r="D1165" s="6" t="s">
        <v>1283</v>
      </c>
      <c r="E1165" s="6" t="s">
        <v>37</v>
      </c>
      <c r="F1165" s="6" t="s">
        <v>38</v>
      </c>
      <c r="G1165" s="6" t="s">
        <v>1265</v>
      </c>
      <c r="H1165" s="6" t="s">
        <v>1342</v>
      </c>
      <c r="I1165" s="6">
        <v>37482</v>
      </c>
      <c r="J1165" s="6" t="s">
        <v>22</v>
      </c>
      <c r="K1165" s="6" t="s">
        <v>1273</v>
      </c>
    </row>
    <row r="1166" spans="1:11" x14ac:dyDescent="0.25">
      <c r="A1166" s="5" t="s">
        <v>1204</v>
      </c>
      <c r="B1166" s="5" t="s">
        <v>1368</v>
      </c>
      <c r="C1166" s="5" t="s">
        <v>1264</v>
      </c>
      <c r="D1166" s="5" t="s">
        <v>1275</v>
      </c>
      <c r="E1166" s="5" t="s">
        <v>1519</v>
      </c>
      <c r="F1166" s="5" t="s">
        <v>21</v>
      </c>
      <c r="G1166" s="5" t="s">
        <v>1284</v>
      </c>
      <c r="H1166" s="5" t="s">
        <v>1261</v>
      </c>
      <c r="I1166" s="5">
        <v>5474</v>
      </c>
      <c r="J1166" s="5" t="s">
        <v>16</v>
      </c>
      <c r="K1166" s="5" t="s">
        <v>1286</v>
      </c>
    </row>
    <row r="1167" spans="1:11" x14ac:dyDescent="0.25">
      <c r="A1167" s="6" t="s">
        <v>1205</v>
      </c>
      <c r="B1167" s="6" t="s">
        <v>2074</v>
      </c>
      <c r="C1167" s="6" t="s">
        <v>48</v>
      </c>
      <c r="D1167" s="6" t="s">
        <v>1275</v>
      </c>
      <c r="E1167" s="6" t="s">
        <v>41</v>
      </c>
      <c r="F1167" s="6" t="s">
        <v>42</v>
      </c>
      <c r="G1167" s="6" t="s">
        <v>1294</v>
      </c>
      <c r="H1167" s="6" t="s">
        <v>1325</v>
      </c>
      <c r="I1167" s="6">
        <v>21269</v>
      </c>
      <c r="J1167" s="6" t="s">
        <v>29</v>
      </c>
      <c r="K1167" s="6" t="s">
        <v>1273</v>
      </c>
    </row>
    <row r="1168" spans="1:11" x14ac:dyDescent="0.25">
      <c r="A1168" s="5" t="s">
        <v>1206</v>
      </c>
      <c r="B1168" s="5" t="s">
        <v>2075</v>
      </c>
      <c r="C1168" s="5" t="s">
        <v>53</v>
      </c>
      <c r="D1168" s="5" t="s">
        <v>26</v>
      </c>
      <c r="E1168" s="5" t="s">
        <v>20</v>
      </c>
      <c r="F1168" s="5" t="s">
        <v>21</v>
      </c>
      <c r="G1168" s="5" t="s">
        <v>1297</v>
      </c>
      <c r="H1168" s="5" t="s">
        <v>1261</v>
      </c>
      <c r="I1168" s="5">
        <v>5263</v>
      </c>
      <c r="J1168" s="5" t="s">
        <v>22</v>
      </c>
      <c r="K1168" s="5" t="s">
        <v>17</v>
      </c>
    </row>
    <row r="1169" spans="1:11" x14ac:dyDescent="0.25">
      <c r="A1169" s="6" t="s">
        <v>1207</v>
      </c>
      <c r="B1169" s="6" t="s">
        <v>2076</v>
      </c>
      <c r="C1169" s="6" t="s">
        <v>53</v>
      </c>
      <c r="D1169" s="6" t="s">
        <v>1255</v>
      </c>
      <c r="E1169" s="6" t="s">
        <v>49</v>
      </c>
      <c r="F1169" s="6" t="s">
        <v>50</v>
      </c>
      <c r="G1169" s="6" t="s">
        <v>1499</v>
      </c>
      <c r="H1169" s="6" t="s">
        <v>1359</v>
      </c>
      <c r="I1169" s="6">
        <v>52365</v>
      </c>
      <c r="J1169" s="6" t="s">
        <v>1267</v>
      </c>
      <c r="K1169" s="6" t="s">
        <v>1273</v>
      </c>
    </row>
    <row r="1170" spans="1:11" x14ac:dyDescent="0.25">
      <c r="A1170" s="5" t="s">
        <v>1208</v>
      </c>
      <c r="B1170" s="5" t="s">
        <v>1950</v>
      </c>
      <c r="C1170" s="5" t="s">
        <v>1254</v>
      </c>
      <c r="D1170" s="5" t="s">
        <v>1283</v>
      </c>
      <c r="E1170" s="5" t="s">
        <v>14</v>
      </c>
      <c r="F1170" s="5" t="s">
        <v>15</v>
      </c>
      <c r="G1170" s="5" t="s">
        <v>1256</v>
      </c>
      <c r="H1170" s="5" t="s">
        <v>1347</v>
      </c>
      <c r="I1170" s="5">
        <v>7977</v>
      </c>
      <c r="J1170" s="5" t="s">
        <v>1267</v>
      </c>
      <c r="K1170" s="5" t="s">
        <v>46</v>
      </c>
    </row>
    <row r="1171" spans="1:11" x14ac:dyDescent="0.25">
      <c r="A1171" s="6" t="s">
        <v>1209</v>
      </c>
      <c r="B1171" s="6" t="s">
        <v>2077</v>
      </c>
      <c r="C1171" s="6" t="s">
        <v>62</v>
      </c>
      <c r="D1171" s="6" t="s">
        <v>1255</v>
      </c>
      <c r="E1171" s="6" t="s">
        <v>1636</v>
      </c>
      <c r="F1171" s="6" t="s">
        <v>50</v>
      </c>
      <c r="G1171" s="6" t="s">
        <v>1271</v>
      </c>
      <c r="H1171" s="6" t="s">
        <v>1291</v>
      </c>
      <c r="I1171" s="6">
        <v>48966</v>
      </c>
      <c r="J1171" s="6" t="s">
        <v>22</v>
      </c>
      <c r="K1171" s="6"/>
    </row>
    <row r="1172" spans="1:11" x14ac:dyDescent="0.25">
      <c r="A1172" s="5" t="s">
        <v>1210</v>
      </c>
      <c r="B1172" s="5" t="s">
        <v>1459</v>
      </c>
      <c r="C1172" s="5" t="s">
        <v>62</v>
      </c>
      <c r="D1172" s="5" t="s">
        <v>1270</v>
      </c>
      <c r="E1172" s="5" t="s">
        <v>49</v>
      </c>
      <c r="F1172" s="5" t="s">
        <v>50</v>
      </c>
      <c r="G1172" s="5" t="s">
        <v>1303</v>
      </c>
      <c r="H1172" s="5" t="s">
        <v>1291</v>
      </c>
      <c r="I1172" s="5">
        <v>50845</v>
      </c>
      <c r="J1172" s="5" t="s">
        <v>16</v>
      </c>
      <c r="K1172" s="5" t="s">
        <v>46</v>
      </c>
    </row>
    <row r="1173" spans="1:11" x14ac:dyDescent="0.25">
      <c r="A1173" s="6" t="s">
        <v>1211</v>
      </c>
      <c r="B1173" s="6" t="s">
        <v>1391</v>
      </c>
      <c r="C1173" s="6" t="s">
        <v>1259</v>
      </c>
      <c r="D1173" s="6" t="s">
        <v>26</v>
      </c>
      <c r="E1173" s="6" t="s">
        <v>49</v>
      </c>
      <c r="F1173" s="6" t="s">
        <v>50</v>
      </c>
      <c r="G1173" s="6" t="s">
        <v>1331</v>
      </c>
      <c r="H1173" s="6" t="s">
        <v>1359</v>
      </c>
      <c r="I1173" s="6">
        <v>57032</v>
      </c>
      <c r="J1173" s="6" t="s">
        <v>16</v>
      </c>
      <c r="K1173" s="6" t="s">
        <v>1273</v>
      </c>
    </row>
    <row r="1174" spans="1:11" x14ac:dyDescent="0.25">
      <c r="A1174" s="5" t="s">
        <v>1212</v>
      </c>
      <c r="B1174" s="5" t="s">
        <v>1563</v>
      </c>
      <c r="C1174" s="5" t="s">
        <v>1288</v>
      </c>
      <c r="D1174" s="5" t="s">
        <v>1275</v>
      </c>
      <c r="E1174" s="5" t="s">
        <v>41</v>
      </c>
      <c r="F1174" s="5" t="s">
        <v>42</v>
      </c>
      <c r="G1174" s="5" t="s">
        <v>1256</v>
      </c>
      <c r="H1174" s="5" t="s">
        <v>1325</v>
      </c>
      <c r="I1174" s="5">
        <v>22026</v>
      </c>
      <c r="J1174" s="5" t="s">
        <v>29</v>
      </c>
      <c r="K1174" s="5" t="s">
        <v>46</v>
      </c>
    </row>
    <row r="1175" spans="1:11" x14ac:dyDescent="0.25">
      <c r="A1175" s="6" t="s">
        <v>1213</v>
      </c>
      <c r="B1175" s="6" t="s">
        <v>1357</v>
      </c>
      <c r="C1175" s="6" t="s">
        <v>1288</v>
      </c>
      <c r="D1175" s="6" t="s">
        <v>1283</v>
      </c>
      <c r="E1175" s="6" t="s">
        <v>27</v>
      </c>
      <c r="F1175" s="6" t="s">
        <v>28</v>
      </c>
      <c r="G1175" s="6" t="s">
        <v>1303</v>
      </c>
      <c r="H1175" s="6" t="s">
        <v>1266</v>
      </c>
      <c r="I1175" s="6">
        <v>8985</v>
      </c>
      <c r="J1175" s="6" t="s">
        <v>16</v>
      </c>
      <c r="K1175" s="6" t="s">
        <v>1286</v>
      </c>
    </row>
    <row r="1176" spans="1:11" x14ac:dyDescent="0.25">
      <c r="A1176" s="5" t="s">
        <v>1214</v>
      </c>
      <c r="B1176" s="5" t="s">
        <v>1978</v>
      </c>
      <c r="C1176" s="5" t="s">
        <v>1264</v>
      </c>
      <c r="D1176" s="5" t="s">
        <v>36</v>
      </c>
      <c r="E1176" s="5" t="s">
        <v>1346</v>
      </c>
      <c r="F1176" s="5" t="s">
        <v>15</v>
      </c>
      <c r="G1176" s="5" t="s">
        <v>1313</v>
      </c>
      <c r="H1176" s="5" t="s">
        <v>1257</v>
      </c>
      <c r="I1176" s="5">
        <v>9512</v>
      </c>
      <c r="J1176" s="5" t="s">
        <v>29</v>
      </c>
      <c r="K1176" s="5" t="s">
        <v>46</v>
      </c>
    </row>
    <row r="1177" spans="1:11" x14ac:dyDescent="0.25">
      <c r="A1177" s="6" t="s">
        <v>1215</v>
      </c>
      <c r="B1177" s="6" t="s">
        <v>2078</v>
      </c>
      <c r="C1177" s="6" t="s">
        <v>1288</v>
      </c>
      <c r="D1177" s="6" t="s">
        <v>1255</v>
      </c>
      <c r="E1177" s="6" t="s">
        <v>49</v>
      </c>
      <c r="F1177" s="6" t="s">
        <v>50</v>
      </c>
      <c r="G1177" s="6" t="s">
        <v>1499</v>
      </c>
      <c r="H1177" s="6" t="s">
        <v>1359</v>
      </c>
      <c r="I1177" s="6">
        <v>46609</v>
      </c>
      <c r="J1177" s="6" t="s">
        <v>29</v>
      </c>
      <c r="K1177" s="6" t="s">
        <v>46</v>
      </c>
    </row>
    <row r="1178" spans="1:11" x14ac:dyDescent="0.25">
      <c r="A1178" s="5" t="s">
        <v>1216</v>
      </c>
      <c r="B1178" s="5" t="s">
        <v>2079</v>
      </c>
      <c r="C1178" s="5" t="s">
        <v>73</v>
      </c>
      <c r="D1178" s="5" t="s">
        <v>36</v>
      </c>
      <c r="E1178" s="5" t="s">
        <v>63</v>
      </c>
      <c r="F1178" s="5" t="s">
        <v>59</v>
      </c>
      <c r="G1178" s="5" t="s">
        <v>1303</v>
      </c>
      <c r="H1178" s="5" t="s">
        <v>1308</v>
      </c>
      <c r="I1178" s="5">
        <v>3350</v>
      </c>
      <c r="J1178" s="5" t="s">
        <v>16</v>
      </c>
      <c r="K1178" s="5" t="s">
        <v>1273</v>
      </c>
    </row>
    <row r="1179" spans="1:11" x14ac:dyDescent="0.25">
      <c r="A1179" s="6" t="s">
        <v>1217</v>
      </c>
      <c r="B1179" s="6" t="s">
        <v>1964</v>
      </c>
      <c r="C1179" s="6" t="s">
        <v>1259</v>
      </c>
      <c r="D1179" s="6" t="s">
        <v>1270</v>
      </c>
      <c r="E1179" s="6" t="s">
        <v>41</v>
      </c>
      <c r="F1179" s="6" t="s">
        <v>42</v>
      </c>
      <c r="G1179" s="6" t="s">
        <v>1364</v>
      </c>
      <c r="H1179" s="6" t="s">
        <v>1325</v>
      </c>
      <c r="I1179" s="6">
        <v>18943</v>
      </c>
      <c r="J1179" s="6" t="s">
        <v>22</v>
      </c>
      <c r="K1179" s="6" t="s">
        <v>1286</v>
      </c>
    </row>
    <row r="1180" spans="1:11" x14ac:dyDescent="0.25">
      <c r="A1180" s="5" t="s">
        <v>1218</v>
      </c>
      <c r="B1180" s="5" t="s">
        <v>2033</v>
      </c>
      <c r="C1180" s="5" t="s">
        <v>1254</v>
      </c>
      <c r="D1180" s="5" t="s">
        <v>36</v>
      </c>
      <c r="E1180" s="5" t="s">
        <v>37</v>
      </c>
      <c r="F1180" s="5" t="s">
        <v>38</v>
      </c>
      <c r="G1180" s="5" t="s">
        <v>1271</v>
      </c>
      <c r="H1180" s="5" t="s">
        <v>1281</v>
      </c>
      <c r="I1180" s="5">
        <v>39012</v>
      </c>
      <c r="J1180" s="5" t="s">
        <v>29</v>
      </c>
      <c r="K1180" s="5" t="s">
        <v>17</v>
      </c>
    </row>
    <row r="1181" spans="1:11" x14ac:dyDescent="0.25">
      <c r="A1181" s="6" t="s">
        <v>1219</v>
      </c>
      <c r="B1181" s="6" t="s">
        <v>1585</v>
      </c>
      <c r="C1181" s="6" t="s">
        <v>1254</v>
      </c>
      <c r="D1181" s="6" t="s">
        <v>26</v>
      </c>
      <c r="E1181" s="6" t="s">
        <v>1374</v>
      </c>
      <c r="F1181" s="6" t="s">
        <v>50</v>
      </c>
      <c r="G1181" s="6" t="s">
        <v>1315</v>
      </c>
      <c r="H1181" s="6" t="s">
        <v>1359</v>
      </c>
      <c r="I1181" s="6">
        <v>57105</v>
      </c>
      <c r="J1181" s="6" t="s">
        <v>29</v>
      </c>
      <c r="K1181" s="6" t="s">
        <v>1262</v>
      </c>
    </row>
    <row r="1182" spans="1:11" x14ac:dyDescent="0.25">
      <c r="A1182" s="5" t="s">
        <v>1220</v>
      </c>
      <c r="B1182" s="5" t="s">
        <v>1439</v>
      </c>
      <c r="C1182" s="5" t="s">
        <v>1259</v>
      </c>
      <c r="D1182" s="5" t="s">
        <v>1296</v>
      </c>
      <c r="E1182" s="5" t="s">
        <v>49</v>
      </c>
      <c r="F1182" s="5" t="s">
        <v>50</v>
      </c>
      <c r="G1182" s="5" t="s">
        <v>1294</v>
      </c>
      <c r="H1182" s="5" t="s">
        <v>1291</v>
      </c>
      <c r="I1182" s="5">
        <v>46636</v>
      </c>
      <c r="J1182" s="5" t="s">
        <v>1267</v>
      </c>
      <c r="K1182" s="5" t="s">
        <v>1273</v>
      </c>
    </row>
    <row r="1183" spans="1:11" x14ac:dyDescent="0.25">
      <c r="A1183" s="6" t="s">
        <v>1221</v>
      </c>
      <c r="B1183" s="6" t="s">
        <v>2080</v>
      </c>
      <c r="C1183" s="6" t="s">
        <v>48</v>
      </c>
      <c r="D1183" s="6" t="s">
        <v>1255</v>
      </c>
      <c r="E1183" s="6" t="s">
        <v>63</v>
      </c>
      <c r="F1183" s="6" t="s">
        <v>59</v>
      </c>
      <c r="G1183" s="6" t="s">
        <v>1315</v>
      </c>
      <c r="H1183" s="6" t="s">
        <v>1308</v>
      </c>
      <c r="I1183" s="6">
        <v>3436</v>
      </c>
      <c r="J1183" s="6" t="s">
        <v>16</v>
      </c>
      <c r="K1183" s="6" t="s">
        <v>46</v>
      </c>
    </row>
    <row r="1184" spans="1:11" x14ac:dyDescent="0.25">
      <c r="A1184" s="5" t="s">
        <v>1222</v>
      </c>
      <c r="B1184" s="5" t="s">
        <v>1552</v>
      </c>
      <c r="C1184" s="5" t="s">
        <v>1288</v>
      </c>
      <c r="D1184" s="5" t="s">
        <v>1283</v>
      </c>
      <c r="E1184" s="5" t="s">
        <v>27</v>
      </c>
      <c r="F1184" s="5" t="s">
        <v>28</v>
      </c>
      <c r="G1184" s="5" t="s">
        <v>1315</v>
      </c>
      <c r="H1184" s="5" t="s">
        <v>1356</v>
      </c>
      <c r="I1184" s="5">
        <v>8865</v>
      </c>
      <c r="J1184" s="5" t="s">
        <v>1267</v>
      </c>
      <c r="K1184" s="5" t="s">
        <v>17</v>
      </c>
    </row>
    <row r="1185" spans="1:11" x14ac:dyDescent="0.25">
      <c r="A1185" s="6" t="s">
        <v>1223</v>
      </c>
      <c r="B1185" s="6" t="s">
        <v>1937</v>
      </c>
      <c r="C1185" s="6" t="s">
        <v>48</v>
      </c>
      <c r="D1185" s="6" t="s">
        <v>1275</v>
      </c>
      <c r="E1185" s="6" t="s">
        <v>66</v>
      </c>
      <c r="F1185" s="6" t="s">
        <v>67</v>
      </c>
      <c r="G1185" s="6" t="s">
        <v>1499</v>
      </c>
      <c r="H1185" s="6" t="s">
        <v>1335</v>
      </c>
      <c r="I1185" s="6">
        <v>1644</v>
      </c>
      <c r="J1185" s="6" t="s">
        <v>45</v>
      </c>
      <c r="K1185" s="6" t="s">
        <v>1273</v>
      </c>
    </row>
    <row r="1186" spans="1:11" x14ac:dyDescent="0.25">
      <c r="A1186" s="5" t="s">
        <v>1224</v>
      </c>
      <c r="B1186" s="5" t="s">
        <v>1351</v>
      </c>
      <c r="C1186" s="5" t="s">
        <v>1264</v>
      </c>
      <c r="D1186" s="5" t="s">
        <v>1283</v>
      </c>
      <c r="E1186" s="5" t="s">
        <v>1394</v>
      </c>
      <c r="F1186" s="5" t="s">
        <v>34</v>
      </c>
      <c r="G1186" s="5" t="s">
        <v>1256</v>
      </c>
      <c r="H1186" s="5" t="s">
        <v>1278</v>
      </c>
      <c r="I1186" s="5">
        <v>24818</v>
      </c>
      <c r="J1186" s="5" t="s">
        <v>29</v>
      </c>
      <c r="K1186" s="5" t="s">
        <v>46</v>
      </c>
    </row>
    <row r="1187" spans="1:11" x14ac:dyDescent="0.25">
      <c r="A1187" s="6" t="s">
        <v>1225</v>
      </c>
      <c r="B1187" s="6" t="s">
        <v>2064</v>
      </c>
      <c r="C1187" s="6" t="s">
        <v>1288</v>
      </c>
      <c r="D1187" s="6" t="s">
        <v>1270</v>
      </c>
      <c r="E1187" s="6" t="s">
        <v>63</v>
      </c>
      <c r="F1187" s="6" t="s">
        <v>59</v>
      </c>
      <c r="G1187" s="6" t="s">
        <v>1260</v>
      </c>
      <c r="H1187" s="6" t="s">
        <v>1308</v>
      </c>
      <c r="I1187" s="6">
        <v>3259</v>
      </c>
      <c r="J1187" s="6" t="s">
        <v>29</v>
      </c>
      <c r="K1187" s="6" t="s">
        <v>1273</v>
      </c>
    </row>
    <row r="1188" spans="1:11" x14ac:dyDescent="0.25">
      <c r="A1188" s="5" t="s">
        <v>1226</v>
      </c>
      <c r="B1188" s="5" t="s">
        <v>1770</v>
      </c>
      <c r="C1188" s="5" t="s">
        <v>62</v>
      </c>
      <c r="D1188" s="5" t="s">
        <v>1255</v>
      </c>
      <c r="E1188" s="5" t="s">
        <v>14</v>
      </c>
      <c r="F1188" s="5" t="s">
        <v>15</v>
      </c>
      <c r="G1188" s="5" t="s">
        <v>1277</v>
      </c>
      <c r="H1188" s="5" t="s">
        <v>1257</v>
      </c>
      <c r="I1188" s="5">
        <v>8201</v>
      </c>
      <c r="J1188" s="5" t="s">
        <v>22</v>
      </c>
      <c r="K1188" s="5" t="s">
        <v>1286</v>
      </c>
    </row>
    <row r="1189" spans="1:11" x14ac:dyDescent="0.25">
      <c r="A1189" s="6" t="s">
        <v>1227</v>
      </c>
      <c r="B1189" s="6" t="s">
        <v>2081</v>
      </c>
      <c r="C1189" s="6" t="s">
        <v>62</v>
      </c>
      <c r="D1189" s="6" t="s">
        <v>1270</v>
      </c>
      <c r="E1189" s="6" t="s">
        <v>37</v>
      </c>
      <c r="F1189" s="6" t="s">
        <v>38</v>
      </c>
      <c r="G1189" s="6" t="s">
        <v>1301</v>
      </c>
      <c r="H1189" s="6" t="s">
        <v>1342</v>
      </c>
      <c r="I1189" s="6">
        <v>43428</v>
      </c>
      <c r="J1189" s="6" t="s">
        <v>1267</v>
      </c>
      <c r="K1189" s="6" t="s">
        <v>17</v>
      </c>
    </row>
    <row r="1190" spans="1:11" x14ac:dyDescent="0.25">
      <c r="A1190" s="5" t="s">
        <v>1228</v>
      </c>
      <c r="B1190" s="5" t="s">
        <v>1835</v>
      </c>
      <c r="C1190" s="5" t="s">
        <v>1264</v>
      </c>
      <c r="D1190" s="5" t="s">
        <v>1255</v>
      </c>
      <c r="E1190" s="5" t="s">
        <v>37</v>
      </c>
      <c r="F1190" s="5" t="s">
        <v>38</v>
      </c>
      <c r="G1190" s="5" t="s">
        <v>1297</v>
      </c>
      <c r="H1190" s="5" t="s">
        <v>1281</v>
      </c>
      <c r="I1190" s="5">
        <v>36289</v>
      </c>
      <c r="J1190" s="5" t="s">
        <v>22</v>
      </c>
      <c r="K1190" s="5" t="s">
        <v>46</v>
      </c>
    </row>
    <row r="1191" spans="1:11" x14ac:dyDescent="0.25">
      <c r="A1191" s="6" t="s">
        <v>1229</v>
      </c>
      <c r="B1191" s="6" t="s">
        <v>2082</v>
      </c>
      <c r="C1191" s="6" t="s">
        <v>53</v>
      </c>
      <c r="D1191" s="6"/>
      <c r="E1191" s="6" t="s">
        <v>1512</v>
      </c>
      <c r="F1191" s="6" t="s">
        <v>42</v>
      </c>
      <c r="G1191" s="6" t="s">
        <v>1260</v>
      </c>
      <c r="H1191" s="6" t="s">
        <v>1285</v>
      </c>
      <c r="I1191" s="6">
        <v>17932</v>
      </c>
      <c r="J1191" s="6" t="s">
        <v>22</v>
      </c>
      <c r="K1191" s="6" t="s">
        <v>17</v>
      </c>
    </row>
    <row r="1192" spans="1:11" x14ac:dyDescent="0.25">
      <c r="A1192" s="5" t="s">
        <v>1230</v>
      </c>
      <c r="B1192" s="5" t="s">
        <v>2083</v>
      </c>
      <c r="C1192" s="5" t="s">
        <v>1254</v>
      </c>
      <c r="D1192" s="5" t="s">
        <v>36</v>
      </c>
      <c r="E1192" s="5" t="s">
        <v>49</v>
      </c>
      <c r="F1192" s="5" t="s">
        <v>50</v>
      </c>
      <c r="G1192" s="5" t="s">
        <v>1337</v>
      </c>
      <c r="H1192" s="5" t="s">
        <v>1291</v>
      </c>
      <c r="I1192" s="5">
        <v>51860</v>
      </c>
      <c r="J1192" s="5" t="s">
        <v>16</v>
      </c>
      <c r="K1192" s="5" t="s">
        <v>1286</v>
      </c>
    </row>
    <row r="1193" spans="1:11" x14ac:dyDescent="0.25">
      <c r="A1193" s="6" t="s">
        <v>1231</v>
      </c>
      <c r="B1193" s="6" t="s">
        <v>1855</v>
      </c>
      <c r="C1193" s="6" t="s">
        <v>1254</v>
      </c>
      <c r="D1193" s="6" t="s">
        <v>1255</v>
      </c>
      <c r="E1193" s="6" t="s">
        <v>14</v>
      </c>
      <c r="F1193" s="6" t="s">
        <v>15</v>
      </c>
      <c r="G1193" s="6" t="s">
        <v>1328</v>
      </c>
      <c r="H1193" s="6" t="s">
        <v>1272</v>
      </c>
      <c r="I1193" s="6">
        <v>9992</v>
      </c>
      <c r="J1193" s="6" t="s">
        <v>16</v>
      </c>
      <c r="K1193" s="6" t="s">
        <v>1286</v>
      </c>
    </row>
    <row r="1194" spans="1:11" x14ac:dyDescent="0.25">
      <c r="A1194" s="5" t="s">
        <v>1232</v>
      </c>
      <c r="B1194" s="5" t="s">
        <v>2084</v>
      </c>
      <c r="C1194" s="5" t="s">
        <v>73</v>
      </c>
      <c r="D1194" s="5" t="s">
        <v>1296</v>
      </c>
      <c r="E1194" s="5" t="s">
        <v>27</v>
      </c>
      <c r="F1194" s="5" t="s">
        <v>28</v>
      </c>
      <c r="G1194" s="5" t="s">
        <v>1271</v>
      </c>
      <c r="H1194" s="5" t="s">
        <v>1266</v>
      </c>
      <c r="I1194" s="5">
        <v>9983</v>
      </c>
      <c r="J1194" s="5" t="s">
        <v>29</v>
      </c>
      <c r="K1194" s="5" t="s">
        <v>1273</v>
      </c>
    </row>
    <row r="1195" spans="1:11" x14ac:dyDescent="0.25">
      <c r="A1195" s="6" t="s">
        <v>1233</v>
      </c>
      <c r="B1195" s="6" t="s">
        <v>2085</v>
      </c>
      <c r="C1195" s="6" t="s">
        <v>73</v>
      </c>
      <c r="D1195" s="6" t="s">
        <v>36</v>
      </c>
      <c r="E1195" s="6" t="s">
        <v>49</v>
      </c>
      <c r="F1195" s="6" t="s">
        <v>50</v>
      </c>
      <c r="G1195" s="6" t="s">
        <v>1405</v>
      </c>
      <c r="H1195" s="6" t="s">
        <v>1291</v>
      </c>
      <c r="I1195" s="6">
        <v>58668</v>
      </c>
      <c r="J1195" s="6" t="s">
        <v>1267</v>
      </c>
      <c r="K1195" s="6" t="s">
        <v>17</v>
      </c>
    </row>
    <row r="1196" spans="1:11" x14ac:dyDescent="0.25">
      <c r="A1196" s="5" t="s">
        <v>1234</v>
      </c>
      <c r="B1196" s="5" t="s">
        <v>1937</v>
      </c>
      <c r="C1196" s="5" t="s">
        <v>1288</v>
      </c>
      <c r="D1196" s="5" t="s">
        <v>26</v>
      </c>
      <c r="E1196" s="5" t="s">
        <v>1346</v>
      </c>
      <c r="F1196" s="5" t="s">
        <v>15</v>
      </c>
      <c r="G1196" s="5" t="s">
        <v>1307</v>
      </c>
      <c r="H1196" s="5" t="s">
        <v>1257</v>
      </c>
      <c r="I1196" s="5">
        <v>7849</v>
      </c>
      <c r="J1196" s="5" t="s">
        <v>1267</v>
      </c>
      <c r="K1196" s="5" t="s">
        <v>1273</v>
      </c>
    </row>
    <row r="1197" spans="1:11" x14ac:dyDescent="0.25">
      <c r="A1197" s="6" t="s">
        <v>1235</v>
      </c>
      <c r="B1197" s="6" t="s">
        <v>1787</v>
      </c>
      <c r="C1197" s="6" t="s">
        <v>48</v>
      </c>
      <c r="D1197" s="6" t="s">
        <v>1296</v>
      </c>
      <c r="E1197" s="6" t="s">
        <v>66</v>
      </c>
      <c r="F1197" s="6" t="s">
        <v>67</v>
      </c>
      <c r="G1197" s="6" t="s">
        <v>1303</v>
      </c>
      <c r="H1197" s="6" t="s">
        <v>1335</v>
      </c>
      <c r="I1197" s="6">
        <v>1935</v>
      </c>
      <c r="J1197" s="6" t="s">
        <v>45</v>
      </c>
      <c r="K1197" s="6" t="s">
        <v>1262</v>
      </c>
    </row>
    <row r="1198" spans="1:11" x14ac:dyDescent="0.25">
      <c r="A1198" s="5" t="s">
        <v>1236</v>
      </c>
      <c r="B1198" s="5" t="s">
        <v>2086</v>
      </c>
      <c r="C1198" s="5" t="s">
        <v>1288</v>
      </c>
      <c r="D1198" s="5" t="s">
        <v>1283</v>
      </c>
      <c r="E1198" s="5" t="s">
        <v>20</v>
      </c>
      <c r="F1198" s="5" t="s">
        <v>21</v>
      </c>
      <c r="G1198" s="5" t="s">
        <v>1280</v>
      </c>
      <c r="H1198" s="5" t="s">
        <v>1454</v>
      </c>
      <c r="I1198" s="5">
        <v>5600</v>
      </c>
      <c r="J1198" s="5" t="s">
        <v>29</v>
      </c>
      <c r="K1198" s="5" t="s">
        <v>1286</v>
      </c>
    </row>
    <row r="1199" spans="1:11" x14ac:dyDescent="0.25">
      <c r="A1199" s="6" t="s">
        <v>1237</v>
      </c>
      <c r="B1199" s="6" t="s">
        <v>1798</v>
      </c>
      <c r="C1199" s="6" t="s">
        <v>1269</v>
      </c>
      <c r="D1199" s="6" t="s">
        <v>1283</v>
      </c>
      <c r="E1199" s="6" t="s">
        <v>63</v>
      </c>
      <c r="F1199" s="6" t="s">
        <v>59</v>
      </c>
      <c r="G1199" s="6" t="s">
        <v>1271</v>
      </c>
      <c r="H1199" s="6" t="s">
        <v>1308</v>
      </c>
      <c r="I1199" s="6">
        <v>3346</v>
      </c>
      <c r="J1199" s="6" t="s">
        <v>45</v>
      </c>
      <c r="K1199" s="6" t="s">
        <v>1262</v>
      </c>
    </row>
    <row r="1200" spans="1:11" x14ac:dyDescent="0.25">
      <c r="A1200" s="5" t="s">
        <v>1238</v>
      </c>
      <c r="B1200" s="5" t="s">
        <v>2087</v>
      </c>
      <c r="C1200" s="5" t="s">
        <v>48</v>
      </c>
      <c r="D1200" s="5" t="s">
        <v>1255</v>
      </c>
      <c r="E1200" s="5" t="s">
        <v>27</v>
      </c>
      <c r="F1200" s="5" t="s">
        <v>28</v>
      </c>
      <c r="G1200" s="5" t="s">
        <v>1265</v>
      </c>
      <c r="H1200" s="5" t="s">
        <v>1266</v>
      </c>
      <c r="I1200" s="5">
        <v>9263</v>
      </c>
      <c r="J1200" s="5" t="s">
        <v>22</v>
      </c>
      <c r="K1200" s="5" t="s">
        <v>46</v>
      </c>
    </row>
    <row r="1201" spans="1:11" x14ac:dyDescent="0.25">
      <c r="A1201" s="3" t="s">
        <v>1239</v>
      </c>
      <c r="B1201" s="3" t="s">
        <v>2037</v>
      </c>
      <c r="C1201" s="3" t="s">
        <v>1259</v>
      </c>
      <c r="D1201" s="3" t="s">
        <v>1255</v>
      </c>
      <c r="E1201" s="3" t="s">
        <v>1466</v>
      </c>
      <c r="F1201" s="3" t="s">
        <v>21</v>
      </c>
      <c r="G1201" s="3" t="s">
        <v>1625</v>
      </c>
      <c r="H1201" s="3" t="s">
        <v>1377</v>
      </c>
      <c r="I1201" s="3">
        <v>5184</v>
      </c>
      <c r="J1201" s="3" t="s">
        <v>29</v>
      </c>
      <c r="K1201" s="3" t="s">
        <v>1273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A20F-AC96-496F-B740-BB6334D4AFB6}">
  <sheetPr codeName="Sheet2"/>
  <dimension ref="A1:D10"/>
  <sheetViews>
    <sheetView workbookViewId="0">
      <selection activeCell="E14" sqref="E14"/>
    </sheetView>
  </sheetViews>
  <sheetFormatPr defaultRowHeight="15" x14ac:dyDescent="0.25"/>
  <cols>
    <col min="1" max="1" width="13.5703125" bestFit="1" customWidth="1"/>
    <col min="2" max="2" width="28" bestFit="1" customWidth="1"/>
    <col min="3" max="3" width="11.5703125" bestFit="1" customWidth="1"/>
    <col min="4" max="4" width="14.42578125" bestFit="1" customWidth="1"/>
  </cols>
  <sheetData>
    <row r="1" spans="1:4" x14ac:dyDescent="0.25">
      <c r="A1" s="7" t="s">
        <v>1240</v>
      </c>
      <c r="B1" s="7" t="s">
        <v>5</v>
      </c>
      <c r="C1" s="7" t="s">
        <v>1241</v>
      </c>
      <c r="D1" s="7" t="s">
        <v>1242</v>
      </c>
    </row>
    <row r="2" spans="1:4" x14ac:dyDescent="0.25">
      <c r="A2" t="s">
        <v>37</v>
      </c>
      <c r="B2" t="s">
        <v>38</v>
      </c>
      <c r="C2" t="s">
        <v>1243</v>
      </c>
      <c r="D2">
        <v>55000</v>
      </c>
    </row>
    <row r="3" spans="1:4" x14ac:dyDescent="0.25">
      <c r="A3" t="s">
        <v>63</v>
      </c>
      <c r="B3" t="s">
        <v>59</v>
      </c>
      <c r="C3" t="s">
        <v>1243</v>
      </c>
      <c r="D3">
        <v>4500</v>
      </c>
    </row>
    <row r="4" spans="1:4" x14ac:dyDescent="0.25">
      <c r="A4" t="s">
        <v>66</v>
      </c>
      <c r="B4" t="s">
        <v>67</v>
      </c>
      <c r="C4" t="s">
        <v>1243</v>
      </c>
      <c r="D4">
        <v>2500</v>
      </c>
    </row>
    <row r="5" spans="1:4" x14ac:dyDescent="0.25">
      <c r="A5" t="s">
        <v>27</v>
      </c>
      <c r="B5" t="s">
        <v>28</v>
      </c>
      <c r="C5" t="s">
        <v>1244</v>
      </c>
      <c r="D5">
        <v>14000</v>
      </c>
    </row>
    <row r="6" spans="1:4" x14ac:dyDescent="0.25">
      <c r="A6" t="s">
        <v>55</v>
      </c>
      <c r="B6" t="s">
        <v>34</v>
      </c>
      <c r="C6" t="s">
        <v>2088</v>
      </c>
      <c r="D6">
        <v>35000</v>
      </c>
    </row>
    <row r="7" spans="1:4" x14ac:dyDescent="0.25">
      <c r="A7" t="s">
        <v>20</v>
      </c>
      <c r="B7" t="s">
        <v>21</v>
      </c>
      <c r="C7" t="s">
        <v>1245</v>
      </c>
      <c r="D7">
        <v>8500</v>
      </c>
    </row>
    <row r="8" spans="1:4" x14ac:dyDescent="0.25">
      <c r="A8" t="s">
        <v>49</v>
      </c>
      <c r="B8" t="s">
        <v>50</v>
      </c>
      <c r="C8" t="s">
        <v>1243</v>
      </c>
      <c r="D8">
        <v>75000</v>
      </c>
    </row>
    <row r="9" spans="1:4" x14ac:dyDescent="0.25">
      <c r="A9" t="s">
        <v>14</v>
      </c>
      <c r="B9" t="s">
        <v>15</v>
      </c>
      <c r="C9" t="s">
        <v>1245</v>
      </c>
      <c r="D9">
        <v>12500</v>
      </c>
    </row>
    <row r="10" spans="1:4" x14ac:dyDescent="0.25">
      <c r="A10" t="s">
        <v>41</v>
      </c>
      <c r="B10" t="s">
        <v>42</v>
      </c>
      <c r="C10" t="s">
        <v>1243</v>
      </c>
      <c r="D10">
        <v>28000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D4367-F651-476D-967B-DC9E96749103}">
  <sheetPr codeName="Sheet5"/>
  <dimension ref="A1:V1157"/>
  <sheetViews>
    <sheetView topLeftCell="G1" workbookViewId="0">
      <selection activeCell="Q2" sqref="Q2"/>
    </sheetView>
  </sheetViews>
  <sheetFormatPr defaultRowHeight="15" x14ac:dyDescent="0.25"/>
  <cols>
    <col min="1" max="1" width="11.28515625" bestFit="1" customWidth="1"/>
    <col min="2" max="2" width="13.5703125" bestFit="1" customWidth="1"/>
    <col min="3" max="3" width="14.42578125" bestFit="1" customWidth="1"/>
    <col min="4" max="4" width="9.5703125" bestFit="1" customWidth="1"/>
    <col min="5" max="5" width="16.140625" bestFit="1" customWidth="1"/>
    <col min="6" max="6" width="28" bestFit="1" customWidth="1"/>
    <col min="7" max="7" width="12.85546875" bestFit="1" customWidth="1"/>
    <col min="8" max="8" width="12.42578125" bestFit="1" customWidth="1"/>
    <col min="9" max="9" width="13" bestFit="1" customWidth="1"/>
    <col min="10" max="10" width="19" bestFit="1" customWidth="1"/>
    <col min="11" max="11" width="17.85546875" bestFit="1" customWidth="1"/>
    <col min="12" max="12" width="13.42578125" bestFit="1" customWidth="1"/>
    <col min="13" max="13" width="12.85546875" bestFit="1" customWidth="1"/>
    <col min="14" max="14" width="8.28515625" bestFit="1" customWidth="1"/>
    <col min="15" max="15" width="16.85546875" bestFit="1" customWidth="1"/>
    <col min="16" max="16" width="11.5703125" bestFit="1" customWidth="1"/>
    <col min="17" max="17" width="7.28515625" bestFit="1" customWidth="1"/>
    <col min="18" max="18" width="9" bestFit="1" customWidth="1"/>
    <col min="19" max="19" width="13.85546875" bestFit="1" customWidth="1"/>
    <col min="20" max="20" width="12.85546875" bestFit="1" customWidth="1"/>
    <col min="21" max="21" width="8.28515625" bestFit="1" customWidth="1"/>
    <col min="22" max="22" width="16.85546875" style="2" bestFit="1" customWidth="1"/>
    <col min="23" max="23" width="11.5703125" bestFit="1" customWidth="1"/>
    <col min="24" max="24" width="7.28515625" bestFit="1" customWidth="1"/>
    <col min="25" max="25" width="10.28515625" bestFit="1" customWidth="1"/>
    <col min="26" max="26" width="13.85546875" bestFit="1" customWidth="1"/>
  </cols>
  <sheetData>
    <row r="1" spans="1:22" x14ac:dyDescent="0.25">
      <c r="A1" t="s">
        <v>0</v>
      </c>
      <c r="B1" t="s">
        <v>2105</v>
      </c>
      <c r="C1" t="s">
        <v>2106</v>
      </c>
      <c r="D1" t="s">
        <v>2107</v>
      </c>
      <c r="E1" t="s">
        <v>1240</v>
      </c>
      <c r="F1" t="s">
        <v>5</v>
      </c>
      <c r="G1" t="s">
        <v>2108</v>
      </c>
      <c r="H1" t="s">
        <v>2109</v>
      </c>
      <c r="I1" t="s">
        <v>8</v>
      </c>
      <c r="J1" t="s">
        <v>9</v>
      </c>
      <c r="K1" t="s">
        <v>2110</v>
      </c>
      <c r="L1" t="s">
        <v>1246</v>
      </c>
      <c r="M1" t="s">
        <v>1248</v>
      </c>
      <c r="N1" t="s">
        <v>1247</v>
      </c>
      <c r="O1" s="2" t="s">
        <v>1249</v>
      </c>
      <c r="P1" t="s">
        <v>1241</v>
      </c>
      <c r="Q1" t="s">
        <v>1250</v>
      </c>
      <c r="R1" t="s">
        <v>1251</v>
      </c>
      <c r="S1" t="s">
        <v>1252</v>
      </c>
      <c r="V1"/>
    </row>
    <row r="2" spans="1:22" x14ac:dyDescent="0.25">
      <c r="A2" t="s">
        <v>11</v>
      </c>
      <c r="B2" s="1">
        <v>46181</v>
      </c>
      <c r="C2" t="s">
        <v>12</v>
      </c>
      <c r="D2" t="s">
        <v>13</v>
      </c>
      <c r="E2" t="s">
        <v>14</v>
      </c>
      <c r="F2" t="s">
        <v>15</v>
      </c>
      <c r="G2">
        <v>12</v>
      </c>
      <c r="H2">
        <v>12500</v>
      </c>
      <c r="I2">
        <v>8267</v>
      </c>
      <c r="J2" t="s">
        <v>16</v>
      </c>
      <c r="K2" t="s">
        <v>17</v>
      </c>
      <c r="L2">
        <f>SUM(Clean_Data[[#This Row],[Units_Sold]]*Clean_Data[[#This Row],[Unit_Price]])</f>
        <v>150000</v>
      </c>
      <c r="M2">
        <f>Clean_Data[[#This Row],[Units_Sold]]*Clean_Data[[#This Row],[Cost_Price]]</f>
        <v>99204</v>
      </c>
      <c r="N2">
        <f>Clean_Data[[#This Row],[Total_Sales]]-Clean_Data[[#This Row],[Total_Cost]]</f>
        <v>50796</v>
      </c>
      <c r="O2" s="2">
        <f>Clean_Data[[#This Row],[Profit]]/Clean_Data[[#This Row],[Total_Sales]]</f>
        <v>0.33864</v>
      </c>
      <c r="P2" t="str">
        <f>_xlfn.XLOOKUP(Clean_Data[[#This Row],[Product_Code]],Product_Catalog!A:A,Product_Catalog!C:C)</f>
        <v>Accessories</v>
      </c>
      <c r="Q2">
        <f>IF(Clean_Data[[#This Row],[Order_Date]]="","",YEAR(Clean_Data[[#This Row],[Order_Date]]))</f>
        <v>2026</v>
      </c>
      <c r="R2" t="str">
        <f>TEXT(Clean_Data[[#This Row],[Order_Date]],"mmm")</f>
        <v>Jun</v>
      </c>
      <c r="S2" t="str">
        <f>TEXT(Clean_Data[[#This Row],[Order_Date]],"mmm-yy")</f>
        <v>Jun-26</v>
      </c>
      <c r="V2"/>
    </row>
    <row r="3" spans="1:22" x14ac:dyDescent="0.25">
      <c r="A3" t="s">
        <v>18</v>
      </c>
      <c r="B3" s="1">
        <v>45974</v>
      </c>
      <c r="C3" t="s">
        <v>19</v>
      </c>
      <c r="D3" t="s">
        <v>13</v>
      </c>
      <c r="E3" t="s">
        <v>20</v>
      </c>
      <c r="F3" t="s">
        <v>21</v>
      </c>
      <c r="G3">
        <v>13</v>
      </c>
      <c r="H3">
        <v>8500</v>
      </c>
      <c r="I3">
        <v>5143</v>
      </c>
      <c r="J3" t="s">
        <v>22</v>
      </c>
      <c r="K3" t="s">
        <v>23</v>
      </c>
      <c r="L3">
        <f>SUM(Clean_Data[[#This Row],[Units_Sold]]*Clean_Data[[#This Row],[Unit_Price]])</f>
        <v>110500</v>
      </c>
      <c r="M3">
        <f>Clean_Data[[#This Row],[Units_Sold]]*Clean_Data[[#This Row],[Cost_Price]]</f>
        <v>66859</v>
      </c>
      <c r="N3">
        <f>Clean_Data[[#This Row],[Total_Sales]]-Clean_Data[[#This Row],[Total_Cost]]</f>
        <v>43641</v>
      </c>
      <c r="O3" s="2">
        <f>Clean_Data[[#This Row],[Profit]]/Clean_Data[[#This Row],[Total_Sales]]</f>
        <v>0.39494117647058824</v>
      </c>
      <c r="P3" t="str">
        <f>_xlfn.XLOOKUP(Clean_Data[[#This Row],[Product_Code]],Product_Catalog!A:A,Product_Catalog!C:C)</f>
        <v>Accessories</v>
      </c>
      <c r="Q3">
        <f>IF(Clean_Data[[#This Row],[Order_Date]]="","",YEAR(Clean_Data[[#This Row],[Order_Date]]))</f>
        <v>2025</v>
      </c>
      <c r="R3" t="str">
        <f>TEXT(Clean_Data[[#This Row],[Order_Date]],"mmm")</f>
        <v>Nov</v>
      </c>
      <c r="S3" t="str">
        <f>TEXT(Clean_Data[[#This Row],[Order_Date]],"mmm-yy")</f>
        <v>Nov-25</v>
      </c>
      <c r="V3"/>
    </row>
    <row r="4" spans="1:22" x14ac:dyDescent="0.25">
      <c r="A4" t="s">
        <v>24</v>
      </c>
      <c r="B4" s="1">
        <v>46164</v>
      </c>
      <c r="C4" t="s">
        <v>25</v>
      </c>
      <c r="D4" t="s">
        <v>26</v>
      </c>
      <c r="E4" t="s">
        <v>27</v>
      </c>
      <c r="F4" t="s">
        <v>28</v>
      </c>
      <c r="G4">
        <v>3</v>
      </c>
      <c r="H4">
        <v>14000</v>
      </c>
      <c r="I4">
        <v>10441</v>
      </c>
      <c r="J4" t="s">
        <v>29</v>
      </c>
      <c r="K4" t="s">
        <v>17</v>
      </c>
      <c r="L4">
        <f>SUM(Clean_Data[[#This Row],[Units_Sold]]*Clean_Data[[#This Row],[Unit_Price]])</f>
        <v>42000</v>
      </c>
      <c r="M4">
        <f>Clean_Data[[#This Row],[Units_Sold]]*Clean_Data[[#This Row],[Cost_Price]]</f>
        <v>31323</v>
      </c>
      <c r="N4">
        <f>Clean_Data[[#This Row],[Total_Sales]]-Clean_Data[[#This Row],[Total_Cost]]</f>
        <v>10677</v>
      </c>
      <c r="O4" s="2">
        <f>Clean_Data[[#This Row],[Profit]]/Clean_Data[[#This Row],[Total_Sales]]</f>
        <v>0.25421428571428573</v>
      </c>
      <c r="P4" t="str">
        <f>_xlfn.XLOOKUP(Clean_Data[[#This Row],[Product_Code]],Product_Catalog!A:A,Product_Catalog!C:C)</f>
        <v>Furniture</v>
      </c>
      <c r="Q4">
        <f>IF(Clean_Data[[#This Row],[Order_Date]]="","",YEAR(Clean_Data[[#This Row],[Order_Date]]))</f>
        <v>2026</v>
      </c>
      <c r="R4" t="str">
        <f>TEXT(Clean_Data[[#This Row],[Order_Date]],"mmm")</f>
        <v>May</v>
      </c>
      <c r="S4" t="str">
        <f>TEXT(Clean_Data[[#This Row],[Order_Date]],"mmm-yy")</f>
        <v>May-26</v>
      </c>
      <c r="V4"/>
    </row>
    <row r="5" spans="1:22" x14ac:dyDescent="0.25">
      <c r="A5" t="s">
        <v>30</v>
      </c>
      <c r="B5" s="1">
        <v>45734</v>
      </c>
      <c r="C5" t="s">
        <v>31</v>
      </c>
      <c r="D5" t="s">
        <v>13</v>
      </c>
      <c r="E5" t="s">
        <v>14</v>
      </c>
      <c r="F5" t="s">
        <v>15</v>
      </c>
      <c r="G5">
        <v>10</v>
      </c>
      <c r="H5">
        <v>12500</v>
      </c>
      <c r="I5">
        <v>8801</v>
      </c>
      <c r="J5" t="s">
        <v>22</v>
      </c>
      <c r="K5" t="s">
        <v>23</v>
      </c>
      <c r="L5">
        <f>SUM(Clean_Data[[#This Row],[Units_Sold]]*Clean_Data[[#This Row],[Unit_Price]])</f>
        <v>125000</v>
      </c>
      <c r="M5">
        <f>Clean_Data[[#This Row],[Units_Sold]]*Clean_Data[[#This Row],[Cost_Price]]</f>
        <v>88010</v>
      </c>
      <c r="N5">
        <f>Clean_Data[[#This Row],[Total_Sales]]-Clean_Data[[#This Row],[Total_Cost]]</f>
        <v>36990</v>
      </c>
      <c r="O5" s="2">
        <f>Clean_Data[[#This Row],[Profit]]/Clean_Data[[#This Row],[Total_Sales]]</f>
        <v>0.29592000000000002</v>
      </c>
      <c r="P5" t="str">
        <f>_xlfn.XLOOKUP(Clean_Data[[#This Row],[Product_Code]],Product_Catalog!A:A,Product_Catalog!C:C)</f>
        <v>Accessories</v>
      </c>
      <c r="Q5">
        <f>IF(Clean_Data[[#This Row],[Order_Date]]="","",YEAR(Clean_Data[[#This Row],[Order_Date]]))</f>
        <v>2025</v>
      </c>
      <c r="R5" t="str">
        <f>TEXT(Clean_Data[[#This Row],[Order_Date]],"mmm")</f>
        <v>Mar</v>
      </c>
      <c r="S5" t="str">
        <f>TEXT(Clean_Data[[#This Row],[Order_Date]],"mmm-yy")</f>
        <v>Mar-25</v>
      </c>
      <c r="V5"/>
    </row>
    <row r="6" spans="1:22" x14ac:dyDescent="0.25">
      <c r="A6" t="s">
        <v>32</v>
      </c>
      <c r="B6" s="1">
        <v>45942</v>
      </c>
      <c r="C6" t="s">
        <v>31</v>
      </c>
      <c r="D6" t="s">
        <v>33</v>
      </c>
      <c r="E6" t="s">
        <v>55</v>
      </c>
      <c r="F6" t="s">
        <v>34</v>
      </c>
      <c r="G6">
        <v>8</v>
      </c>
      <c r="H6">
        <v>35000</v>
      </c>
      <c r="I6">
        <v>22572</v>
      </c>
      <c r="J6" t="s">
        <v>16</v>
      </c>
      <c r="K6" t="s">
        <v>23</v>
      </c>
      <c r="L6">
        <f>SUM(Clean_Data[[#This Row],[Units_Sold]]*Clean_Data[[#This Row],[Unit_Price]])</f>
        <v>280000</v>
      </c>
      <c r="M6">
        <f>Clean_Data[[#This Row],[Units_Sold]]*Clean_Data[[#This Row],[Cost_Price]]</f>
        <v>180576</v>
      </c>
      <c r="N6">
        <f>Clean_Data[[#This Row],[Total_Sales]]-Clean_Data[[#This Row],[Total_Cost]]</f>
        <v>99424</v>
      </c>
      <c r="O6" s="2">
        <f>Clean_Data[[#This Row],[Profit]]/Clean_Data[[#This Row],[Total_Sales]]</f>
        <v>0.35508571428571428</v>
      </c>
      <c r="P6" t="str">
        <f>_xlfn.XLOOKUP(Clean_Data[[#This Row],[Product_Code]],Product_Catalog!A:A,Product_Catalog!C:C)</f>
        <v>Furniture</v>
      </c>
      <c r="Q6">
        <f>IF(Clean_Data[[#This Row],[Order_Date]]="","",YEAR(Clean_Data[[#This Row],[Order_Date]]))</f>
        <v>2025</v>
      </c>
      <c r="R6" t="str">
        <f>TEXT(Clean_Data[[#This Row],[Order_Date]],"mmm")</f>
        <v>Oct</v>
      </c>
      <c r="S6" t="str">
        <f>TEXT(Clean_Data[[#This Row],[Order_Date]],"mmm-yy")</f>
        <v>Oct-25</v>
      </c>
      <c r="V6"/>
    </row>
    <row r="7" spans="1:22" x14ac:dyDescent="0.25">
      <c r="A7" t="s">
        <v>35</v>
      </c>
      <c r="B7" s="1">
        <v>45985</v>
      </c>
      <c r="C7" t="s">
        <v>31</v>
      </c>
      <c r="D7" t="s">
        <v>36</v>
      </c>
      <c r="E7" t="s">
        <v>37</v>
      </c>
      <c r="F7" t="s">
        <v>38</v>
      </c>
      <c r="G7">
        <v>11</v>
      </c>
      <c r="H7">
        <v>55000</v>
      </c>
      <c r="I7">
        <v>38919</v>
      </c>
      <c r="J7" t="s">
        <v>29</v>
      </c>
      <c r="K7" t="s">
        <v>23</v>
      </c>
      <c r="L7">
        <f>SUM(Clean_Data[[#This Row],[Units_Sold]]*Clean_Data[[#This Row],[Unit_Price]])</f>
        <v>605000</v>
      </c>
      <c r="M7">
        <f>Clean_Data[[#This Row],[Units_Sold]]*Clean_Data[[#This Row],[Cost_Price]]</f>
        <v>428109</v>
      </c>
      <c r="N7">
        <f>Clean_Data[[#This Row],[Total_Sales]]-Clean_Data[[#This Row],[Total_Cost]]</f>
        <v>176891</v>
      </c>
      <c r="O7" s="2">
        <f>Clean_Data[[#This Row],[Profit]]/Clean_Data[[#This Row],[Total_Sales]]</f>
        <v>0.29238181818181819</v>
      </c>
      <c r="P7" t="str">
        <f>_xlfn.XLOOKUP(Clean_Data[[#This Row],[Product_Code]],Product_Catalog!A:A,Product_Catalog!C:C)</f>
        <v>Electronics</v>
      </c>
      <c r="Q7">
        <f>IF(Clean_Data[[#This Row],[Order_Date]]="","",YEAR(Clean_Data[[#This Row],[Order_Date]]))</f>
        <v>2025</v>
      </c>
      <c r="R7" t="str">
        <f>TEXT(Clean_Data[[#This Row],[Order_Date]],"mmm")</f>
        <v>Nov</v>
      </c>
      <c r="S7" t="str">
        <f>TEXT(Clean_Data[[#This Row],[Order_Date]],"mmm-yy")</f>
        <v>Nov-25</v>
      </c>
      <c r="V7"/>
    </row>
    <row r="8" spans="1:22" x14ac:dyDescent="0.25">
      <c r="A8" t="s">
        <v>39</v>
      </c>
      <c r="B8" s="1">
        <v>46121</v>
      </c>
      <c r="C8" t="s">
        <v>12</v>
      </c>
      <c r="D8" t="s">
        <v>40</v>
      </c>
      <c r="E8" t="s">
        <v>41</v>
      </c>
      <c r="F8" t="s">
        <v>42</v>
      </c>
      <c r="G8">
        <v>5</v>
      </c>
      <c r="H8">
        <v>28000</v>
      </c>
      <c r="I8">
        <v>21639</v>
      </c>
      <c r="J8" t="s">
        <v>29</v>
      </c>
      <c r="K8" t="s">
        <v>17</v>
      </c>
      <c r="L8">
        <f>SUM(Clean_Data[[#This Row],[Units_Sold]]*Clean_Data[[#This Row],[Unit_Price]])</f>
        <v>140000</v>
      </c>
      <c r="M8">
        <f>Clean_Data[[#This Row],[Units_Sold]]*Clean_Data[[#This Row],[Cost_Price]]</f>
        <v>108195</v>
      </c>
      <c r="N8">
        <f>Clean_Data[[#This Row],[Total_Sales]]-Clean_Data[[#This Row],[Total_Cost]]</f>
        <v>31805</v>
      </c>
      <c r="O8" s="2">
        <f>Clean_Data[[#This Row],[Profit]]/Clean_Data[[#This Row],[Total_Sales]]</f>
        <v>0.22717857142857142</v>
      </c>
      <c r="P8" t="str">
        <f>_xlfn.XLOOKUP(Clean_Data[[#This Row],[Product_Code]],Product_Catalog!A:A,Product_Catalog!C:C)</f>
        <v>Electronics</v>
      </c>
      <c r="Q8">
        <f>IF(Clean_Data[[#This Row],[Order_Date]]="","",YEAR(Clean_Data[[#This Row],[Order_Date]]))</f>
        <v>2026</v>
      </c>
      <c r="R8" t="str">
        <f>TEXT(Clean_Data[[#This Row],[Order_Date]],"mmm")</f>
        <v>Apr</v>
      </c>
      <c r="S8" t="str">
        <f>TEXT(Clean_Data[[#This Row],[Order_Date]],"mmm-yy")</f>
        <v>Apr-26</v>
      </c>
      <c r="V8"/>
    </row>
    <row r="9" spans="1:22" x14ac:dyDescent="0.25">
      <c r="A9" t="s">
        <v>43</v>
      </c>
      <c r="B9" s="1">
        <v>46200</v>
      </c>
      <c r="C9" t="s">
        <v>44</v>
      </c>
      <c r="D9" t="s">
        <v>36</v>
      </c>
      <c r="E9" t="s">
        <v>14</v>
      </c>
      <c r="F9" t="s">
        <v>15</v>
      </c>
      <c r="G9">
        <v>9</v>
      </c>
      <c r="H9">
        <v>12500</v>
      </c>
      <c r="I9">
        <v>9201</v>
      </c>
      <c r="J9" t="s">
        <v>45</v>
      </c>
      <c r="K9" t="s">
        <v>46</v>
      </c>
      <c r="L9">
        <f>SUM(Clean_Data[[#This Row],[Units_Sold]]*Clean_Data[[#This Row],[Unit_Price]])</f>
        <v>112500</v>
      </c>
      <c r="M9">
        <f>Clean_Data[[#This Row],[Units_Sold]]*Clean_Data[[#This Row],[Cost_Price]]</f>
        <v>82809</v>
      </c>
      <c r="N9">
        <f>Clean_Data[[#This Row],[Total_Sales]]-Clean_Data[[#This Row],[Total_Cost]]</f>
        <v>29691</v>
      </c>
      <c r="O9" s="2">
        <f>Clean_Data[[#This Row],[Profit]]/Clean_Data[[#This Row],[Total_Sales]]</f>
        <v>0.26391999999999999</v>
      </c>
      <c r="P9" t="str">
        <f>_xlfn.XLOOKUP(Clean_Data[[#This Row],[Product_Code]],Product_Catalog!A:A,Product_Catalog!C:C)</f>
        <v>Accessories</v>
      </c>
      <c r="Q9">
        <f>IF(Clean_Data[[#This Row],[Order_Date]]="","",YEAR(Clean_Data[[#This Row],[Order_Date]]))</f>
        <v>2026</v>
      </c>
      <c r="R9" t="str">
        <f>TEXT(Clean_Data[[#This Row],[Order_Date]],"mmm")</f>
        <v>Jun</v>
      </c>
      <c r="S9" t="str">
        <f>TEXT(Clean_Data[[#This Row],[Order_Date]],"mmm-yy")</f>
        <v>Jun-26</v>
      </c>
      <c r="V9"/>
    </row>
    <row r="10" spans="1:22" x14ac:dyDescent="0.25">
      <c r="A10" t="s">
        <v>47</v>
      </c>
      <c r="B10" s="1">
        <v>45705</v>
      </c>
      <c r="C10" t="s">
        <v>48</v>
      </c>
      <c r="D10" t="s">
        <v>40</v>
      </c>
      <c r="E10" t="s">
        <v>49</v>
      </c>
      <c r="F10" t="s">
        <v>50</v>
      </c>
      <c r="G10">
        <v>10</v>
      </c>
      <c r="H10">
        <v>75000</v>
      </c>
      <c r="I10">
        <v>52501</v>
      </c>
      <c r="J10" t="s">
        <v>45</v>
      </c>
      <c r="K10" t="s">
        <v>46</v>
      </c>
      <c r="L10">
        <f>SUM(Clean_Data[[#This Row],[Units_Sold]]*Clean_Data[[#This Row],[Unit_Price]])</f>
        <v>750000</v>
      </c>
      <c r="M10">
        <f>Clean_Data[[#This Row],[Units_Sold]]*Clean_Data[[#This Row],[Cost_Price]]</f>
        <v>525010</v>
      </c>
      <c r="N10">
        <f>Clean_Data[[#This Row],[Total_Sales]]-Clean_Data[[#This Row],[Total_Cost]]</f>
        <v>224990</v>
      </c>
      <c r="O10" s="2">
        <f>Clean_Data[[#This Row],[Profit]]/Clean_Data[[#This Row],[Total_Sales]]</f>
        <v>0.29998666666666668</v>
      </c>
      <c r="P10" t="str">
        <f>_xlfn.XLOOKUP(Clean_Data[[#This Row],[Product_Code]],Product_Catalog!A:A,Product_Catalog!C:C)</f>
        <v>Electronics</v>
      </c>
      <c r="Q10">
        <f>IF(Clean_Data[[#This Row],[Order_Date]]="","",YEAR(Clean_Data[[#This Row],[Order_Date]]))</f>
        <v>2025</v>
      </c>
      <c r="R10" t="str">
        <f>TEXT(Clean_Data[[#This Row],[Order_Date]],"mmm")</f>
        <v>Feb</v>
      </c>
      <c r="S10" t="str">
        <f>TEXT(Clean_Data[[#This Row],[Order_Date]],"mmm-yy")</f>
        <v>Feb-25</v>
      </c>
      <c r="V10"/>
    </row>
    <row r="11" spans="1:22" x14ac:dyDescent="0.25">
      <c r="A11" t="s">
        <v>51</v>
      </c>
      <c r="B11" s="1">
        <v>45750</v>
      </c>
      <c r="C11" t="s">
        <v>12</v>
      </c>
      <c r="D11" t="s">
        <v>13</v>
      </c>
      <c r="E11" t="s">
        <v>27</v>
      </c>
      <c r="F11" t="s">
        <v>28</v>
      </c>
      <c r="G11">
        <v>4</v>
      </c>
      <c r="H11">
        <v>14000</v>
      </c>
      <c r="I11">
        <v>10260</v>
      </c>
      <c r="J11" t="s">
        <v>29</v>
      </c>
      <c r="K11" t="s">
        <v>23</v>
      </c>
      <c r="L11">
        <f>SUM(Clean_Data[[#This Row],[Units_Sold]]*Clean_Data[[#This Row],[Unit_Price]])</f>
        <v>56000</v>
      </c>
      <c r="M11">
        <f>Clean_Data[[#This Row],[Units_Sold]]*Clean_Data[[#This Row],[Cost_Price]]</f>
        <v>41040</v>
      </c>
      <c r="N11">
        <f>Clean_Data[[#This Row],[Total_Sales]]-Clean_Data[[#This Row],[Total_Cost]]</f>
        <v>14960</v>
      </c>
      <c r="O11" s="2">
        <f>Clean_Data[[#This Row],[Profit]]/Clean_Data[[#This Row],[Total_Sales]]</f>
        <v>0.26714285714285713</v>
      </c>
      <c r="P11" t="str">
        <f>_xlfn.XLOOKUP(Clean_Data[[#This Row],[Product_Code]],Product_Catalog!A:A,Product_Catalog!C:C)</f>
        <v>Furniture</v>
      </c>
      <c r="Q11">
        <f>IF(Clean_Data[[#This Row],[Order_Date]]="","",YEAR(Clean_Data[[#This Row],[Order_Date]]))</f>
        <v>2025</v>
      </c>
      <c r="R11" t="str">
        <f>TEXT(Clean_Data[[#This Row],[Order_Date]],"mmm")</f>
        <v>Apr</v>
      </c>
      <c r="S11" t="str">
        <f>TEXT(Clean_Data[[#This Row],[Order_Date]],"mmm-yy")</f>
        <v>Apr-25</v>
      </c>
      <c r="V11"/>
    </row>
    <row r="12" spans="1:22" x14ac:dyDescent="0.25">
      <c r="A12" t="s">
        <v>52</v>
      </c>
      <c r="B12" s="1">
        <v>45908</v>
      </c>
      <c r="C12" t="s">
        <v>53</v>
      </c>
      <c r="D12" t="s">
        <v>40</v>
      </c>
      <c r="E12" t="s">
        <v>20</v>
      </c>
      <c r="F12" t="s">
        <v>21</v>
      </c>
      <c r="G12">
        <v>7</v>
      </c>
      <c r="H12">
        <v>8500</v>
      </c>
      <c r="I12">
        <v>6184</v>
      </c>
      <c r="J12" t="s">
        <v>22</v>
      </c>
      <c r="K12" t="s">
        <v>17</v>
      </c>
      <c r="L12">
        <f>SUM(Clean_Data[[#This Row],[Units_Sold]]*Clean_Data[[#This Row],[Unit_Price]])</f>
        <v>59500</v>
      </c>
      <c r="M12">
        <f>Clean_Data[[#This Row],[Units_Sold]]*Clean_Data[[#This Row],[Cost_Price]]</f>
        <v>43288</v>
      </c>
      <c r="N12">
        <f>Clean_Data[[#This Row],[Total_Sales]]-Clean_Data[[#This Row],[Total_Cost]]</f>
        <v>16212</v>
      </c>
      <c r="O12" s="2">
        <f>Clean_Data[[#This Row],[Profit]]/Clean_Data[[#This Row],[Total_Sales]]</f>
        <v>0.27247058823529413</v>
      </c>
      <c r="P12" t="str">
        <f>_xlfn.XLOOKUP(Clean_Data[[#This Row],[Product_Code]],Product_Catalog!A:A,Product_Catalog!C:C)</f>
        <v>Accessories</v>
      </c>
      <c r="Q12">
        <f>IF(Clean_Data[[#This Row],[Order_Date]]="","",YEAR(Clean_Data[[#This Row],[Order_Date]]))</f>
        <v>2025</v>
      </c>
      <c r="R12" t="str">
        <f>TEXT(Clean_Data[[#This Row],[Order_Date]],"mmm")</f>
        <v>Sep</v>
      </c>
      <c r="S12" t="str">
        <f>TEXT(Clean_Data[[#This Row],[Order_Date]],"mmm-yy")</f>
        <v>Sep-25</v>
      </c>
      <c r="V12"/>
    </row>
    <row r="13" spans="1:22" x14ac:dyDescent="0.25">
      <c r="A13" t="s">
        <v>54</v>
      </c>
      <c r="B13" s="1">
        <v>45729</v>
      </c>
      <c r="C13" t="s">
        <v>53</v>
      </c>
      <c r="D13" t="s">
        <v>36</v>
      </c>
      <c r="E13" t="s">
        <v>55</v>
      </c>
      <c r="F13" t="s">
        <v>34</v>
      </c>
      <c r="G13">
        <v>4</v>
      </c>
      <c r="H13">
        <v>35000</v>
      </c>
      <c r="I13">
        <v>22680</v>
      </c>
      <c r="J13" t="s">
        <v>45</v>
      </c>
      <c r="K13" t="s">
        <v>17</v>
      </c>
      <c r="L13">
        <f>SUM(Clean_Data[[#This Row],[Units_Sold]]*Clean_Data[[#This Row],[Unit_Price]])</f>
        <v>140000</v>
      </c>
      <c r="M13">
        <f>Clean_Data[[#This Row],[Units_Sold]]*Clean_Data[[#This Row],[Cost_Price]]</f>
        <v>90720</v>
      </c>
      <c r="N13">
        <f>Clean_Data[[#This Row],[Total_Sales]]-Clean_Data[[#This Row],[Total_Cost]]</f>
        <v>49280</v>
      </c>
      <c r="O13" s="2">
        <f>Clean_Data[[#This Row],[Profit]]/Clean_Data[[#This Row],[Total_Sales]]</f>
        <v>0.35199999999999998</v>
      </c>
      <c r="P13" t="str">
        <f>_xlfn.XLOOKUP(Clean_Data[[#This Row],[Product_Code]],Product_Catalog!A:A,Product_Catalog!C:C)</f>
        <v>Furniture</v>
      </c>
      <c r="Q13">
        <f>IF(Clean_Data[[#This Row],[Order_Date]]="","",YEAR(Clean_Data[[#This Row],[Order_Date]]))</f>
        <v>2025</v>
      </c>
      <c r="R13" t="str">
        <f>TEXT(Clean_Data[[#This Row],[Order_Date]],"mmm")</f>
        <v>Mar</v>
      </c>
      <c r="S13" t="str">
        <f>TEXT(Clean_Data[[#This Row],[Order_Date]],"mmm-yy")</f>
        <v>Mar-25</v>
      </c>
      <c r="V13"/>
    </row>
    <row r="14" spans="1:22" x14ac:dyDescent="0.25">
      <c r="A14" t="s">
        <v>56</v>
      </c>
      <c r="B14" s="1">
        <v>46119</v>
      </c>
      <c r="C14" t="s">
        <v>44</v>
      </c>
      <c r="D14" t="s">
        <v>13</v>
      </c>
      <c r="E14" t="s">
        <v>20</v>
      </c>
      <c r="F14" t="s">
        <v>21</v>
      </c>
      <c r="G14">
        <v>18</v>
      </c>
      <c r="H14">
        <v>8500</v>
      </c>
      <c r="I14">
        <v>5445</v>
      </c>
      <c r="J14" t="s">
        <v>29</v>
      </c>
      <c r="K14" t="s">
        <v>23</v>
      </c>
      <c r="L14">
        <f>SUM(Clean_Data[[#This Row],[Units_Sold]]*Clean_Data[[#This Row],[Unit_Price]])</f>
        <v>153000</v>
      </c>
      <c r="M14">
        <f>Clean_Data[[#This Row],[Units_Sold]]*Clean_Data[[#This Row],[Cost_Price]]</f>
        <v>98010</v>
      </c>
      <c r="N14">
        <f>Clean_Data[[#This Row],[Total_Sales]]-Clean_Data[[#This Row],[Total_Cost]]</f>
        <v>54990</v>
      </c>
      <c r="O14" s="2">
        <f>Clean_Data[[#This Row],[Profit]]/Clean_Data[[#This Row],[Total_Sales]]</f>
        <v>0.35941176470588238</v>
      </c>
      <c r="P14" t="str">
        <f>_xlfn.XLOOKUP(Clean_Data[[#This Row],[Product_Code]],Product_Catalog!A:A,Product_Catalog!C:C)</f>
        <v>Accessories</v>
      </c>
      <c r="Q14">
        <f>IF(Clean_Data[[#This Row],[Order_Date]]="","",YEAR(Clean_Data[[#This Row],[Order_Date]]))</f>
        <v>2026</v>
      </c>
      <c r="R14" t="str">
        <f>TEXT(Clean_Data[[#This Row],[Order_Date]],"mmm")</f>
        <v>Apr</v>
      </c>
      <c r="S14" t="str">
        <f>TEXT(Clean_Data[[#This Row],[Order_Date]],"mmm-yy")</f>
        <v>Apr-26</v>
      </c>
      <c r="V14"/>
    </row>
    <row r="15" spans="1:22" x14ac:dyDescent="0.25">
      <c r="A15" t="s">
        <v>57</v>
      </c>
      <c r="B15" s="1">
        <v>46197</v>
      </c>
      <c r="C15" t="s">
        <v>53</v>
      </c>
      <c r="D15" t="s">
        <v>40</v>
      </c>
      <c r="E15" t="s">
        <v>49</v>
      </c>
      <c r="F15" t="s">
        <v>50</v>
      </c>
      <c r="G15">
        <v>19</v>
      </c>
      <c r="H15">
        <v>75000</v>
      </c>
      <c r="I15">
        <v>54462</v>
      </c>
      <c r="J15" t="s">
        <v>29</v>
      </c>
      <c r="K15" t="s">
        <v>17</v>
      </c>
      <c r="L15">
        <f>SUM(Clean_Data[[#This Row],[Units_Sold]]*Clean_Data[[#This Row],[Unit_Price]])</f>
        <v>1425000</v>
      </c>
      <c r="M15">
        <f>Clean_Data[[#This Row],[Units_Sold]]*Clean_Data[[#This Row],[Cost_Price]]</f>
        <v>1034778</v>
      </c>
      <c r="N15">
        <f>Clean_Data[[#This Row],[Total_Sales]]-Clean_Data[[#This Row],[Total_Cost]]</f>
        <v>390222</v>
      </c>
      <c r="O15" s="2">
        <f>Clean_Data[[#This Row],[Profit]]/Clean_Data[[#This Row],[Total_Sales]]</f>
        <v>0.27383999999999997</v>
      </c>
      <c r="P15" t="str">
        <f>_xlfn.XLOOKUP(Clean_Data[[#This Row],[Product_Code]],Product_Catalog!A:A,Product_Catalog!C:C)</f>
        <v>Electronics</v>
      </c>
      <c r="Q15">
        <f>IF(Clean_Data[[#This Row],[Order_Date]]="","",YEAR(Clean_Data[[#This Row],[Order_Date]]))</f>
        <v>2026</v>
      </c>
      <c r="R15" t="str">
        <f>TEXT(Clean_Data[[#This Row],[Order_Date]],"mmm")</f>
        <v>Jun</v>
      </c>
      <c r="S15" t="str">
        <f>TEXT(Clean_Data[[#This Row],[Order_Date]],"mmm-yy")</f>
        <v>Jun-26</v>
      </c>
      <c r="V15"/>
    </row>
    <row r="16" spans="1:22" x14ac:dyDescent="0.25">
      <c r="A16" t="s">
        <v>58</v>
      </c>
      <c r="B16" s="1">
        <v>46041</v>
      </c>
      <c r="C16" t="s">
        <v>12</v>
      </c>
      <c r="D16" t="s">
        <v>36</v>
      </c>
      <c r="E16" t="s">
        <v>63</v>
      </c>
      <c r="F16" t="s">
        <v>59</v>
      </c>
      <c r="G16">
        <v>1</v>
      </c>
      <c r="H16">
        <v>4500</v>
      </c>
      <c r="I16">
        <v>2798</v>
      </c>
      <c r="J16" t="s">
        <v>29</v>
      </c>
      <c r="K16" t="s">
        <v>23</v>
      </c>
      <c r="L16">
        <f>SUM(Clean_Data[[#This Row],[Units_Sold]]*Clean_Data[[#This Row],[Unit_Price]])</f>
        <v>4500</v>
      </c>
      <c r="M16">
        <f>Clean_Data[[#This Row],[Units_Sold]]*Clean_Data[[#This Row],[Cost_Price]]</f>
        <v>2798</v>
      </c>
      <c r="N16">
        <f>Clean_Data[[#This Row],[Total_Sales]]-Clean_Data[[#This Row],[Total_Cost]]</f>
        <v>1702</v>
      </c>
      <c r="O16" s="2">
        <f>Clean_Data[[#This Row],[Profit]]/Clean_Data[[#This Row],[Total_Sales]]</f>
        <v>0.37822222222222224</v>
      </c>
      <c r="P16" t="str">
        <f>_xlfn.XLOOKUP(Clean_Data[[#This Row],[Product_Code]],Product_Catalog!A:A,Product_Catalog!C:C)</f>
        <v>Electronics</v>
      </c>
      <c r="Q16">
        <f>IF(Clean_Data[[#This Row],[Order_Date]]="","",YEAR(Clean_Data[[#This Row],[Order_Date]]))</f>
        <v>2026</v>
      </c>
      <c r="R16" t="str">
        <f>TEXT(Clean_Data[[#This Row],[Order_Date]],"mmm")</f>
        <v>Jan</v>
      </c>
      <c r="S16" t="str">
        <f>TEXT(Clean_Data[[#This Row],[Order_Date]],"mmm-yy")</f>
        <v>Jan-26</v>
      </c>
      <c r="V16"/>
    </row>
    <row r="17" spans="1:22" x14ac:dyDescent="0.25">
      <c r="A17" t="s">
        <v>60</v>
      </c>
      <c r="B17" s="1">
        <v>45943</v>
      </c>
      <c r="C17" t="s">
        <v>53</v>
      </c>
      <c r="D17" t="s">
        <v>26</v>
      </c>
      <c r="E17" t="s">
        <v>41</v>
      </c>
      <c r="F17" t="s">
        <v>42</v>
      </c>
      <c r="G17">
        <v>14</v>
      </c>
      <c r="H17">
        <v>28000</v>
      </c>
      <c r="I17">
        <v>18415</v>
      </c>
      <c r="J17" t="s">
        <v>16</v>
      </c>
      <c r="K17" t="s">
        <v>17</v>
      </c>
      <c r="L17">
        <f>SUM(Clean_Data[[#This Row],[Units_Sold]]*Clean_Data[[#This Row],[Unit_Price]])</f>
        <v>392000</v>
      </c>
      <c r="M17">
        <f>Clean_Data[[#This Row],[Units_Sold]]*Clean_Data[[#This Row],[Cost_Price]]</f>
        <v>257810</v>
      </c>
      <c r="N17">
        <f>Clean_Data[[#This Row],[Total_Sales]]-Clean_Data[[#This Row],[Total_Cost]]</f>
        <v>134190</v>
      </c>
      <c r="O17" s="2">
        <f>Clean_Data[[#This Row],[Profit]]/Clean_Data[[#This Row],[Total_Sales]]</f>
        <v>0.34232142857142855</v>
      </c>
      <c r="P17" t="str">
        <f>_xlfn.XLOOKUP(Clean_Data[[#This Row],[Product_Code]],Product_Catalog!A:A,Product_Catalog!C:C)</f>
        <v>Electronics</v>
      </c>
      <c r="Q17">
        <f>IF(Clean_Data[[#This Row],[Order_Date]]="","",YEAR(Clean_Data[[#This Row],[Order_Date]]))</f>
        <v>2025</v>
      </c>
      <c r="R17" t="str">
        <f>TEXT(Clean_Data[[#This Row],[Order_Date]],"mmm")</f>
        <v>Oct</v>
      </c>
      <c r="S17" t="str">
        <f>TEXT(Clean_Data[[#This Row],[Order_Date]],"mmm-yy")</f>
        <v>Oct-25</v>
      </c>
      <c r="V17"/>
    </row>
    <row r="18" spans="1:22" x14ac:dyDescent="0.25">
      <c r="A18" t="s">
        <v>61</v>
      </c>
      <c r="B18" s="1">
        <v>45783</v>
      </c>
      <c r="C18" t="s">
        <v>62</v>
      </c>
      <c r="D18" t="s">
        <v>26</v>
      </c>
      <c r="E18" t="s">
        <v>63</v>
      </c>
      <c r="F18" t="s">
        <v>59</v>
      </c>
      <c r="G18">
        <v>16</v>
      </c>
      <c r="H18">
        <v>4500</v>
      </c>
      <c r="I18">
        <v>3522</v>
      </c>
      <c r="J18" t="s">
        <v>29</v>
      </c>
      <c r="K18" t="s">
        <v>23</v>
      </c>
      <c r="L18">
        <f>SUM(Clean_Data[[#This Row],[Units_Sold]]*Clean_Data[[#This Row],[Unit_Price]])</f>
        <v>72000</v>
      </c>
      <c r="M18">
        <f>Clean_Data[[#This Row],[Units_Sold]]*Clean_Data[[#This Row],[Cost_Price]]</f>
        <v>56352</v>
      </c>
      <c r="N18">
        <f>Clean_Data[[#This Row],[Total_Sales]]-Clean_Data[[#This Row],[Total_Cost]]</f>
        <v>15648</v>
      </c>
      <c r="O18" s="2">
        <f>Clean_Data[[#This Row],[Profit]]/Clean_Data[[#This Row],[Total_Sales]]</f>
        <v>0.21733333333333332</v>
      </c>
      <c r="P18" t="str">
        <f>_xlfn.XLOOKUP(Clean_Data[[#This Row],[Product_Code]],Product_Catalog!A:A,Product_Catalog!C:C)</f>
        <v>Electronics</v>
      </c>
      <c r="Q18">
        <f>IF(Clean_Data[[#This Row],[Order_Date]]="","",YEAR(Clean_Data[[#This Row],[Order_Date]]))</f>
        <v>2025</v>
      </c>
      <c r="R18" t="str">
        <f>TEXT(Clean_Data[[#This Row],[Order_Date]],"mmm")</f>
        <v>May</v>
      </c>
      <c r="S18" t="str">
        <f>TEXT(Clean_Data[[#This Row],[Order_Date]],"mmm-yy")</f>
        <v>May-25</v>
      </c>
      <c r="V18"/>
    </row>
    <row r="19" spans="1:22" x14ac:dyDescent="0.25">
      <c r="A19" t="s">
        <v>64</v>
      </c>
      <c r="B19" s="1">
        <v>45928</v>
      </c>
      <c r="C19" t="s">
        <v>12</v>
      </c>
      <c r="D19" t="s">
        <v>13</v>
      </c>
      <c r="E19" t="s">
        <v>55</v>
      </c>
      <c r="F19" t="s">
        <v>34</v>
      </c>
      <c r="G19">
        <v>17</v>
      </c>
      <c r="H19">
        <v>35000</v>
      </c>
      <c r="I19">
        <v>24490</v>
      </c>
      <c r="J19" t="s">
        <v>29</v>
      </c>
      <c r="K19" t="s">
        <v>46</v>
      </c>
      <c r="L19">
        <f>SUM(Clean_Data[[#This Row],[Units_Sold]]*Clean_Data[[#This Row],[Unit_Price]])</f>
        <v>595000</v>
      </c>
      <c r="M19">
        <f>Clean_Data[[#This Row],[Units_Sold]]*Clean_Data[[#This Row],[Cost_Price]]</f>
        <v>416330</v>
      </c>
      <c r="N19">
        <f>Clean_Data[[#This Row],[Total_Sales]]-Clean_Data[[#This Row],[Total_Cost]]</f>
        <v>178670</v>
      </c>
      <c r="O19" s="2">
        <f>Clean_Data[[#This Row],[Profit]]/Clean_Data[[#This Row],[Total_Sales]]</f>
        <v>0.30028571428571427</v>
      </c>
      <c r="P19" t="str">
        <f>_xlfn.XLOOKUP(Clean_Data[[#This Row],[Product_Code]],Product_Catalog!A:A,Product_Catalog!C:C)</f>
        <v>Furniture</v>
      </c>
      <c r="Q19">
        <f>IF(Clean_Data[[#This Row],[Order_Date]]="","",YEAR(Clean_Data[[#This Row],[Order_Date]]))</f>
        <v>2025</v>
      </c>
      <c r="R19" t="str">
        <f>TEXT(Clean_Data[[#This Row],[Order_Date]],"mmm")</f>
        <v>Sep</v>
      </c>
      <c r="S19" t="str">
        <f>TEXT(Clean_Data[[#This Row],[Order_Date]],"mmm-yy")</f>
        <v>Sep-25</v>
      </c>
      <c r="V19"/>
    </row>
    <row r="20" spans="1:22" x14ac:dyDescent="0.25">
      <c r="A20" t="s">
        <v>65</v>
      </c>
      <c r="B20" s="1">
        <v>45754</v>
      </c>
      <c r="C20" t="s">
        <v>31</v>
      </c>
      <c r="D20" t="s">
        <v>33</v>
      </c>
      <c r="E20" t="s">
        <v>66</v>
      </c>
      <c r="F20" t="s">
        <v>67</v>
      </c>
      <c r="G20">
        <v>8</v>
      </c>
      <c r="H20">
        <v>2500</v>
      </c>
      <c r="I20">
        <v>1654</v>
      </c>
      <c r="J20" t="s">
        <v>16</v>
      </c>
      <c r="K20" t="s">
        <v>46</v>
      </c>
      <c r="L20">
        <f>SUM(Clean_Data[[#This Row],[Units_Sold]]*Clean_Data[[#This Row],[Unit_Price]])</f>
        <v>20000</v>
      </c>
      <c r="M20">
        <f>Clean_Data[[#This Row],[Units_Sold]]*Clean_Data[[#This Row],[Cost_Price]]</f>
        <v>13232</v>
      </c>
      <c r="N20">
        <f>Clean_Data[[#This Row],[Total_Sales]]-Clean_Data[[#This Row],[Total_Cost]]</f>
        <v>6768</v>
      </c>
      <c r="O20" s="2">
        <f>Clean_Data[[#This Row],[Profit]]/Clean_Data[[#This Row],[Total_Sales]]</f>
        <v>0.33839999999999998</v>
      </c>
      <c r="P20" t="str">
        <f>_xlfn.XLOOKUP(Clean_Data[[#This Row],[Product_Code]],Product_Catalog!A:A,Product_Catalog!C:C)</f>
        <v>Electronics</v>
      </c>
      <c r="Q20">
        <f>IF(Clean_Data[[#This Row],[Order_Date]]="","",YEAR(Clean_Data[[#This Row],[Order_Date]]))</f>
        <v>2025</v>
      </c>
      <c r="R20" t="str">
        <f>TEXT(Clean_Data[[#This Row],[Order_Date]],"mmm")</f>
        <v>Apr</v>
      </c>
      <c r="S20" t="str">
        <f>TEXT(Clean_Data[[#This Row],[Order_Date]],"mmm-yy")</f>
        <v>Apr-25</v>
      </c>
      <c r="V20"/>
    </row>
    <row r="21" spans="1:22" x14ac:dyDescent="0.25">
      <c r="A21" t="s">
        <v>68</v>
      </c>
      <c r="B21" s="1">
        <v>45890</v>
      </c>
      <c r="C21" t="s">
        <v>48</v>
      </c>
      <c r="D21" t="s">
        <v>40</v>
      </c>
      <c r="E21" t="s">
        <v>63</v>
      </c>
      <c r="F21" t="s">
        <v>59</v>
      </c>
      <c r="G21">
        <v>3</v>
      </c>
      <c r="H21">
        <v>4500</v>
      </c>
      <c r="I21">
        <v>3020</v>
      </c>
      <c r="J21" t="s">
        <v>22</v>
      </c>
      <c r="K21" t="s">
        <v>46</v>
      </c>
      <c r="L21">
        <f>SUM(Clean_Data[[#This Row],[Units_Sold]]*Clean_Data[[#This Row],[Unit_Price]])</f>
        <v>13500</v>
      </c>
      <c r="M21">
        <f>Clean_Data[[#This Row],[Units_Sold]]*Clean_Data[[#This Row],[Cost_Price]]</f>
        <v>9060</v>
      </c>
      <c r="N21">
        <f>Clean_Data[[#This Row],[Total_Sales]]-Clean_Data[[#This Row],[Total_Cost]]</f>
        <v>4440</v>
      </c>
      <c r="O21" s="2">
        <f>Clean_Data[[#This Row],[Profit]]/Clean_Data[[#This Row],[Total_Sales]]</f>
        <v>0.3288888888888889</v>
      </c>
      <c r="P21" t="str">
        <f>_xlfn.XLOOKUP(Clean_Data[[#This Row],[Product_Code]],Product_Catalog!A:A,Product_Catalog!C:C)</f>
        <v>Electronics</v>
      </c>
      <c r="Q21">
        <f>IF(Clean_Data[[#This Row],[Order_Date]]="","",YEAR(Clean_Data[[#This Row],[Order_Date]]))</f>
        <v>2025</v>
      </c>
      <c r="R21" t="str">
        <f>TEXT(Clean_Data[[#This Row],[Order_Date]],"mmm")</f>
        <v>Aug</v>
      </c>
      <c r="S21" t="str">
        <f>TEXT(Clean_Data[[#This Row],[Order_Date]],"mmm-yy")</f>
        <v>Aug-25</v>
      </c>
      <c r="V21"/>
    </row>
    <row r="22" spans="1:22" x14ac:dyDescent="0.25">
      <c r="A22" t="s">
        <v>69</v>
      </c>
      <c r="B22" s="1">
        <v>46249</v>
      </c>
      <c r="C22" t="s">
        <v>48</v>
      </c>
      <c r="D22" t="s">
        <v>36</v>
      </c>
      <c r="E22" t="s">
        <v>49</v>
      </c>
      <c r="F22" t="s">
        <v>50</v>
      </c>
      <c r="G22">
        <v>17</v>
      </c>
      <c r="H22">
        <v>75000</v>
      </c>
      <c r="I22">
        <v>58384</v>
      </c>
      <c r="J22" t="s">
        <v>29</v>
      </c>
      <c r="K22" t="s">
        <v>23</v>
      </c>
      <c r="L22">
        <f>SUM(Clean_Data[[#This Row],[Units_Sold]]*Clean_Data[[#This Row],[Unit_Price]])</f>
        <v>1275000</v>
      </c>
      <c r="M22">
        <f>Clean_Data[[#This Row],[Units_Sold]]*Clean_Data[[#This Row],[Cost_Price]]</f>
        <v>992528</v>
      </c>
      <c r="N22">
        <f>Clean_Data[[#This Row],[Total_Sales]]-Clean_Data[[#This Row],[Total_Cost]]</f>
        <v>282472</v>
      </c>
      <c r="O22" s="2">
        <f>Clean_Data[[#This Row],[Profit]]/Clean_Data[[#This Row],[Total_Sales]]</f>
        <v>0.22154666666666667</v>
      </c>
      <c r="P22" t="str">
        <f>_xlfn.XLOOKUP(Clean_Data[[#This Row],[Product_Code]],Product_Catalog!A:A,Product_Catalog!C:C)</f>
        <v>Electronics</v>
      </c>
      <c r="Q22">
        <f>IF(Clean_Data[[#This Row],[Order_Date]]="","",YEAR(Clean_Data[[#This Row],[Order_Date]]))</f>
        <v>2026</v>
      </c>
      <c r="R22" t="str">
        <f>TEXT(Clean_Data[[#This Row],[Order_Date]],"mmm")</f>
        <v>Aug</v>
      </c>
      <c r="S22" t="str">
        <f>TEXT(Clean_Data[[#This Row],[Order_Date]],"mmm-yy")</f>
        <v>Aug-26</v>
      </c>
      <c r="V22"/>
    </row>
    <row r="23" spans="1:22" x14ac:dyDescent="0.25">
      <c r="A23" t="s">
        <v>70</v>
      </c>
      <c r="B23" s="1">
        <v>46017</v>
      </c>
      <c r="C23" t="s">
        <v>19</v>
      </c>
      <c r="D23" t="s">
        <v>13</v>
      </c>
      <c r="E23" t="s">
        <v>14</v>
      </c>
      <c r="F23" t="s">
        <v>15</v>
      </c>
      <c r="G23">
        <v>8</v>
      </c>
      <c r="H23">
        <v>12500</v>
      </c>
      <c r="I23">
        <v>9578</v>
      </c>
      <c r="J23" t="s">
        <v>29</v>
      </c>
      <c r="K23" t="s">
        <v>17</v>
      </c>
      <c r="L23">
        <f>SUM(Clean_Data[[#This Row],[Units_Sold]]*Clean_Data[[#This Row],[Unit_Price]])</f>
        <v>100000</v>
      </c>
      <c r="M23">
        <f>Clean_Data[[#This Row],[Units_Sold]]*Clean_Data[[#This Row],[Cost_Price]]</f>
        <v>76624</v>
      </c>
      <c r="N23">
        <f>Clean_Data[[#This Row],[Total_Sales]]-Clean_Data[[#This Row],[Total_Cost]]</f>
        <v>23376</v>
      </c>
      <c r="O23" s="2">
        <f>Clean_Data[[#This Row],[Profit]]/Clean_Data[[#This Row],[Total_Sales]]</f>
        <v>0.23376</v>
      </c>
      <c r="P23" t="str">
        <f>_xlfn.XLOOKUP(Clean_Data[[#This Row],[Product_Code]],Product_Catalog!A:A,Product_Catalog!C:C)</f>
        <v>Accessories</v>
      </c>
      <c r="Q23">
        <f>IF(Clean_Data[[#This Row],[Order_Date]]="","",YEAR(Clean_Data[[#This Row],[Order_Date]]))</f>
        <v>2025</v>
      </c>
      <c r="R23" t="str">
        <f>TEXT(Clean_Data[[#This Row],[Order_Date]],"mmm")</f>
        <v>Dec</v>
      </c>
      <c r="S23" t="str">
        <f>TEXT(Clean_Data[[#This Row],[Order_Date]],"mmm-yy")</f>
        <v>Dec-25</v>
      </c>
      <c r="V23"/>
    </row>
    <row r="24" spans="1:22" x14ac:dyDescent="0.25">
      <c r="A24" t="s">
        <v>71</v>
      </c>
      <c r="B24" s="1">
        <v>45733</v>
      </c>
      <c r="C24" t="s">
        <v>25</v>
      </c>
      <c r="D24" t="s">
        <v>26</v>
      </c>
      <c r="E24" t="s">
        <v>63</v>
      </c>
      <c r="F24" t="s">
        <v>59</v>
      </c>
      <c r="G24">
        <v>19</v>
      </c>
      <c r="H24">
        <v>4500</v>
      </c>
      <c r="I24">
        <v>3519</v>
      </c>
      <c r="J24" t="s">
        <v>29</v>
      </c>
      <c r="K24" t="s">
        <v>46</v>
      </c>
      <c r="L24">
        <f>SUM(Clean_Data[[#This Row],[Units_Sold]]*Clean_Data[[#This Row],[Unit_Price]])</f>
        <v>85500</v>
      </c>
      <c r="M24">
        <f>Clean_Data[[#This Row],[Units_Sold]]*Clean_Data[[#This Row],[Cost_Price]]</f>
        <v>66861</v>
      </c>
      <c r="N24">
        <f>Clean_Data[[#This Row],[Total_Sales]]-Clean_Data[[#This Row],[Total_Cost]]</f>
        <v>18639</v>
      </c>
      <c r="O24" s="2">
        <f>Clean_Data[[#This Row],[Profit]]/Clean_Data[[#This Row],[Total_Sales]]</f>
        <v>0.218</v>
      </c>
      <c r="P24" t="str">
        <f>_xlfn.XLOOKUP(Clean_Data[[#This Row],[Product_Code]],Product_Catalog!A:A,Product_Catalog!C:C)</f>
        <v>Electronics</v>
      </c>
      <c r="Q24">
        <f>IF(Clean_Data[[#This Row],[Order_Date]]="","",YEAR(Clean_Data[[#This Row],[Order_Date]]))</f>
        <v>2025</v>
      </c>
      <c r="R24" t="str">
        <f>TEXT(Clean_Data[[#This Row],[Order_Date]],"mmm")</f>
        <v>Mar</v>
      </c>
      <c r="S24" t="str">
        <f>TEXT(Clean_Data[[#This Row],[Order_Date]],"mmm-yy")</f>
        <v>Mar-25</v>
      </c>
      <c r="V24"/>
    </row>
    <row r="25" spans="1:22" x14ac:dyDescent="0.25">
      <c r="A25" t="s">
        <v>72</v>
      </c>
      <c r="B25" s="1">
        <v>45659</v>
      </c>
      <c r="C25" t="s">
        <v>73</v>
      </c>
      <c r="D25" t="s">
        <v>40</v>
      </c>
      <c r="E25" t="s">
        <v>27</v>
      </c>
      <c r="F25" t="s">
        <v>28</v>
      </c>
      <c r="G25">
        <v>6</v>
      </c>
      <c r="H25">
        <v>14000</v>
      </c>
      <c r="I25">
        <v>9825</v>
      </c>
      <c r="J25" t="s">
        <v>29</v>
      </c>
      <c r="K25" t="s">
        <v>46</v>
      </c>
      <c r="L25">
        <f>SUM(Clean_Data[[#This Row],[Units_Sold]]*Clean_Data[[#This Row],[Unit_Price]])</f>
        <v>84000</v>
      </c>
      <c r="M25">
        <f>Clean_Data[[#This Row],[Units_Sold]]*Clean_Data[[#This Row],[Cost_Price]]</f>
        <v>58950</v>
      </c>
      <c r="N25">
        <f>Clean_Data[[#This Row],[Total_Sales]]-Clean_Data[[#This Row],[Total_Cost]]</f>
        <v>25050</v>
      </c>
      <c r="O25" s="2">
        <f>Clean_Data[[#This Row],[Profit]]/Clean_Data[[#This Row],[Total_Sales]]</f>
        <v>0.29821428571428571</v>
      </c>
      <c r="P25" t="str">
        <f>_xlfn.XLOOKUP(Clean_Data[[#This Row],[Product_Code]],Product_Catalog!A:A,Product_Catalog!C:C)</f>
        <v>Furniture</v>
      </c>
      <c r="Q25">
        <f>IF(Clean_Data[[#This Row],[Order_Date]]="","",YEAR(Clean_Data[[#This Row],[Order_Date]]))</f>
        <v>2025</v>
      </c>
      <c r="R25" t="str">
        <f>TEXT(Clean_Data[[#This Row],[Order_Date]],"mmm")</f>
        <v>Jan</v>
      </c>
      <c r="S25" t="str">
        <f>TEXT(Clean_Data[[#This Row],[Order_Date]],"mmm-yy")</f>
        <v>Jan-25</v>
      </c>
      <c r="V25"/>
    </row>
    <row r="26" spans="1:22" x14ac:dyDescent="0.25">
      <c r="A26" t="s">
        <v>74</v>
      </c>
      <c r="B26" s="1">
        <v>45737</v>
      </c>
      <c r="C26" t="s">
        <v>53</v>
      </c>
      <c r="D26" t="s">
        <v>26</v>
      </c>
      <c r="E26" t="s">
        <v>14</v>
      </c>
      <c r="F26" t="s">
        <v>15</v>
      </c>
      <c r="G26">
        <v>10</v>
      </c>
      <c r="H26">
        <v>12500</v>
      </c>
      <c r="I26">
        <v>8116</v>
      </c>
      <c r="J26" t="s">
        <v>29</v>
      </c>
      <c r="K26" t="s">
        <v>17</v>
      </c>
      <c r="L26">
        <f>SUM(Clean_Data[[#This Row],[Units_Sold]]*Clean_Data[[#This Row],[Unit_Price]])</f>
        <v>125000</v>
      </c>
      <c r="M26">
        <f>Clean_Data[[#This Row],[Units_Sold]]*Clean_Data[[#This Row],[Cost_Price]]</f>
        <v>81160</v>
      </c>
      <c r="N26">
        <f>Clean_Data[[#This Row],[Total_Sales]]-Clean_Data[[#This Row],[Total_Cost]]</f>
        <v>43840</v>
      </c>
      <c r="O26" s="2">
        <f>Clean_Data[[#This Row],[Profit]]/Clean_Data[[#This Row],[Total_Sales]]</f>
        <v>0.35071999999999998</v>
      </c>
      <c r="P26" t="str">
        <f>_xlfn.XLOOKUP(Clean_Data[[#This Row],[Product_Code]],Product_Catalog!A:A,Product_Catalog!C:C)</f>
        <v>Accessories</v>
      </c>
      <c r="Q26">
        <f>IF(Clean_Data[[#This Row],[Order_Date]]="","",YEAR(Clean_Data[[#This Row],[Order_Date]]))</f>
        <v>2025</v>
      </c>
      <c r="R26" t="str">
        <f>TEXT(Clean_Data[[#This Row],[Order_Date]],"mmm")</f>
        <v>Mar</v>
      </c>
      <c r="S26" t="str">
        <f>TEXT(Clean_Data[[#This Row],[Order_Date]],"mmm-yy")</f>
        <v>Mar-25</v>
      </c>
      <c r="V26"/>
    </row>
    <row r="27" spans="1:22" x14ac:dyDescent="0.25">
      <c r="A27" t="s">
        <v>75</v>
      </c>
      <c r="B27" s="1">
        <v>46008</v>
      </c>
      <c r="C27" t="s">
        <v>31</v>
      </c>
      <c r="D27" t="s">
        <v>13</v>
      </c>
      <c r="E27" t="s">
        <v>20</v>
      </c>
      <c r="F27" t="s">
        <v>21</v>
      </c>
      <c r="G27">
        <v>18</v>
      </c>
      <c r="H27">
        <v>8500</v>
      </c>
      <c r="I27">
        <v>5244</v>
      </c>
      <c r="J27" t="s">
        <v>29</v>
      </c>
      <c r="K27" t="s">
        <v>23</v>
      </c>
      <c r="L27">
        <f>SUM(Clean_Data[[#This Row],[Units_Sold]]*Clean_Data[[#This Row],[Unit_Price]])</f>
        <v>153000</v>
      </c>
      <c r="M27">
        <f>Clean_Data[[#This Row],[Units_Sold]]*Clean_Data[[#This Row],[Cost_Price]]</f>
        <v>94392</v>
      </c>
      <c r="N27">
        <f>Clean_Data[[#This Row],[Total_Sales]]-Clean_Data[[#This Row],[Total_Cost]]</f>
        <v>58608</v>
      </c>
      <c r="O27" s="2">
        <f>Clean_Data[[#This Row],[Profit]]/Clean_Data[[#This Row],[Total_Sales]]</f>
        <v>0.38305882352941178</v>
      </c>
      <c r="P27" t="str">
        <f>_xlfn.XLOOKUP(Clean_Data[[#This Row],[Product_Code]],Product_Catalog!A:A,Product_Catalog!C:C)</f>
        <v>Accessories</v>
      </c>
      <c r="Q27">
        <f>IF(Clean_Data[[#This Row],[Order_Date]]="","",YEAR(Clean_Data[[#This Row],[Order_Date]]))</f>
        <v>2025</v>
      </c>
      <c r="R27" t="str">
        <f>TEXT(Clean_Data[[#This Row],[Order_Date]],"mmm")</f>
        <v>Dec</v>
      </c>
      <c r="S27" t="str">
        <f>TEXT(Clean_Data[[#This Row],[Order_Date]],"mmm-yy")</f>
        <v>Dec-25</v>
      </c>
      <c r="V27"/>
    </row>
    <row r="28" spans="1:22" x14ac:dyDescent="0.25">
      <c r="A28" t="s">
        <v>76</v>
      </c>
      <c r="B28" s="1">
        <v>46252</v>
      </c>
      <c r="C28" t="s">
        <v>31</v>
      </c>
      <c r="D28" t="s">
        <v>26</v>
      </c>
      <c r="E28" t="s">
        <v>66</v>
      </c>
      <c r="F28" t="s">
        <v>67</v>
      </c>
      <c r="G28">
        <v>13</v>
      </c>
      <c r="H28">
        <v>2500</v>
      </c>
      <c r="I28">
        <v>1661</v>
      </c>
      <c r="J28" t="s">
        <v>16</v>
      </c>
      <c r="K28" t="s">
        <v>23</v>
      </c>
      <c r="L28">
        <f>SUM(Clean_Data[[#This Row],[Units_Sold]]*Clean_Data[[#This Row],[Unit_Price]])</f>
        <v>32500</v>
      </c>
      <c r="M28">
        <f>Clean_Data[[#This Row],[Units_Sold]]*Clean_Data[[#This Row],[Cost_Price]]</f>
        <v>21593</v>
      </c>
      <c r="N28">
        <f>Clean_Data[[#This Row],[Total_Sales]]-Clean_Data[[#This Row],[Total_Cost]]</f>
        <v>10907</v>
      </c>
      <c r="O28" s="2">
        <f>Clean_Data[[#This Row],[Profit]]/Clean_Data[[#This Row],[Total_Sales]]</f>
        <v>0.33560000000000001</v>
      </c>
      <c r="P28" t="str">
        <f>_xlfn.XLOOKUP(Clean_Data[[#This Row],[Product_Code]],Product_Catalog!A:A,Product_Catalog!C:C)</f>
        <v>Electronics</v>
      </c>
      <c r="Q28">
        <f>IF(Clean_Data[[#This Row],[Order_Date]]="","",YEAR(Clean_Data[[#This Row],[Order_Date]]))</f>
        <v>2026</v>
      </c>
      <c r="R28" t="str">
        <f>TEXT(Clean_Data[[#This Row],[Order_Date]],"mmm")</f>
        <v>Aug</v>
      </c>
      <c r="S28" t="str">
        <f>TEXT(Clean_Data[[#This Row],[Order_Date]],"mmm-yy")</f>
        <v>Aug-26</v>
      </c>
      <c r="V28"/>
    </row>
    <row r="29" spans="1:22" x14ac:dyDescent="0.25">
      <c r="A29" t="s">
        <v>77</v>
      </c>
      <c r="B29" s="1">
        <v>45717</v>
      </c>
      <c r="C29" t="s">
        <v>73</v>
      </c>
      <c r="D29" t="s">
        <v>13</v>
      </c>
      <c r="E29" t="s">
        <v>20</v>
      </c>
      <c r="F29" t="s">
        <v>21</v>
      </c>
      <c r="G29">
        <v>15</v>
      </c>
      <c r="H29">
        <v>8500</v>
      </c>
      <c r="I29">
        <v>5490</v>
      </c>
      <c r="J29" t="s">
        <v>29</v>
      </c>
      <c r="K29" t="s">
        <v>46</v>
      </c>
      <c r="L29">
        <f>SUM(Clean_Data[[#This Row],[Units_Sold]]*Clean_Data[[#This Row],[Unit_Price]])</f>
        <v>127500</v>
      </c>
      <c r="M29">
        <f>Clean_Data[[#This Row],[Units_Sold]]*Clean_Data[[#This Row],[Cost_Price]]</f>
        <v>82350</v>
      </c>
      <c r="N29">
        <f>Clean_Data[[#This Row],[Total_Sales]]-Clean_Data[[#This Row],[Total_Cost]]</f>
        <v>45150</v>
      </c>
      <c r="O29" s="2">
        <f>Clean_Data[[#This Row],[Profit]]/Clean_Data[[#This Row],[Total_Sales]]</f>
        <v>0.35411764705882354</v>
      </c>
      <c r="P29" t="str">
        <f>_xlfn.XLOOKUP(Clean_Data[[#This Row],[Product_Code]],Product_Catalog!A:A,Product_Catalog!C:C)</f>
        <v>Accessories</v>
      </c>
      <c r="Q29">
        <f>IF(Clean_Data[[#This Row],[Order_Date]]="","",YEAR(Clean_Data[[#This Row],[Order_Date]]))</f>
        <v>2025</v>
      </c>
      <c r="R29" t="str">
        <f>TEXT(Clean_Data[[#This Row],[Order_Date]],"mmm")</f>
        <v>Mar</v>
      </c>
      <c r="S29" t="str">
        <f>TEXT(Clean_Data[[#This Row],[Order_Date]],"mmm-yy")</f>
        <v>Mar-25</v>
      </c>
      <c r="V29"/>
    </row>
    <row r="30" spans="1:22" x14ac:dyDescent="0.25">
      <c r="A30" t="s">
        <v>78</v>
      </c>
      <c r="B30" s="1">
        <v>45678</v>
      </c>
      <c r="C30" t="s">
        <v>73</v>
      </c>
      <c r="D30" t="s">
        <v>13</v>
      </c>
      <c r="E30" t="s">
        <v>27</v>
      </c>
      <c r="F30" t="s">
        <v>28</v>
      </c>
      <c r="G30">
        <v>16</v>
      </c>
      <c r="H30">
        <v>14000</v>
      </c>
      <c r="I30">
        <v>11055</v>
      </c>
      <c r="J30" t="s">
        <v>22</v>
      </c>
      <c r="K30" t="s">
        <v>17</v>
      </c>
      <c r="L30">
        <f>SUM(Clean_Data[[#This Row],[Units_Sold]]*Clean_Data[[#This Row],[Unit_Price]])</f>
        <v>224000</v>
      </c>
      <c r="M30">
        <f>Clean_Data[[#This Row],[Units_Sold]]*Clean_Data[[#This Row],[Cost_Price]]</f>
        <v>176880</v>
      </c>
      <c r="N30">
        <f>Clean_Data[[#This Row],[Total_Sales]]-Clean_Data[[#This Row],[Total_Cost]]</f>
        <v>47120</v>
      </c>
      <c r="O30" s="2">
        <f>Clean_Data[[#This Row],[Profit]]/Clean_Data[[#This Row],[Total_Sales]]</f>
        <v>0.21035714285714285</v>
      </c>
      <c r="P30" t="str">
        <f>_xlfn.XLOOKUP(Clean_Data[[#This Row],[Product_Code]],Product_Catalog!A:A,Product_Catalog!C:C)</f>
        <v>Furniture</v>
      </c>
      <c r="Q30">
        <f>IF(Clean_Data[[#This Row],[Order_Date]]="","",YEAR(Clean_Data[[#This Row],[Order_Date]]))</f>
        <v>2025</v>
      </c>
      <c r="R30" t="str">
        <f>TEXT(Clean_Data[[#This Row],[Order_Date]],"mmm")</f>
        <v>Jan</v>
      </c>
      <c r="S30" t="str">
        <f>TEXT(Clean_Data[[#This Row],[Order_Date]],"mmm-yy")</f>
        <v>Jan-25</v>
      </c>
      <c r="V30"/>
    </row>
    <row r="31" spans="1:22" x14ac:dyDescent="0.25">
      <c r="A31" t="s">
        <v>79</v>
      </c>
      <c r="B31" s="1">
        <v>45683</v>
      </c>
      <c r="C31" t="s">
        <v>48</v>
      </c>
      <c r="D31" t="s">
        <v>40</v>
      </c>
      <c r="E31" t="s">
        <v>20</v>
      </c>
      <c r="F31" t="s">
        <v>21</v>
      </c>
      <c r="G31">
        <v>7</v>
      </c>
      <c r="H31">
        <v>8500</v>
      </c>
      <c r="I31">
        <v>5597</v>
      </c>
      <c r="J31" t="s">
        <v>29</v>
      </c>
      <c r="K31" t="s">
        <v>17</v>
      </c>
      <c r="L31">
        <f>SUM(Clean_Data[[#This Row],[Units_Sold]]*Clean_Data[[#This Row],[Unit_Price]])</f>
        <v>59500</v>
      </c>
      <c r="M31">
        <f>Clean_Data[[#This Row],[Units_Sold]]*Clean_Data[[#This Row],[Cost_Price]]</f>
        <v>39179</v>
      </c>
      <c r="N31">
        <f>Clean_Data[[#This Row],[Total_Sales]]-Clean_Data[[#This Row],[Total_Cost]]</f>
        <v>20321</v>
      </c>
      <c r="O31" s="2">
        <f>Clean_Data[[#This Row],[Profit]]/Clean_Data[[#This Row],[Total_Sales]]</f>
        <v>0.34152941176470586</v>
      </c>
      <c r="P31" t="str">
        <f>_xlfn.XLOOKUP(Clean_Data[[#This Row],[Product_Code]],Product_Catalog!A:A,Product_Catalog!C:C)</f>
        <v>Accessories</v>
      </c>
      <c r="Q31">
        <f>IF(Clean_Data[[#This Row],[Order_Date]]="","",YEAR(Clean_Data[[#This Row],[Order_Date]]))</f>
        <v>2025</v>
      </c>
      <c r="R31" t="str">
        <f>TEXT(Clean_Data[[#This Row],[Order_Date]],"mmm")</f>
        <v>Jan</v>
      </c>
      <c r="S31" t="str">
        <f>TEXT(Clean_Data[[#This Row],[Order_Date]],"mmm-yy")</f>
        <v>Jan-25</v>
      </c>
      <c r="V31"/>
    </row>
    <row r="32" spans="1:22" x14ac:dyDescent="0.25">
      <c r="A32" t="s">
        <v>80</v>
      </c>
      <c r="B32" s="1">
        <v>46038</v>
      </c>
      <c r="C32" t="s">
        <v>19</v>
      </c>
      <c r="D32" t="s">
        <v>13</v>
      </c>
      <c r="E32" t="s">
        <v>37</v>
      </c>
      <c r="F32" t="s">
        <v>38</v>
      </c>
      <c r="G32">
        <v>15</v>
      </c>
      <c r="H32">
        <v>55000</v>
      </c>
      <c r="I32">
        <v>40999</v>
      </c>
      <c r="J32" t="s">
        <v>22</v>
      </c>
      <c r="K32" t="s">
        <v>23</v>
      </c>
      <c r="L32">
        <f>SUM(Clean_Data[[#This Row],[Units_Sold]]*Clean_Data[[#This Row],[Unit_Price]])</f>
        <v>825000</v>
      </c>
      <c r="M32">
        <f>Clean_Data[[#This Row],[Units_Sold]]*Clean_Data[[#This Row],[Cost_Price]]</f>
        <v>614985</v>
      </c>
      <c r="N32">
        <f>Clean_Data[[#This Row],[Total_Sales]]-Clean_Data[[#This Row],[Total_Cost]]</f>
        <v>210015</v>
      </c>
      <c r="O32" s="2">
        <f>Clean_Data[[#This Row],[Profit]]/Clean_Data[[#This Row],[Total_Sales]]</f>
        <v>0.25456363636363638</v>
      </c>
      <c r="P32" t="str">
        <f>_xlfn.XLOOKUP(Clean_Data[[#This Row],[Product_Code]],Product_Catalog!A:A,Product_Catalog!C:C)</f>
        <v>Electronics</v>
      </c>
      <c r="Q32">
        <f>IF(Clean_Data[[#This Row],[Order_Date]]="","",YEAR(Clean_Data[[#This Row],[Order_Date]]))</f>
        <v>2026</v>
      </c>
      <c r="R32" t="str">
        <f>TEXT(Clean_Data[[#This Row],[Order_Date]],"mmm")</f>
        <v>Jan</v>
      </c>
      <c r="S32" t="str">
        <f>TEXT(Clean_Data[[#This Row],[Order_Date]],"mmm-yy")</f>
        <v>Jan-26</v>
      </c>
      <c r="V32"/>
    </row>
    <row r="33" spans="1:22" x14ac:dyDescent="0.25">
      <c r="A33" t="s">
        <v>81</v>
      </c>
      <c r="B33" s="1">
        <v>46067</v>
      </c>
      <c r="C33" t="s">
        <v>19</v>
      </c>
      <c r="D33" t="s">
        <v>13</v>
      </c>
      <c r="E33" t="s">
        <v>14</v>
      </c>
      <c r="F33" t="s">
        <v>15</v>
      </c>
      <c r="G33">
        <v>15</v>
      </c>
      <c r="H33">
        <v>12500</v>
      </c>
      <c r="I33">
        <v>9244</v>
      </c>
      <c r="J33" t="s">
        <v>22</v>
      </c>
      <c r="K33" t="s">
        <v>23</v>
      </c>
      <c r="L33">
        <f>SUM(Clean_Data[[#This Row],[Units_Sold]]*Clean_Data[[#This Row],[Unit_Price]])</f>
        <v>187500</v>
      </c>
      <c r="M33">
        <f>Clean_Data[[#This Row],[Units_Sold]]*Clean_Data[[#This Row],[Cost_Price]]</f>
        <v>138660</v>
      </c>
      <c r="N33">
        <f>Clean_Data[[#This Row],[Total_Sales]]-Clean_Data[[#This Row],[Total_Cost]]</f>
        <v>48840</v>
      </c>
      <c r="O33" s="2">
        <f>Clean_Data[[#This Row],[Profit]]/Clean_Data[[#This Row],[Total_Sales]]</f>
        <v>0.26047999999999999</v>
      </c>
      <c r="P33" t="str">
        <f>_xlfn.XLOOKUP(Clean_Data[[#This Row],[Product_Code]],Product_Catalog!A:A,Product_Catalog!C:C)</f>
        <v>Accessories</v>
      </c>
      <c r="Q33">
        <f>IF(Clean_Data[[#This Row],[Order_Date]]="","",YEAR(Clean_Data[[#This Row],[Order_Date]]))</f>
        <v>2026</v>
      </c>
      <c r="R33" t="str">
        <f>TEXT(Clean_Data[[#This Row],[Order_Date]],"mmm")</f>
        <v>Feb</v>
      </c>
      <c r="S33" t="str">
        <f>TEXT(Clean_Data[[#This Row],[Order_Date]],"mmm-yy")</f>
        <v>Feb-26</v>
      </c>
      <c r="V33"/>
    </row>
    <row r="34" spans="1:22" x14ac:dyDescent="0.25">
      <c r="A34" t="s">
        <v>82</v>
      </c>
      <c r="B34" s="1">
        <v>46169</v>
      </c>
      <c r="C34" t="s">
        <v>31</v>
      </c>
      <c r="D34" t="s">
        <v>13</v>
      </c>
      <c r="E34" t="s">
        <v>37</v>
      </c>
      <c r="F34" t="s">
        <v>38</v>
      </c>
      <c r="G34">
        <v>4</v>
      </c>
      <c r="H34">
        <v>55000</v>
      </c>
      <c r="I34">
        <v>34871</v>
      </c>
      <c r="J34" t="s">
        <v>29</v>
      </c>
      <c r="K34" t="s">
        <v>23</v>
      </c>
      <c r="L34">
        <f>SUM(Clean_Data[[#This Row],[Units_Sold]]*Clean_Data[[#This Row],[Unit_Price]])</f>
        <v>220000</v>
      </c>
      <c r="M34">
        <f>Clean_Data[[#This Row],[Units_Sold]]*Clean_Data[[#This Row],[Cost_Price]]</f>
        <v>139484</v>
      </c>
      <c r="N34">
        <f>Clean_Data[[#This Row],[Total_Sales]]-Clean_Data[[#This Row],[Total_Cost]]</f>
        <v>80516</v>
      </c>
      <c r="O34" s="2">
        <f>Clean_Data[[#This Row],[Profit]]/Clean_Data[[#This Row],[Total_Sales]]</f>
        <v>0.36598181818181819</v>
      </c>
      <c r="P34" t="str">
        <f>_xlfn.XLOOKUP(Clean_Data[[#This Row],[Product_Code]],Product_Catalog!A:A,Product_Catalog!C:C)</f>
        <v>Electronics</v>
      </c>
      <c r="Q34">
        <f>IF(Clean_Data[[#This Row],[Order_Date]]="","",YEAR(Clean_Data[[#This Row],[Order_Date]]))</f>
        <v>2026</v>
      </c>
      <c r="R34" t="str">
        <f>TEXT(Clean_Data[[#This Row],[Order_Date]],"mmm")</f>
        <v>May</v>
      </c>
      <c r="S34" t="str">
        <f>TEXT(Clean_Data[[#This Row],[Order_Date]],"mmm-yy")</f>
        <v>May-26</v>
      </c>
      <c r="V34"/>
    </row>
    <row r="35" spans="1:22" x14ac:dyDescent="0.25">
      <c r="A35" t="s">
        <v>85</v>
      </c>
      <c r="B35" s="1">
        <v>46101</v>
      </c>
      <c r="C35" t="s">
        <v>62</v>
      </c>
      <c r="D35" t="s">
        <v>13</v>
      </c>
      <c r="E35" t="s">
        <v>63</v>
      </c>
      <c r="F35" t="s">
        <v>59</v>
      </c>
      <c r="G35">
        <v>10</v>
      </c>
      <c r="H35">
        <v>4500</v>
      </c>
      <c r="I35">
        <v>3413</v>
      </c>
      <c r="J35" t="s">
        <v>16</v>
      </c>
      <c r="K35" t="s">
        <v>23</v>
      </c>
      <c r="L35">
        <f>SUM(Clean_Data[[#This Row],[Units_Sold]]*Clean_Data[[#This Row],[Unit_Price]])</f>
        <v>45000</v>
      </c>
      <c r="M35">
        <f>Clean_Data[[#This Row],[Units_Sold]]*Clean_Data[[#This Row],[Cost_Price]]</f>
        <v>34130</v>
      </c>
      <c r="N35">
        <f>Clean_Data[[#This Row],[Total_Sales]]-Clean_Data[[#This Row],[Total_Cost]]</f>
        <v>10870</v>
      </c>
      <c r="O35" s="2">
        <f>Clean_Data[[#This Row],[Profit]]/Clean_Data[[#This Row],[Total_Sales]]</f>
        <v>0.24155555555555555</v>
      </c>
      <c r="P35" t="str">
        <f>_xlfn.XLOOKUP(Clean_Data[[#This Row],[Product_Code]],Product_Catalog!A:A,Product_Catalog!C:C)</f>
        <v>Electronics</v>
      </c>
      <c r="Q35">
        <f>IF(Clean_Data[[#This Row],[Order_Date]]="","",YEAR(Clean_Data[[#This Row],[Order_Date]]))</f>
        <v>2026</v>
      </c>
      <c r="R35" t="str">
        <f>TEXT(Clean_Data[[#This Row],[Order_Date]],"mmm")</f>
        <v>Mar</v>
      </c>
      <c r="S35" t="str">
        <f>TEXT(Clean_Data[[#This Row],[Order_Date]],"mmm-yy")</f>
        <v>Mar-26</v>
      </c>
      <c r="V35"/>
    </row>
    <row r="36" spans="1:22" x14ac:dyDescent="0.25">
      <c r="A36" t="s">
        <v>86</v>
      </c>
      <c r="B36" s="1">
        <v>45675</v>
      </c>
      <c r="C36" t="s">
        <v>19</v>
      </c>
      <c r="D36" t="s">
        <v>26</v>
      </c>
      <c r="E36" t="s">
        <v>63</v>
      </c>
      <c r="F36" t="s">
        <v>59</v>
      </c>
      <c r="G36">
        <v>8</v>
      </c>
      <c r="H36">
        <v>4500</v>
      </c>
      <c r="I36">
        <v>2705</v>
      </c>
      <c r="J36" t="s">
        <v>45</v>
      </c>
      <c r="K36" t="s">
        <v>17</v>
      </c>
      <c r="L36">
        <f>SUM(Clean_Data[[#This Row],[Units_Sold]]*Clean_Data[[#This Row],[Unit_Price]])</f>
        <v>36000</v>
      </c>
      <c r="M36">
        <f>Clean_Data[[#This Row],[Units_Sold]]*Clean_Data[[#This Row],[Cost_Price]]</f>
        <v>21640</v>
      </c>
      <c r="N36">
        <f>Clean_Data[[#This Row],[Total_Sales]]-Clean_Data[[#This Row],[Total_Cost]]</f>
        <v>14360</v>
      </c>
      <c r="O36" s="2">
        <f>Clean_Data[[#This Row],[Profit]]/Clean_Data[[#This Row],[Total_Sales]]</f>
        <v>0.3988888888888889</v>
      </c>
      <c r="P36" t="str">
        <f>_xlfn.XLOOKUP(Clean_Data[[#This Row],[Product_Code]],Product_Catalog!A:A,Product_Catalog!C:C)</f>
        <v>Electronics</v>
      </c>
      <c r="Q36">
        <f>IF(Clean_Data[[#This Row],[Order_Date]]="","",YEAR(Clean_Data[[#This Row],[Order_Date]]))</f>
        <v>2025</v>
      </c>
      <c r="R36" t="str">
        <f>TEXT(Clean_Data[[#This Row],[Order_Date]],"mmm")</f>
        <v>Jan</v>
      </c>
      <c r="S36" t="str">
        <f>TEXT(Clean_Data[[#This Row],[Order_Date]],"mmm-yy")</f>
        <v>Jan-25</v>
      </c>
      <c r="V36"/>
    </row>
    <row r="37" spans="1:22" x14ac:dyDescent="0.25">
      <c r="A37" t="s">
        <v>87</v>
      </c>
      <c r="B37" s="1">
        <v>45671</v>
      </c>
      <c r="C37" t="s">
        <v>48</v>
      </c>
      <c r="D37" t="s">
        <v>36</v>
      </c>
      <c r="E37" t="s">
        <v>66</v>
      </c>
      <c r="F37" t="s">
        <v>67</v>
      </c>
      <c r="G37">
        <v>17</v>
      </c>
      <c r="H37">
        <v>2500</v>
      </c>
      <c r="I37">
        <v>1511</v>
      </c>
      <c r="J37" t="s">
        <v>16</v>
      </c>
      <c r="K37" t="s">
        <v>17</v>
      </c>
      <c r="L37">
        <f>SUM(Clean_Data[[#This Row],[Units_Sold]]*Clean_Data[[#This Row],[Unit_Price]])</f>
        <v>42500</v>
      </c>
      <c r="M37">
        <f>Clean_Data[[#This Row],[Units_Sold]]*Clean_Data[[#This Row],[Cost_Price]]</f>
        <v>25687</v>
      </c>
      <c r="N37">
        <f>Clean_Data[[#This Row],[Total_Sales]]-Clean_Data[[#This Row],[Total_Cost]]</f>
        <v>16813</v>
      </c>
      <c r="O37" s="2">
        <f>Clean_Data[[#This Row],[Profit]]/Clean_Data[[#This Row],[Total_Sales]]</f>
        <v>0.39560000000000001</v>
      </c>
      <c r="P37" t="str">
        <f>_xlfn.XLOOKUP(Clean_Data[[#This Row],[Product_Code]],Product_Catalog!A:A,Product_Catalog!C:C)</f>
        <v>Electronics</v>
      </c>
      <c r="Q37">
        <f>IF(Clean_Data[[#This Row],[Order_Date]]="","",YEAR(Clean_Data[[#This Row],[Order_Date]]))</f>
        <v>2025</v>
      </c>
      <c r="R37" t="str">
        <f>TEXT(Clean_Data[[#This Row],[Order_Date]],"mmm")</f>
        <v>Jan</v>
      </c>
      <c r="S37" t="str">
        <f>TEXT(Clean_Data[[#This Row],[Order_Date]],"mmm-yy")</f>
        <v>Jan-25</v>
      </c>
      <c r="V37"/>
    </row>
    <row r="38" spans="1:22" x14ac:dyDescent="0.25">
      <c r="A38" t="s">
        <v>88</v>
      </c>
      <c r="B38" s="1">
        <v>46162</v>
      </c>
      <c r="C38" t="s">
        <v>53</v>
      </c>
      <c r="D38" t="s">
        <v>13</v>
      </c>
      <c r="E38" t="s">
        <v>27</v>
      </c>
      <c r="F38" t="s">
        <v>28</v>
      </c>
      <c r="G38">
        <v>18</v>
      </c>
      <c r="H38">
        <v>14000</v>
      </c>
      <c r="I38">
        <v>9343</v>
      </c>
      <c r="J38" t="s">
        <v>29</v>
      </c>
      <c r="K38" t="s">
        <v>17</v>
      </c>
      <c r="L38">
        <f>SUM(Clean_Data[[#This Row],[Units_Sold]]*Clean_Data[[#This Row],[Unit_Price]])</f>
        <v>252000</v>
      </c>
      <c r="M38">
        <f>Clean_Data[[#This Row],[Units_Sold]]*Clean_Data[[#This Row],[Cost_Price]]</f>
        <v>168174</v>
      </c>
      <c r="N38">
        <f>Clean_Data[[#This Row],[Total_Sales]]-Clean_Data[[#This Row],[Total_Cost]]</f>
        <v>83826</v>
      </c>
      <c r="O38" s="2">
        <f>Clean_Data[[#This Row],[Profit]]/Clean_Data[[#This Row],[Total_Sales]]</f>
        <v>0.33264285714285713</v>
      </c>
      <c r="P38" t="str">
        <f>_xlfn.XLOOKUP(Clean_Data[[#This Row],[Product_Code]],Product_Catalog!A:A,Product_Catalog!C:C)</f>
        <v>Furniture</v>
      </c>
      <c r="Q38">
        <f>IF(Clean_Data[[#This Row],[Order_Date]]="","",YEAR(Clean_Data[[#This Row],[Order_Date]]))</f>
        <v>2026</v>
      </c>
      <c r="R38" t="str">
        <f>TEXT(Clean_Data[[#This Row],[Order_Date]],"mmm")</f>
        <v>May</v>
      </c>
      <c r="S38" t="str">
        <f>TEXT(Clean_Data[[#This Row],[Order_Date]],"mmm-yy")</f>
        <v>May-26</v>
      </c>
      <c r="V38"/>
    </row>
    <row r="39" spans="1:22" x14ac:dyDescent="0.25">
      <c r="A39" t="s">
        <v>89</v>
      </c>
      <c r="B39" s="1">
        <v>45702</v>
      </c>
      <c r="C39" t="s">
        <v>62</v>
      </c>
      <c r="D39" t="s">
        <v>26</v>
      </c>
      <c r="E39" t="s">
        <v>63</v>
      </c>
      <c r="F39" t="s">
        <v>59</v>
      </c>
      <c r="G39">
        <v>19</v>
      </c>
      <c r="H39">
        <v>4500</v>
      </c>
      <c r="I39">
        <v>2999</v>
      </c>
      <c r="J39" t="s">
        <v>22</v>
      </c>
      <c r="K39" t="s">
        <v>23</v>
      </c>
      <c r="L39">
        <f>SUM(Clean_Data[[#This Row],[Units_Sold]]*Clean_Data[[#This Row],[Unit_Price]])</f>
        <v>85500</v>
      </c>
      <c r="M39">
        <f>Clean_Data[[#This Row],[Units_Sold]]*Clean_Data[[#This Row],[Cost_Price]]</f>
        <v>56981</v>
      </c>
      <c r="N39">
        <f>Clean_Data[[#This Row],[Total_Sales]]-Clean_Data[[#This Row],[Total_Cost]]</f>
        <v>28519</v>
      </c>
      <c r="O39" s="2">
        <f>Clean_Data[[#This Row],[Profit]]/Clean_Data[[#This Row],[Total_Sales]]</f>
        <v>0.33355555555555555</v>
      </c>
      <c r="P39" t="str">
        <f>_xlfn.XLOOKUP(Clean_Data[[#This Row],[Product_Code]],Product_Catalog!A:A,Product_Catalog!C:C)</f>
        <v>Electronics</v>
      </c>
      <c r="Q39">
        <f>IF(Clean_Data[[#This Row],[Order_Date]]="","",YEAR(Clean_Data[[#This Row],[Order_Date]]))</f>
        <v>2025</v>
      </c>
      <c r="R39" t="str">
        <f>TEXT(Clean_Data[[#This Row],[Order_Date]],"mmm")</f>
        <v>Feb</v>
      </c>
      <c r="S39" t="str">
        <f>TEXT(Clean_Data[[#This Row],[Order_Date]],"mmm-yy")</f>
        <v>Feb-25</v>
      </c>
      <c r="V39"/>
    </row>
    <row r="40" spans="1:22" x14ac:dyDescent="0.25">
      <c r="A40" t="s">
        <v>90</v>
      </c>
      <c r="B40" s="1">
        <v>46098</v>
      </c>
      <c r="C40" t="s">
        <v>44</v>
      </c>
      <c r="D40" t="s">
        <v>13</v>
      </c>
      <c r="E40" t="s">
        <v>14</v>
      </c>
      <c r="F40" t="s">
        <v>15</v>
      </c>
      <c r="G40">
        <v>6</v>
      </c>
      <c r="H40">
        <v>12500</v>
      </c>
      <c r="I40">
        <v>7656</v>
      </c>
      <c r="J40" t="s">
        <v>29</v>
      </c>
      <c r="K40" t="s">
        <v>23</v>
      </c>
      <c r="L40">
        <f>SUM(Clean_Data[[#This Row],[Units_Sold]]*Clean_Data[[#This Row],[Unit_Price]])</f>
        <v>75000</v>
      </c>
      <c r="M40">
        <f>Clean_Data[[#This Row],[Units_Sold]]*Clean_Data[[#This Row],[Cost_Price]]</f>
        <v>45936</v>
      </c>
      <c r="N40">
        <f>Clean_Data[[#This Row],[Total_Sales]]-Clean_Data[[#This Row],[Total_Cost]]</f>
        <v>29064</v>
      </c>
      <c r="O40" s="2">
        <f>Clean_Data[[#This Row],[Profit]]/Clean_Data[[#This Row],[Total_Sales]]</f>
        <v>0.38751999999999998</v>
      </c>
      <c r="P40" t="str">
        <f>_xlfn.XLOOKUP(Clean_Data[[#This Row],[Product_Code]],Product_Catalog!A:A,Product_Catalog!C:C)</f>
        <v>Accessories</v>
      </c>
      <c r="Q40">
        <f>IF(Clean_Data[[#This Row],[Order_Date]]="","",YEAR(Clean_Data[[#This Row],[Order_Date]]))</f>
        <v>2026</v>
      </c>
      <c r="R40" t="str">
        <f>TEXT(Clean_Data[[#This Row],[Order_Date]],"mmm")</f>
        <v>Mar</v>
      </c>
      <c r="S40" t="str">
        <f>TEXT(Clean_Data[[#This Row],[Order_Date]],"mmm-yy")</f>
        <v>Mar-26</v>
      </c>
      <c r="V40"/>
    </row>
    <row r="41" spans="1:22" x14ac:dyDescent="0.25">
      <c r="A41" t="s">
        <v>91</v>
      </c>
      <c r="B41" s="1">
        <v>45701</v>
      </c>
      <c r="C41" t="s">
        <v>73</v>
      </c>
      <c r="D41" t="s">
        <v>40</v>
      </c>
      <c r="E41" t="s">
        <v>27</v>
      </c>
      <c r="F41" t="s">
        <v>28</v>
      </c>
      <c r="G41">
        <v>7</v>
      </c>
      <c r="H41">
        <v>14000</v>
      </c>
      <c r="I41">
        <v>9033</v>
      </c>
      <c r="J41" t="s">
        <v>16</v>
      </c>
      <c r="K41" t="s">
        <v>17</v>
      </c>
      <c r="L41">
        <f>SUM(Clean_Data[[#This Row],[Units_Sold]]*Clean_Data[[#This Row],[Unit_Price]])</f>
        <v>98000</v>
      </c>
      <c r="M41">
        <f>Clean_Data[[#This Row],[Units_Sold]]*Clean_Data[[#This Row],[Cost_Price]]</f>
        <v>63231</v>
      </c>
      <c r="N41">
        <f>Clean_Data[[#This Row],[Total_Sales]]-Clean_Data[[#This Row],[Total_Cost]]</f>
        <v>34769</v>
      </c>
      <c r="O41" s="2">
        <f>Clean_Data[[#This Row],[Profit]]/Clean_Data[[#This Row],[Total_Sales]]</f>
        <v>0.35478571428571426</v>
      </c>
      <c r="P41" t="str">
        <f>_xlfn.XLOOKUP(Clean_Data[[#This Row],[Product_Code]],Product_Catalog!A:A,Product_Catalog!C:C)</f>
        <v>Furniture</v>
      </c>
      <c r="Q41">
        <f>IF(Clean_Data[[#This Row],[Order_Date]]="","",YEAR(Clean_Data[[#This Row],[Order_Date]]))</f>
        <v>2025</v>
      </c>
      <c r="R41" t="str">
        <f>TEXT(Clean_Data[[#This Row],[Order_Date]],"mmm")</f>
        <v>Feb</v>
      </c>
      <c r="S41" t="str">
        <f>TEXT(Clean_Data[[#This Row],[Order_Date]],"mmm-yy")</f>
        <v>Feb-25</v>
      </c>
      <c r="V41"/>
    </row>
    <row r="42" spans="1:22" x14ac:dyDescent="0.25">
      <c r="A42" t="s">
        <v>92</v>
      </c>
      <c r="B42" s="1">
        <v>45733</v>
      </c>
      <c r="C42" t="s">
        <v>53</v>
      </c>
      <c r="D42" t="s">
        <v>36</v>
      </c>
      <c r="E42" t="s">
        <v>20</v>
      </c>
      <c r="F42" t="s">
        <v>21</v>
      </c>
      <c r="G42">
        <v>10</v>
      </c>
      <c r="H42">
        <v>8500</v>
      </c>
      <c r="I42">
        <v>5453</v>
      </c>
      <c r="J42" t="s">
        <v>16</v>
      </c>
      <c r="K42" t="s">
        <v>23</v>
      </c>
      <c r="L42">
        <f>SUM(Clean_Data[[#This Row],[Units_Sold]]*Clean_Data[[#This Row],[Unit_Price]])</f>
        <v>85000</v>
      </c>
      <c r="M42">
        <f>Clean_Data[[#This Row],[Units_Sold]]*Clean_Data[[#This Row],[Cost_Price]]</f>
        <v>54530</v>
      </c>
      <c r="N42">
        <f>Clean_Data[[#This Row],[Total_Sales]]-Clean_Data[[#This Row],[Total_Cost]]</f>
        <v>30470</v>
      </c>
      <c r="O42" s="2">
        <f>Clean_Data[[#This Row],[Profit]]/Clean_Data[[#This Row],[Total_Sales]]</f>
        <v>0.3584705882352941</v>
      </c>
      <c r="P42" t="str">
        <f>_xlfn.XLOOKUP(Clean_Data[[#This Row],[Product_Code]],Product_Catalog!A:A,Product_Catalog!C:C)</f>
        <v>Accessories</v>
      </c>
      <c r="Q42">
        <f>IF(Clean_Data[[#This Row],[Order_Date]]="","",YEAR(Clean_Data[[#This Row],[Order_Date]]))</f>
        <v>2025</v>
      </c>
      <c r="R42" t="str">
        <f>TEXT(Clean_Data[[#This Row],[Order_Date]],"mmm")</f>
        <v>Mar</v>
      </c>
      <c r="S42" t="str">
        <f>TEXT(Clean_Data[[#This Row],[Order_Date]],"mmm-yy")</f>
        <v>Mar-25</v>
      </c>
      <c r="V42"/>
    </row>
    <row r="43" spans="1:22" x14ac:dyDescent="0.25">
      <c r="A43" t="s">
        <v>93</v>
      </c>
      <c r="B43" s="1">
        <v>45749</v>
      </c>
      <c r="C43" t="s">
        <v>44</v>
      </c>
      <c r="D43" t="s">
        <v>13</v>
      </c>
      <c r="E43" t="s">
        <v>49</v>
      </c>
      <c r="F43" t="s">
        <v>50</v>
      </c>
      <c r="G43">
        <v>16</v>
      </c>
      <c r="H43">
        <v>75000</v>
      </c>
      <c r="I43">
        <v>56812</v>
      </c>
      <c r="J43" t="s">
        <v>45</v>
      </c>
      <c r="K43" t="s">
        <v>23</v>
      </c>
      <c r="L43">
        <f>SUM(Clean_Data[[#This Row],[Units_Sold]]*Clean_Data[[#This Row],[Unit_Price]])</f>
        <v>1200000</v>
      </c>
      <c r="M43">
        <f>Clean_Data[[#This Row],[Units_Sold]]*Clean_Data[[#This Row],[Cost_Price]]</f>
        <v>908992</v>
      </c>
      <c r="N43">
        <f>Clean_Data[[#This Row],[Total_Sales]]-Clean_Data[[#This Row],[Total_Cost]]</f>
        <v>291008</v>
      </c>
      <c r="O43" s="2">
        <f>Clean_Data[[#This Row],[Profit]]/Clean_Data[[#This Row],[Total_Sales]]</f>
        <v>0.24250666666666668</v>
      </c>
      <c r="P43" t="str">
        <f>_xlfn.XLOOKUP(Clean_Data[[#This Row],[Product_Code]],Product_Catalog!A:A,Product_Catalog!C:C)</f>
        <v>Electronics</v>
      </c>
      <c r="Q43">
        <f>IF(Clean_Data[[#This Row],[Order_Date]]="","",YEAR(Clean_Data[[#This Row],[Order_Date]]))</f>
        <v>2025</v>
      </c>
      <c r="R43" t="str">
        <f>TEXT(Clean_Data[[#This Row],[Order_Date]],"mmm")</f>
        <v>Apr</v>
      </c>
      <c r="S43" t="str">
        <f>TEXT(Clean_Data[[#This Row],[Order_Date]],"mmm-yy")</f>
        <v>Apr-25</v>
      </c>
      <c r="V43"/>
    </row>
    <row r="44" spans="1:22" x14ac:dyDescent="0.25">
      <c r="A44" t="s">
        <v>94</v>
      </c>
      <c r="B44" s="1">
        <v>46045</v>
      </c>
      <c r="C44" t="s">
        <v>25</v>
      </c>
      <c r="D44" t="s">
        <v>13</v>
      </c>
      <c r="E44" t="s">
        <v>41</v>
      </c>
      <c r="F44" t="s">
        <v>42</v>
      </c>
      <c r="G44">
        <v>12</v>
      </c>
      <c r="H44">
        <v>28000</v>
      </c>
      <c r="I44">
        <v>16935</v>
      </c>
      <c r="J44" t="s">
        <v>22</v>
      </c>
      <c r="K44" t="s">
        <v>84</v>
      </c>
      <c r="L44">
        <f>SUM(Clean_Data[[#This Row],[Units_Sold]]*Clean_Data[[#This Row],[Unit_Price]])</f>
        <v>336000</v>
      </c>
      <c r="M44">
        <f>Clean_Data[[#This Row],[Units_Sold]]*Clean_Data[[#This Row],[Cost_Price]]</f>
        <v>203220</v>
      </c>
      <c r="N44">
        <f>Clean_Data[[#This Row],[Total_Sales]]-Clean_Data[[#This Row],[Total_Cost]]</f>
        <v>132780</v>
      </c>
      <c r="O44" s="2">
        <f>Clean_Data[[#This Row],[Profit]]/Clean_Data[[#This Row],[Total_Sales]]</f>
        <v>0.39517857142857143</v>
      </c>
      <c r="P44" t="str">
        <f>_xlfn.XLOOKUP(Clean_Data[[#This Row],[Product_Code]],Product_Catalog!A:A,Product_Catalog!C:C)</f>
        <v>Electronics</v>
      </c>
      <c r="Q44">
        <f>IF(Clean_Data[[#This Row],[Order_Date]]="","",YEAR(Clean_Data[[#This Row],[Order_Date]]))</f>
        <v>2026</v>
      </c>
      <c r="R44" t="str">
        <f>TEXT(Clean_Data[[#This Row],[Order_Date]],"mmm")</f>
        <v>Jan</v>
      </c>
      <c r="S44" t="str">
        <f>TEXT(Clean_Data[[#This Row],[Order_Date]],"mmm-yy")</f>
        <v>Jan-26</v>
      </c>
      <c r="V44"/>
    </row>
    <row r="45" spans="1:22" x14ac:dyDescent="0.25">
      <c r="A45" t="s">
        <v>95</v>
      </c>
      <c r="B45" s="1">
        <v>45740</v>
      </c>
      <c r="C45" t="s">
        <v>73</v>
      </c>
      <c r="D45" t="s">
        <v>13</v>
      </c>
      <c r="E45" t="s">
        <v>20</v>
      </c>
      <c r="F45" t="s">
        <v>21</v>
      </c>
      <c r="G45">
        <v>15</v>
      </c>
      <c r="H45">
        <v>8500</v>
      </c>
      <c r="I45">
        <v>5585</v>
      </c>
      <c r="J45" t="s">
        <v>29</v>
      </c>
      <c r="K45" t="s">
        <v>23</v>
      </c>
      <c r="L45">
        <f>SUM(Clean_Data[[#This Row],[Units_Sold]]*Clean_Data[[#This Row],[Unit_Price]])</f>
        <v>127500</v>
      </c>
      <c r="M45">
        <f>Clean_Data[[#This Row],[Units_Sold]]*Clean_Data[[#This Row],[Cost_Price]]</f>
        <v>83775</v>
      </c>
      <c r="N45">
        <f>Clean_Data[[#This Row],[Total_Sales]]-Clean_Data[[#This Row],[Total_Cost]]</f>
        <v>43725</v>
      </c>
      <c r="O45" s="2">
        <f>Clean_Data[[#This Row],[Profit]]/Clean_Data[[#This Row],[Total_Sales]]</f>
        <v>0.34294117647058825</v>
      </c>
      <c r="P45" t="str">
        <f>_xlfn.XLOOKUP(Clean_Data[[#This Row],[Product_Code]],Product_Catalog!A:A,Product_Catalog!C:C)</f>
        <v>Accessories</v>
      </c>
      <c r="Q45">
        <f>IF(Clean_Data[[#This Row],[Order_Date]]="","",YEAR(Clean_Data[[#This Row],[Order_Date]]))</f>
        <v>2025</v>
      </c>
      <c r="R45" t="str">
        <f>TEXT(Clean_Data[[#This Row],[Order_Date]],"mmm")</f>
        <v>Mar</v>
      </c>
      <c r="S45" t="str">
        <f>TEXT(Clean_Data[[#This Row],[Order_Date]],"mmm-yy")</f>
        <v>Mar-25</v>
      </c>
      <c r="V45"/>
    </row>
    <row r="46" spans="1:22" x14ac:dyDescent="0.25">
      <c r="A46" t="s">
        <v>96</v>
      </c>
      <c r="B46" s="1">
        <v>46084</v>
      </c>
      <c r="C46" t="s">
        <v>62</v>
      </c>
      <c r="D46" t="s">
        <v>13</v>
      </c>
      <c r="E46" t="s">
        <v>41</v>
      </c>
      <c r="F46" t="s">
        <v>42</v>
      </c>
      <c r="G46">
        <v>2</v>
      </c>
      <c r="H46">
        <v>28000</v>
      </c>
      <c r="I46">
        <v>19913</v>
      </c>
      <c r="J46" t="s">
        <v>45</v>
      </c>
      <c r="K46" t="s">
        <v>17</v>
      </c>
      <c r="L46">
        <f>SUM(Clean_Data[[#This Row],[Units_Sold]]*Clean_Data[[#This Row],[Unit_Price]])</f>
        <v>56000</v>
      </c>
      <c r="M46">
        <f>Clean_Data[[#This Row],[Units_Sold]]*Clean_Data[[#This Row],[Cost_Price]]</f>
        <v>39826</v>
      </c>
      <c r="N46">
        <f>Clean_Data[[#This Row],[Total_Sales]]-Clean_Data[[#This Row],[Total_Cost]]</f>
        <v>16174</v>
      </c>
      <c r="O46" s="2">
        <f>Clean_Data[[#This Row],[Profit]]/Clean_Data[[#This Row],[Total_Sales]]</f>
        <v>0.28882142857142856</v>
      </c>
      <c r="P46" t="str">
        <f>_xlfn.XLOOKUP(Clean_Data[[#This Row],[Product_Code]],Product_Catalog!A:A,Product_Catalog!C:C)</f>
        <v>Electronics</v>
      </c>
      <c r="Q46">
        <f>IF(Clean_Data[[#This Row],[Order_Date]]="","",YEAR(Clean_Data[[#This Row],[Order_Date]]))</f>
        <v>2026</v>
      </c>
      <c r="R46" t="str">
        <f>TEXT(Clean_Data[[#This Row],[Order_Date]],"mmm")</f>
        <v>Mar</v>
      </c>
      <c r="S46" t="str">
        <f>TEXT(Clean_Data[[#This Row],[Order_Date]],"mmm-yy")</f>
        <v>Mar-26</v>
      </c>
      <c r="V46"/>
    </row>
    <row r="47" spans="1:22" x14ac:dyDescent="0.25">
      <c r="A47" t="s">
        <v>97</v>
      </c>
      <c r="B47" s="1">
        <v>45811</v>
      </c>
      <c r="C47" t="s">
        <v>44</v>
      </c>
      <c r="D47" t="s">
        <v>40</v>
      </c>
      <c r="E47" t="s">
        <v>41</v>
      </c>
      <c r="F47" t="s">
        <v>42</v>
      </c>
      <c r="G47">
        <v>14</v>
      </c>
      <c r="H47">
        <v>28000</v>
      </c>
      <c r="I47">
        <v>20306</v>
      </c>
      <c r="J47" t="s">
        <v>45</v>
      </c>
      <c r="K47" t="s">
        <v>23</v>
      </c>
      <c r="L47">
        <f>SUM(Clean_Data[[#This Row],[Units_Sold]]*Clean_Data[[#This Row],[Unit_Price]])</f>
        <v>392000</v>
      </c>
      <c r="M47">
        <f>Clean_Data[[#This Row],[Units_Sold]]*Clean_Data[[#This Row],[Cost_Price]]</f>
        <v>284284</v>
      </c>
      <c r="N47">
        <f>Clean_Data[[#This Row],[Total_Sales]]-Clean_Data[[#This Row],[Total_Cost]]</f>
        <v>107716</v>
      </c>
      <c r="O47" s="2">
        <f>Clean_Data[[#This Row],[Profit]]/Clean_Data[[#This Row],[Total_Sales]]</f>
        <v>0.2747857142857143</v>
      </c>
      <c r="P47" t="str">
        <f>_xlfn.XLOOKUP(Clean_Data[[#This Row],[Product_Code]],Product_Catalog!A:A,Product_Catalog!C:C)</f>
        <v>Electronics</v>
      </c>
      <c r="Q47">
        <f>IF(Clean_Data[[#This Row],[Order_Date]]="","",YEAR(Clean_Data[[#This Row],[Order_Date]]))</f>
        <v>2025</v>
      </c>
      <c r="R47" t="str">
        <f>TEXT(Clean_Data[[#This Row],[Order_Date]],"mmm")</f>
        <v>Jun</v>
      </c>
      <c r="S47" t="str">
        <f>TEXT(Clean_Data[[#This Row],[Order_Date]],"mmm-yy")</f>
        <v>Jun-25</v>
      </c>
      <c r="V47"/>
    </row>
    <row r="48" spans="1:22" x14ac:dyDescent="0.25">
      <c r="A48" t="s">
        <v>98</v>
      </c>
      <c r="B48" s="1">
        <v>45728</v>
      </c>
      <c r="C48" t="s">
        <v>12</v>
      </c>
      <c r="D48" t="s">
        <v>26</v>
      </c>
      <c r="E48" t="s">
        <v>37</v>
      </c>
      <c r="F48" t="s">
        <v>38</v>
      </c>
      <c r="G48">
        <v>18</v>
      </c>
      <c r="H48">
        <v>55000</v>
      </c>
      <c r="I48">
        <v>43704</v>
      </c>
      <c r="J48" t="s">
        <v>16</v>
      </c>
      <c r="K48" t="s">
        <v>46</v>
      </c>
      <c r="L48">
        <f>SUM(Clean_Data[[#This Row],[Units_Sold]]*Clean_Data[[#This Row],[Unit_Price]])</f>
        <v>990000</v>
      </c>
      <c r="M48">
        <f>Clean_Data[[#This Row],[Units_Sold]]*Clean_Data[[#This Row],[Cost_Price]]</f>
        <v>786672</v>
      </c>
      <c r="N48">
        <f>Clean_Data[[#This Row],[Total_Sales]]-Clean_Data[[#This Row],[Total_Cost]]</f>
        <v>203328</v>
      </c>
      <c r="O48" s="2">
        <f>Clean_Data[[#This Row],[Profit]]/Clean_Data[[#This Row],[Total_Sales]]</f>
        <v>0.20538181818181819</v>
      </c>
      <c r="P48" t="str">
        <f>_xlfn.XLOOKUP(Clean_Data[[#This Row],[Product_Code]],Product_Catalog!A:A,Product_Catalog!C:C)</f>
        <v>Electronics</v>
      </c>
      <c r="Q48">
        <f>IF(Clean_Data[[#This Row],[Order_Date]]="","",YEAR(Clean_Data[[#This Row],[Order_Date]]))</f>
        <v>2025</v>
      </c>
      <c r="R48" t="str">
        <f>TEXT(Clean_Data[[#This Row],[Order_Date]],"mmm")</f>
        <v>Mar</v>
      </c>
      <c r="S48" t="str">
        <f>TEXT(Clean_Data[[#This Row],[Order_Date]],"mmm-yy")</f>
        <v>Mar-25</v>
      </c>
      <c r="V48"/>
    </row>
    <row r="49" spans="1:22" x14ac:dyDescent="0.25">
      <c r="A49" t="s">
        <v>99</v>
      </c>
      <c r="B49" s="1">
        <v>45913</v>
      </c>
      <c r="C49" t="s">
        <v>19</v>
      </c>
      <c r="D49" t="s">
        <v>40</v>
      </c>
      <c r="E49" t="s">
        <v>14</v>
      </c>
      <c r="F49" t="s">
        <v>15</v>
      </c>
      <c r="G49">
        <v>11</v>
      </c>
      <c r="H49">
        <v>12500</v>
      </c>
      <c r="I49">
        <v>8576</v>
      </c>
      <c r="J49" t="s">
        <v>29</v>
      </c>
      <c r="K49" t="s">
        <v>17</v>
      </c>
      <c r="L49">
        <f>SUM(Clean_Data[[#This Row],[Units_Sold]]*Clean_Data[[#This Row],[Unit_Price]])</f>
        <v>137500</v>
      </c>
      <c r="M49">
        <f>Clean_Data[[#This Row],[Units_Sold]]*Clean_Data[[#This Row],[Cost_Price]]</f>
        <v>94336</v>
      </c>
      <c r="N49">
        <f>Clean_Data[[#This Row],[Total_Sales]]-Clean_Data[[#This Row],[Total_Cost]]</f>
        <v>43164</v>
      </c>
      <c r="O49" s="2">
        <f>Clean_Data[[#This Row],[Profit]]/Clean_Data[[#This Row],[Total_Sales]]</f>
        <v>0.31391999999999998</v>
      </c>
      <c r="P49" t="str">
        <f>_xlfn.XLOOKUP(Clean_Data[[#This Row],[Product_Code]],Product_Catalog!A:A,Product_Catalog!C:C)</f>
        <v>Accessories</v>
      </c>
      <c r="Q49">
        <f>IF(Clean_Data[[#This Row],[Order_Date]]="","",YEAR(Clean_Data[[#This Row],[Order_Date]]))</f>
        <v>2025</v>
      </c>
      <c r="R49" t="str">
        <f>TEXT(Clean_Data[[#This Row],[Order_Date]],"mmm")</f>
        <v>Sep</v>
      </c>
      <c r="S49" t="str">
        <f>TEXT(Clean_Data[[#This Row],[Order_Date]],"mmm-yy")</f>
        <v>Sep-25</v>
      </c>
      <c r="V49"/>
    </row>
    <row r="50" spans="1:22" x14ac:dyDescent="0.25">
      <c r="A50" t="s">
        <v>100</v>
      </c>
      <c r="B50" s="1">
        <v>45753</v>
      </c>
      <c r="C50" t="s">
        <v>44</v>
      </c>
      <c r="D50" t="s">
        <v>13</v>
      </c>
      <c r="E50" t="s">
        <v>49</v>
      </c>
      <c r="F50" t="s">
        <v>50</v>
      </c>
      <c r="G50">
        <v>7</v>
      </c>
      <c r="H50">
        <v>75000</v>
      </c>
      <c r="I50">
        <v>45542</v>
      </c>
      <c r="J50" t="s">
        <v>22</v>
      </c>
      <c r="K50" t="s">
        <v>23</v>
      </c>
      <c r="L50">
        <f>SUM(Clean_Data[[#This Row],[Units_Sold]]*Clean_Data[[#This Row],[Unit_Price]])</f>
        <v>525000</v>
      </c>
      <c r="M50">
        <f>Clean_Data[[#This Row],[Units_Sold]]*Clean_Data[[#This Row],[Cost_Price]]</f>
        <v>318794</v>
      </c>
      <c r="N50">
        <f>Clean_Data[[#This Row],[Total_Sales]]-Clean_Data[[#This Row],[Total_Cost]]</f>
        <v>206206</v>
      </c>
      <c r="O50" s="2">
        <f>Clean_Data[[#This Row],[Profit]]/Clean_Data[[#This Row],[Total_Sales]]</f>
        <v>0.39277333333333331</v>
      </c>
      <c r="P50" t="str">
        <f>_xlfn.XLOOKUP(Clean_Data[[#This Row],[Product_Code]],Product_Catalog!A:A,Product_Catalog!C:C)</f>
        <v>Electronics</v>
      </c>
      <c r="Q50">
        <f>IF(Clean_Data[[#This Row],[Order_Date]]="","",YEAR(Clean_Data[[#This Row],[Order_Date]]))</f>
        <v>2025</v>
      </c>
      <c r="R50" t="str">
        <f>TEXT(Clean_Data[[#This Row],[Order_Date]],"mmm")</f>
        <v>Apr</v>
      </c>
      <c r="S50" t="str">
        <f>TEXT(Clean_Data[[#This Row],[Order_Date]],"mmm-yy")</f>
        <v>Apr-25</v>
      </c>
      <c r="V50"/>
    </row>
    <row r="51" spans="1:22" x14ac:dyDescent="0.25">
      <c r="A51" t="s">
        <v>101</v>
      </c>
      <c r="B51" s="1">
        <v>46055</v>
      </c>
      <c r="C51" t="s">
        <v>44</v>
      </c>
      <c r="D51" t="s">
        <v>40</v>
      </c>
      <c r="E51" t="s">
        <v>14</v>
      </c>
      <c r="F51" t="s">
        <v>15</v>
      </c>
      <c r="G51">
        <v>3</v>
      </c>
      <c r="H51">
        <v>12500</v>
      </c>
      <c r="I51">
        <v>7524</v>
      </c>
      <c r="J51" t="s">
        <v>16</v>
      </c>
      <c r="K51" t="s">
        <v>46</v>
      </c>
      <c r="L51">
        <f>SUM(Clean_Data[[#This Row],[Units_Sold]]*Clean_Data[[#This Row],[Unit_Price]])</f>
        <v>37500</v>
      </c>
      <c r="M51">
        <f>Clean_Data[[#This Row],[Units_Sold]]*Clean_Data[[#This Row],[Cost_Price]]</f>
        <v>22572</v>
      </c>
      <c r="N51">
        <f>Clean_Data[[#This Row],[Total_Sales]]-Clean_Data[[#This Row],[Total_Cost]]</f>
        <v>14928</v>
      </c>
      <c r="O51" s="2">
        <f>Clean_Data[[#This Row],[Profit]]/Clean_Data[[#This Row],[Total_Sales]]</f>
        <v>0.39807999999999999</v>
      </c>
      <c r="P51" t="str">
        <f>_xlfn.XLOOKUP(Clean_Data[[#This Row],[Product_Code]],Product_Catalog!A:A,Product_Catalog!C:C)</f>
        <v>Accessories</v>
      </c>
      <c r="Q51">
        <f>IF(Clean_Data[[#This Row],[Order_Date]]="","",YEAR(Clean_Data[[#This Row],[Order_Date]]))</f>
        <v>2026</v>
      </c>
      <c r="R51" t="str">
        <f>TEXT(Clean_Data[[#This Row],[Order_Date]],"mmm")</f>
        <v>Feb</v>
      </c>
      <c r="S51" t="str">
        <f>TEXT(Clean_Data[[#This Row],[Order_Date]],"mmm-yy")</f>
        <v>Feb-26</v>
      </c>
      <c r="V51"/>
    </row>
    <row r="52" spans="1:22" x14ac:dyDescent="0.25">
      <c r="A52" t="s">
        <v>102</v>
      </c>
      <c r="B52" s="1">
        <v>45755</v>
      </c>
      <c r="C52" t="s">
        <v>44</v>
      </c>
      <c r="D52" t="s">
        <v>13</v>
      </c>
      <c r="E52" t="s">
        <v>49</v>
      </c>
      <c r="F52" t="s">
        <v>50</v>
      </c>
      <c r="G52">
        <v>5</v>
      </c>
      <c r="H52">
        <v>75000</v>
      </c>
      <c r="I52">
        <v>56214</v>
      </c>
      <c r="J52" t="s">
        <v>29</v>
      </c>
      <c r="K52" t="s">
        <v>17</v>
      </c>
      <c r="L52">
        <f>SUM(Clean_Data[[#This Row],[Units_Sold]]*Clean_Data[[#This Row],[Unit_Price]])</f>
        <v>375000</v>
      </c>
      <c r="M52">
        <f>Clean_Data[[#This Row],[Units_Sold]]*Clean_Data[[#This Row],[Cost_Price]]</f>
        <v>281070</v>
      </c>
      <c r="N52">
        <f>Clean_Data[[#This Row],[Total_Sales]]-Clean_Data[[#This Row],[Total_Cost]]</f>
        <v>93930</v>
      </c>
      <c r="O52" s="2">
        <f>Clean_Data[[#This Row],[Profit]]/Clean_Data[[#This Row],[Total_Sales]]</f>
        <v>0.25047999999999998</v>
      </c>
      <c r="P52" t="str">
        <f>_xlfn.XLOOKUP(Clean_Data[[#This Row],[Product_Code]],Product_Catalog!A:A,Product_Catalog!C:C)</f>
        <v>Electronics</v>
      </c>
      <c r="Q52">
        <f>IF(Clean_Data[[#This Row],[Order_Date]]="","",YEAR(Clean_Data[[#This Row],[Order_Date]]))</f>
        <v>2025</v>
      </c>
      <c r="R52" t="str">
        <f>TEXT(Clean_Data[[#This Row],[Order_Date]],"mmm")</f>
        <v>Apr</v>
      </c>
      <c r="S52" t="str">
        <f>TEXT(Clean_Data[[#This Row],[Order_Date]],"mmm-yy")</f>
        <v>Apr-25</v>
      </c>
      <c r="V52"/>
    </row>
    <row r="53" spans="1:22" x14ac:dyDescent="0.25">
      <c r="A53" t="s">
        <v>103</v>
      </c>
      <c r="B53" s="1">
        <v>46132</v>
      </c>
      <c r="C53" t="s">
        <v>73</v>
      </c>
      <c r="D53" t="s">
        <v>40</v>
      </c>
      <c r="E53" t="s">
        <v>49</v>
      </c>
      <c r="F53" t="s">
        <v>50</v>
      </c>
      <c r="G53">
        <v>13</v>
      </c>
      <c r="H53">
        <v>75000</v>
      </c>
      <c r="I53">
        <v>50799</v>
      </c>
      <c r="J53" t="s">
        <v>45</v>
      </c>
      <c r="K53" t="s">
        <v>17</v>
      </c>
      <c r="L53">
        <f>SUM(Clean_Data[[#This Row],[Units_Sold]]*Clean_Data[[#This Row],[Unit_Price]])</f>
        <v>975000</v>
      </c>
      <c r="M53">
        <f>Clean_Data[[#This Row],[Units_Sold]]*Clean_Data[[#This Row],[Cost_Price]]</f>
        <v>660387</v>
      </c>
      <c r="N53">
        <f>Clean_Data[[#This Row],[Total_Sales]]-Clean_Data[[#This Row],[Total_Cost]]</f>
        <v>314613</v>
      </c>
      <c r="O53" s="2">
        <f>Clean_Data[[#This Row],[Profit]]/Clean_Data[[#This Row],[Total_Sales]]</f>
        <v>0.32268000000000002</v>
      </c>
      <c r="P53" t="str">
        <f>_xlfn.XLOOKUP(Clean_Data[[#This Row],[Product_Code]],Product_Catalog!A:A,Product_Catalog!C:C)</f>
        <v>Electronics</v>
      </c>
      <c r="Q53">
        <f>IF(Clean_Data[[#This Row],[Order_Date]]="","",YEAR(Clean_Data[[#This Row],[Order_Date]]))</f>
        <v>2026</v>
      </c>
      <c r="R53" t="str">
        <f>TEXT(Clean_Data[[#This Row],[Order_Date]],"mmm")</f>
        <v>Apr</v>
      </c>
      <c r="S53" t="str">
        <f>TEXT(Clean_Data[[#This Row],[Order_Date]],"mmm-yy")</f>
        <v>Apr-26</v>
      </c>
      <c r="V53"/>
    </row>
    <row r="54" spans="1:22" x14ac:dyDescent="0.25">
      <c r="A54" t="s">
        <v>104</v>
      </c>
      <c r="B54" s="1">
        <v>45921</v>
      </c>
      <c r="C54" t="s">
        <v>73</v>
      </c>
      <c r="D54" t="s">
        <v>40</v>
      </c>
      <c r="E54" t="s">
        <v>20</v>
      </c>
      <c r="F54" t="s">
        <v>21</v>
      </c>
      <c r="G54">
        <v>3</v>
      </c>
      <c r="H54">
        <v>8500</v>
      </c>
      <c r="I54">
        <v>5667</v>
      </c>
      <c r="J54" t="s">
        <v>29</v>
      </c>
      <c r="K54" t="s">
        <v>23</v>
      </c>
      <c r="L54">
        <f>SUM(Clean_Data[[#This Row],[Units_Sold]]*Clean_Data[[#This Row],[Unit_Price]])</f>
        <v>25500</v>
      </c>
      <c r="M54">
        <f>Clean_Data[[#This Row],[Units_Sold]]*Clean_Data[[#This Row],[Cost_Price]]</f>
        <v>17001</v>
      </c>
      <c r="N54">
        <f>Clean_Data[[#This Row],[Total_Sales]]-Clean_Data[[#This Row],[Total_Cost]]</f>
        <v>8499</v>
      </c>
      <c r="O54" s="2">
        <f>Clean_Data[[#This Row],[Profit]]/Clean_Data[[#This Row],[Total_Sales]]</f>
        <v>0.3332941176470588</v>
      </c>
      <c r="P54" t="str">
        <f>_xlfn.XLOOKUP(Clean_Data[[#This Row],[Product_Code]],Product_Catalog!A:A,Product_Catalog!C:C)</f>
        <v>Accessories</v>
      </c>
      <c r="Q54">
        <f>IF(Clean_Data[[#This Row],[Order_Date]]="","",YEAR(Clean_Data[[#This Row],[Order_Date]]))</f>
        <v>2025</v>
      </c>
      <c r="R54" t="str">
        <f>TEXT(Clean_Data[[#This Row],[Order_Date]],"mmm")</f>
        <v>Sep</v>
      </c>
      <c r="S54" t="str">
        <f>TEXT(Clean_Data[[#This Row],[Order_Date]],"mmm-yy")</f>
        <v>Sep-25</v>
      </c>
      <c r="V54"/>
    </row>
    <row r="55" spans="1:22" x14ac:dyDescent="0.25">
      <c r="A55" t="s">
        <v>105</v>
      </c>
      <c r="B55" s="1">
        <v>45789</v>
      </c>
      <c r="C55" t="s">
        <v>48</v>
      </c>
      <c r="D55" t="s">
        <v>36</v>
      </c>
      <c r="E55" t="s">
        <v>66</v>
      </c>
      <c r="F55" t="s">
        <v>67</v>
      </c>
      <c r="G55">
        <v>6</v>
      </c>
      <c r="H55">
        <v>2500</v>
      </c>
      <c r="I55">
        <v>1948</v>
      </c>
      <c r="J55" t="s">
        <v>45</v>
      </c>
      <c r="K55" t="s">
        <v>17</v>
      </c>
      <c r="L55">
        <f>SUM(Clean_Data[[#This Row],[Units_Sold]]*Clean_Data[[#This Row],[Unit_Price]])</f>
        <v>15000</v>
      </c>
      <c r="M55">
        <f>Clean_Data[[#This Row],[Units_Sold]]*Clean_Data[[#This Row],[Cost_Price]]</f>
        <v>11688</v>
      </c>
      <c r="N55">
        <f>Clean_Data[[#This Row],[Total_Sales]]-Clean_Data[[#This Row],[Total_Cost]]</f>
        <v>3312</v>
      </c>
      <c r="O55" s="2">
        <f>Clean_Data[[#This Row],[Profit]]/Clean_Data[[#This Row],[Total_Sales]]</f>
        <v>0.2208</v>
      </c>
      <c r="P55" t="str">
        <f>_xlfn.XLOOKUP(Clean_Data[[#This Row],[Product_Code]],Product_Catalog!A:A,Product_Catalog!C:C)</f>
        <v>Electronics</v>
      </c>
      <c r="Q55">
        <f>IF(Clean_Data[[#This Row],[Order_Date]]="","",YEAR(Clean_Data[[#This Row],[Order_Date]]))</f>
        <v>2025</v>
      </c>
      <c r="R55" t="str">
        <f>TEXT(Clean_Data[[#This Row],[Order_Date]],"mmm")</f>
        <v>May</v>
      </c>
      <c r="S55" t="str">
        <f>TEXT(Clean_Data[[#This Row],[Order_Date]],"mmm-yy")</f>
        <v>May-25</v>
      </c>
      <c r="V55"/>
    </row>
    <row r="56" spans="1:22" x14ac:dyDescent="0.25">
      <c r="A56" t="s">
        <v>106</v>
      </c>
      <c r="B56" s="1">
        <v>46082</v>
      </c>
      <c r="C56" t="s">
        <v>48</v>
      </c>
      <c r="D56" t="s">
        <v>13</v>
      </c>
      <c r="E56" t="s">
        <v>49</v>
      </c>
      <c r="F56" t="s">
        <v>50</v>
      </c>
      <c r="G56">
        <v>9</v>
      </c>
      <c r="H56">
        <v>75000</v>
      </c>
      <c r="I56">
        <v>48377</v>
      </c>
      <c r="J56" t="s">
        <v>29</v>
      </c>
      <c r="K56" t="s">
        <v>17</v>
      </c>
      <c r="L56">
        <f>SUM(Clean_Data[[#This Row],[Units_Sold]]*Clean_Data[[#This Row],[Unit_Price]])</f>
        <v>675000</v>
      </c>
      <c r="M56">
        <f>Clean_Data[[#This Row],[Units_Sold]]*Clean_Data[[#This Row],[Cost_Price]]</f>
        <v>435393</v>
      </c>
      <c r="N56">
        <f>Clean_Data[[#This Row],[Total_Sales]]-Clean_Data[[#This Row],[Total_Cost]]</f>
        <v>239607</v>
      </c>
      <c r="O56" s="2">
        <f>Clean_Data[[#This Row],[Profit]]/Clean_Data[[#This Row],[Total_Sales]]</f>
        <v>0.35497333333333331</v>
      </c>
      <c r="P56" t="str">
        <f>_xlfn.XLOOKUP(Clean_Data[[#This Row],[Product_Code]],Product_Catalog!A:A,Product_Catalog!C:C)</f>
        <v>Electronics</v>
      </c>
      <c r="Q56">
        <f>IF(Clean_Data[[#This Row],[Order_Date]]="","",YEAR(Clean_Data[[#This Row],[Order_Date]]))</f>
        <v>2026</v>
      </c>
      <c r="R56" t="str">
        <f>TEXT(Clean_Data[[#This Row],[Order_Date]],"mmm")</f>
        <v>Mar</v>
      </c>
      <c r="S56" t="str">
        <f>TEXT(Clean_Data[[#This Row],[Order_Date]],"mmm-yy")</f>
        <v>Mar-26</v>
      </c>
      <c r="V56"/>
    </row>
    <row r="57" spans="1:22" x14ac:dyDescent="0.25">
      <c r="A57" t="s">
        <v>107</v>
      </c>
      <c r="B57" s="1">
        <v>46120</v>
      </c>
      <c r="C57" t="s">
        <v>31</v>
      </c>
      <c r="D57" t="s">
        <v>33</v>
      </c>
      <c r="E57" t="s">
        <v>49</v>
      </c>
      <c r="F57" t="s">
        <v>50</v>
      </c>
      <c r="G57">
        <v>11</v>
      </c>
      <c r="H57">
        <v>75000</v>
      </c>
      <c r="I57">
        <v>46534</v>
      </c>
      <c r="J57" t="s">
        <v>29</v>
      </c>
      <c r="K57" t="s">
        <v>17</v>
      </c>
      <c r="L57">
        <f>SUM(Clean_Data[[#This Row],[Units_Sold]]*Clean_Data[[#This Row],[Unit_Price]])</f>
        <v>825000</v>
      </c>
      <c r="M57">
        <f>Clean_Data[[#This Row],[Units_Sold]]*Clean_Data[[#This Row],[Cost_Price]]</f>
        <v>511874</v>
      </c>
      <c r="N57">
        <f>Clean_Data[[#This Row],[Total_Sales]]-Clean_Data[[#This Row],[Total_Cost]]</f>
        <v>313126</v>
      </c>
      <c r="O57" s="2">
        <f>Clean_Data[[#This Row],[Profit]]/Clean_Data[[#This Row],[Total_Sales]]</f>
        <v>0.37954666666666664</v>
      </c>
      <c r="P57" t="str">
        <f>_xlfn.XLOOKUP(Clean_Data[[#This Row],[Product_Code]],Product_Catalog!A:A,Product_Catalog!C:C)</f>
        <v>Electronics</v>
      </c>
      <c r="Q57">
        <f>IF(Clean_Data[[#This Row],[Order_Date]]="","",YEAR(Clean_Data[[#This Row],[Order_Date]]))</f>
        <v>2026</v>
      </c>
      <c r="R57" t="str">
        <f>TEXT(Clean_Data[[#This Row],[Order_Date]],"mmm")</f>
        <v>Apr</v>
      </c>
      <c r="S57" t="str">
        <f>TEXT(Clean_Data[[#This Row],[Order_Date]],"mmm-yy")</f>
        <v>Apr-26</v>
      </c>
      <c r="V57"/>
    </row>
    <row r="58" spans="1:22" x14ac:dyDescent="0.25">
      <c r="A58" t="s">
        <v>108</v>
      </c>
      <c r="B58" s="1">
        <v>45711</v>
      </c>
      <c r="C58" t="s">
        <v>53</v>
      </c>
      <c r="D58" t="s">
        <v>13</v>
      </c>
      <c r="E58" t="s">
        <v>41</v>
      </c>
      <c r="F58" t="s">
        <v>42</v>
      </c>
      <c r="G58">
        <v>13</v>
      </c>
      <c r="H58">
        <v>28000</v>
      </c>
      <c r="I58">
        <v>17023</v>
      </c>
      <c r="J58" t="s">
        <v>45</v>
      </c>
      <c r="K58" t="s">
        <v>17</v>
      </c>
      <c r="L58">
        <f>SUM(Clean_Data[[#This Row],[Units_Sold]]*Clean_Data[[#This Row],[Unit_Price]])</f>
        <v>364000</v>
      </c>
      <c r="M58">
        <f>Clean_Data[[#This Row],[Units_Sold]]*Clean_Data[[#This Row],[Cost_Price]]</f>
        <v>221299</v>
      </c>
      <c r="N58">
        <f>Clean_Data[[#This Row],[Total_Sales]]-Clean_Data[[#This Row],[Total_Cost]]</f>
        <v>142701</v>
      </c>
      <c r="O58" s="2">
        <f>Clean_Data[[#This Row],[Profit]]/Clean_Data[[#This Row],[Total_Sales]]</f>
        <v>0.39203571428571427</v>
      </c>
      <c r="P58" t="str">
        <f>_xlfn.XLOOKUP(Clean_Data[[#This Row],[Product_Code]],Product_Catalog!A:A,Product_Catalog!C:C)</f>
        <v>Electronics</v>
      </c>
      <c r="Q58">
        <f>IF(Clean_Data[[#This Row],[Order_Date]]="","",YEAR(Clean_Data[[#This Row],[Order_Date]]))</f>
        <v>2025</v>
      </c>
      <c r="R58" t="str">
        <f>TEXT(Clean_Data[[#This Row],[Order_Date]],"mmm")</f>
        <v>Feb</v>
      </c>
      <c r="S58" t="str">
        <f>TEXT(Clean_Data[[#This Row],[Order_Date]],"mmm-yy")</f>
        <v>Feb-25</v>
      </c>
      <c r="V58"/>
    </row>
    <row r="59" spans="1:22" x14ac:dyDescent="0.25">
      <c r="A59" t="s">
        <v>109</v>
      </c>
      <c r="B59" s="1">
        <v>46100</v>
      </c>
      <c r="C59" t="s">
        <v>53</v>
      </c>
      <c r="D59" t="s">
        <v>33</v>
      </c>
      <c r="E59" t="s">
        <v>14</v>
      </c>
      <c r="F59" t="s">
        <v>15</v>
      </c>
      <c r="G59">
        <v>7</v>
      </c>
      <c r="H59">
        <v>12500</v>
      </c>
      <c r="I59">
        <v>8504</v>
      </c>
      <c r="J59" t="s">
        <v>29</v>
      </c>
      <c r="K59" t="s">
        <v>23</v>
      </c>
      <c r="L59">
        <f>SUM(Clean_Data[[#This Row],[Units_Sold]]*Clean_Data[[#This Row],[Unit_Price]])</f>
        <v>87500</v>
      </c>
      <c r="M59">
        <f>Clean_Data[[#This Row],[Units_Sold]]*Clean_Data[[#This Row],[Cost_Price]]</f>
        <v>59528</v>
      </c>
      <c r="N59">
        <f>Clean_Data[[#This Row],[Total_Sales]]-Clean_Data[[#This Row],[Total_Cost]]</f>
        <v>27972</v>
      </c>
      <c r="O59" s="2">
        <f>Clean_Data[[#This Row],[Profit]]/Clean_Data[[#This Row],[Total_Sales]]</f>
        <v>0.31968000000000002</v>
      </c>
      <c r="P59" t="str">
        <f>_xlfn.XLOOKUP(Clean_Data[[#This Row],[Product_Code]],Product_Catalog!A:A,Product_Catalog!C:C)</f>
        <v>Accessories</v>
      </c>
      <c r="Q59">
        <f>IF(Clean_Data[[#This Row],[Order_Date]]="","",YEAR(Clean_Data[[#This Row],[Order_Date]]))</f>
        <v>2026</v>
      </c>
      <c r="R59" t="str">
        <f>TEXT(Clean_Data[[#This Row],[Order_Date]],"mmm")</f>
        <v>Mar</v>
      </c>
      <c r="S59" t="str">
        <f>TEXT(Clean_Data[[#This Row],[Order_Date]],"mmm-yy")</f>
        <v>Mar-26</v>
      </c>
      <c r="V59"/>
    </row>
    <row r="60" spans="1:22" x14ac:dyDescent="0.25">
      <c r="A60" t="s">
        <v>110</v>
      </c>
      <c r="B60" s="1">
        <v>45906</v>
      </c>
      <c r="C60" t="s">
        <v>19</v>
      </c>
      <c r="D60" t="s">
        <v>40</v>
      </c>
      <c r="E60" t="s">
        <v>37</v>
      </c>
      <c r="F60" t="s">
        <v>38</v>
      </c>
      <c r="G60">
        <v>6</v>
      </c>
      <c r="H60">
        <v>55000</v>
      </c>
      <c r="I60">
        <v>38989</v>
      </c>
      <c r="J60" t="s">
        <v>45</v>
      </c>
      <c r="K60" t="s">
        <v>23</v>
      </c>
      <c r="L60">
        <f>SUM(Clean_Data[[#This Row],[Units_Sold]]*Clean_Data[[#This Row],[Unit_Price]])</f>
        <v>330000</v>
      </c>
      <c r="M60">
        <f>Clean_Data[[#This Row],[Units_Sold]]*Clean_Data[[#This Row],[Cost_Price]]</f>
        <v>233934</v>
      </c>
      <c r="N60">
        <f>Clean_Data[[#This Row],[Total_Sales]]-Clean_Data[[#This Row],[Total_Cost]]</f>
        <v>96066</v>
      </c>
      <c r="O60" s="2">
        <f>Clean_Data[[#This Row],[Profit]]/Clean_Data[[#This Row],[Total_Sales]]</f>
        <v>0.29110909090909093</v>
      </c>
      <c r="P60" t="str">
        <f>_xlfn.XLOOKUP(Clean_Data[[#This Row],[Product_Code]],Product_Catalog!A:A,Product_Catalog!C:C)</f>
        <v>Electronics</v>
      </c>
      <c r="Q60">
        <f>IF(Clean_Data[[#This Row],[Order_Date]]="","",YEAR(Clean_Data[[#This Row],[Order_Date]]))</f>
        <v>2025</v>
      </c>
      <c r="R60" t="str">
        <f>TEXT(Clean_Data[[#This Row],[Order_Date]],"mmm")</f>
        <v>Sep</v>
      </c>
      <c r="S60" t="str">
        <f>TEXT(Clean_Data[[#This Row],[Order_Date]],"mmm-yy")</f>
        <v>Sep-25</v>
      </c>
      <c r="V60"/>
    </row>
    <row r="61" spans="1:22" x14ac:dyDescent="0.25">
      <c r="A61" t="s">
        <v>111</v>
      </c>
      <c r="B61" s="1">
        <v>46242</v>
      </c>
      <c r="C61" t="s">
        <v>48</v>
      </c>
      <c r="D61" t="s">
        <v>26</v>
      </c>
      <c r="E61" t="s">
        <v>49</v>
      </c>
      <c r="F61" t="s">
        <v>50</v>
      </c>
      <c r="G61">
        <v>7</v>
      </c>
      <c r="H61">
        <v>75000</v>
      </c>
      <c r="I61">
        <v>50367</v>
      </c>
      <c r="J61" t="s">
        <v>22</v>
      </c>
      <c r="K61" t="s">
        <v>23</v>
      </c>
      <c r="L61">
        <f>SUM(Clean_Data[[#This Row],[Units_Sold]]*Clean_Data[[#This Row],[Unit_Price]])</f>
        <v>525000</v>
      </c>
      <c r="M61">
        <f>Clean_Data[[#This Row],[Units_Sold]]*Clean_Data[[#This Row],[Cost_Price]]</f>
        <v>352569</v>
      </c>
      <c r="N61">
        <f>Clean_Data[[#This Row],[Total_Sales]]-Clean_Data[[#This Row],[Total_Cost]]</f>
        <v>172431</v>
      </c>
      <c r="O61" s="2">
        <f>Clean_Data[[#This Row],[Profit]]/Clean_Data[[#This Row],[Total_Sales]]</f>
        <v>0.32844000000000001</v>
      </c>
      <c r="P61" t="str">
        <f>_xlfn.XLOOKUP(Clean_Data[[#This Row],[Product_Code]],Product_Catalog!A:A,Product_Catalog!C:C)</f>
        <v>Electronics</v>
      </c>
      <c r="Q61">
        <f>IF(Clean_Data[[#This Row],[Order_Date]]="","",YEAR(Clean_Data[[#This Row],[Order_Date]]))</f>
        <v>2026</v>
      </c>
      <c r="R61" t="str">
        <f>TEXT(Clean_Data[[#This Row],[Order_Date]],"mmm")</f>
        <v>Aug</v>
      </c>
      <c r="S61" t="str">
        <f>TEXT(Clean_Data[[#This Row],[Order_Date]],"mmm-yy")</f>
        <v>Aug-26</v>
      </c>
      <c r="V61"/>
    </row>
    <row r="62" spans="1:22" x14ac:dyDescent="0.25">
      <c r="A62" t="s">
        <v>112</v>
      </c>
      <c r="B62" s="1">
        <v>45673</v>
      </c>
      <c r="C62" t="s">
        <v>73</v>
      </c>
      <c r="D62" t="s">
        <v>40</v>
      </c>
      <c r="E62" t="s">
        <v>37</v>
      </c>
      <c r="F62" t="s">
        <v>38</v>
      </c>
      <c r="G62">
        <v>3</v>
      </c>
      <c r="H62">
        <v>55000</v>
      </c>
      <c r="I62">
        <v>37428</v>
      </c>
      <c r="J62" t="s">
        <v>45</v>
      </c>
      <c r="K62" t="s">
        <v>46</v>
      </c>
      <c r="L62">
        <f>SUM(Clean_Data[[#This Row],[Units_Sold]]*Clean_Data[[#This Row],[Unit_Price]])</f>
        <v>165000</v>
      </c>
      <c r="M62">
        <f>Clean_Data[[#This Row],[Units_Sold]]*Clean_Data[[#This Row],[Cost_Price]]</f>
        <v>112284</v>
      </c>
      <c r="N62">
        <f>Clean_Data[[#This Row],[Total_Sales]]-Clean_Data[[#This Row],[Total_Cost]]</f>
        <v>52716</v>
      </c>
      <c r="O62" s="2">
        <f>Clean_Data[[#This Row],[Profit]]/Clean_Data[[#This Row],[Total_Sales]]</f>
        <v>0.3194909090909091</v>
      </c>
      <c r="P62" t="str">
        <f>_xlfn.XLOOKUP(Clean_Data[[#This Row],[Product_Code]],Product_Catalog!A:A,Product_Catalog!C:C)</f>
        <v>Electronics</v>
      </c>
      <c r="Q62">
        <f>IF(Clean_Data[[#This Row],[Order_Date]]="","",YEAR(Clean_Data[[#This Row],[Order_Date]]))</f>
        <v>2025</v>
      </c>
      <c r="R62" t="str">
        <f>TEXT(Clean_Data[[#This Row],[Order_Date]],"mmm")</f>
        <v>Jan</v>
      </c>
      <c r="S62" t="str">
        <f>TEXT(Clean_Data[[#This Row],[Order_Date]],"mmm-yy")</f>
        <v>Jan-25</v>
      </c>
      <c r="V62"/>
    </row>
    <row r="63" spans="1:22" x14ac:dyDescent="0.25">
      <c r="A63" t="s">
        <v>113</v>
      </c>
      <c r="B63" s="1">
        <v>46230</v>
      </c>
      <c r="C63" t="s">
        <v>53</v>
      </c>
      <c r="D63" t="s">
        <v>33</v>
      </c>
      <c r="E63" t="s">
        <v>55</v>
      </c>
      <c r="F63" t="s">
        <v>34</v>
      </c>
      <c r="G63">
        <v>19</v>
      </c>
      <c r="H63">
        <v>35000</v>
      </c>
      <c r="I63">
        <v>22490</v>
      </c>
      <c r="J63" t="s">
        <v>45</v>
      </c>
      <c r="K63" t="s">
        <v>23</v>
      </c>
      <c r="L63">
        <f>SUM(Clean_Data[[#This Row],[Units_Sold]]*Clean_Data[[#This Row],[Unit_Price]])</f>
        <v>665000</v>
      </c>
      <c r="M63">
        <f>Clean_Data[[#This Row],[Units_Sold]]*Clean_Data[[#This Row],[Cost_Price]]</f>
        <v>427310</v>
      </c>
      <c r="N63">
        <f>Clean_Data[[#This Row],[Total_Sales]]-Clean_Data[[#This Row],[Total_Cost]]</f>
        <v>237690</v>
      </c>
      <c r="O63" s="2">
        <f>Clean_Data[[#This Row],[Profit]]/Clean_Data[[#This Row],[Total_Sales]]</f>
        <v>0.35742857142857143</v>
      </c>
      <c r="P63" t="str">
        <f>_xlfn.XLOOKUP(Clean_Data[[#This Row],[Product_Code]],Product_Catalog!A:A,Product_Catalog!C:C)</f>
        <v>Furniture</v>
      </c>
      <c r="Q63">
        <f>IF(Clean_Data[[#This Row],[Order_Date]]="","",YEAR(Clean_Data[[#This Row],[Order_Date]]))</f>
        <v>2026</v>
      </c>
      <c r="R63" t="str">
        <f>TEXT(Clean_Data[[#This Row],[Order_Date]],"mmm")</f>
        <v>Jul</v>
      </c>
      <c r="S63" t="str">
        <f>TEXT(Clean_Data[[#This Row],[Order_Date]],"mmm-yy")</f>
        <v>Jul-26</v>
      </c>
      <c r="V63"/>
    </row>
    <row r="64" spans="1:22" x14ac:dyDescent="0.25">
      <c r="A64" t="s">
        <v>114</v>
      </c>
      <c r="B64" s="1">
        <v>46163</v>
      </c>
      <c r="C64" t="s">
        <v>31</v>
      </c>
      <c r="D64" t="s">
        <v>40</v>
      </c>
      <c r="E64" t="s">
        <v>63</v>
      </c>
      <c r="F64" t="s">
        <v>59</v>
      </c>
      <c r="G64">
        <v>19</v>
      </c>
      <c r="H64">
        <v>4500</v>
      </c>
      <c r="I64">
        <v>3006</v>
      </c>
      <c r="J64" t="s">
        <v>29</v>
      </c>
      <c r="K64" t="s">
        <v>17</v>
      </c>
      <c r="L64">
        <f>SUM(Clean_Data[[#This Row],[Units_Sold]]*Clean_Data[[#This Row],[Unit_Price]])</f>
        <v>85500</v>
      </c>
      <c r="M64">
        <f>Clean_Data[[#This Row],[Units_Sold]]*Clean_Data[[#This Row],[Cost_Price]]</f>
        <v>57114</v>
      </c>
      <c r="N64">
        <f>Clean_Data[[#This Row],[Total_Sales]]-Clean_Data[[#This Row],[Total_Cost]]</f>
        <v>28386</v>
      </c>
      <c r="O64" s="2">
        <f>Clean_Data[[#This Row],[Profit]]/Clean_Data[[#This Row],[Total_Sales]]</f>
        <v>0.33200000000000002</v>
      </c>
      <c r="P64" t="str">
        <f>_xlfn.XLOOKUP(Clean_Data[[#This Row],[Product_Code]],Product_Catalog!A:A,Product_Catalog!C:C)</f>
        <v>Electronics</v>
      </c>
      <c r="Q64">
        <f>IF(Clean_Data[[#This Row],[Order_Date]]="","",YEAR(Clean_Data[[#This Row],[Order_Date]]))</f>
        <v>2026</v>
      </c>
      <c r="R64" t="str">
        <f>TEXT(Clean_Data[[#This Row],[Order_Date]],"mmm")</f>
        <v>May</v>
      </c>
      <c r="S64" t="str">
        <f>TEXT(Clean_Data[[#This Row],[Order_Date]],"mmm-yy")</f>
        <v>May-26</v>
      </c>
      <c r="V64"/>
    </row>
    <row r="65" spans="1:22" x14ac:dyDescent="0.25">
      <c r="A65" t="s">
        <v>115</v>
      </c>
      <c r="B65" s="1">
        <v>45924</v>
      </c>
      <c r="C65" t="s">
        <v>48</v>
      </c>
      <c r="D65" t="s">
        <v>33</v>
      </c>
      <c r="E65" t="s">
        <v>49</v>
      </c>
      <c r="F65" t="s">
        <v>50</v>
      </c>
      <c r="G65">
        <v>13</v>
      </c>
      <c r="H65">
        <v>75000</v>
      </c>
      <c r="I65">
        <v>57988</v>
      </c>
      <c r="J65" t="s">
        <v>16</v>
      </c>
      <c r="K65" t="s">
        <v>23</v>
      </c>
      <c r="L65">
        <f>SUM(Clean_Data[[#This Row],[Units_Sold]]*Clean_Data[[#This Row],[Unit_Price]])</f>
        <v>975000</v>
      </c>
      <c r="M65">
        <f>Clean_Data[[#This Row],[Units_Sold]]*Clean_Data[[#This Row],[Cost_Price]]</f>
        <v>753844</v>
      </c>
      <c r="N65">
        <f>Clean_Data[[#This Row],[Total_Sales]]-Clean_Data[[#This Row],[Total_Cost]]</f>
        <v>221156</v>
      </c>
      <c r="O65" s="2">
        <f>Clean_Data[[#This Row],[Profit]]/Clean_Data[[#This Row],[Total_Sales]]</f>
        <v>0.22682666666666668</v>
      </c>
      <c r="P65" t="str">
        <f>_xlfn.XLOOKUP(Clean_Data[[#This Row],[Product_Code]],Product_Catalog!A:A,Product_Catalog!C:C)</f>
        <v>Electronics</v>
      </c>
      <c r="Q65">
        <f>IF(Clean_Data[[#This Row],[Order_Date]]="","",YEAR(Clean_Data[[#This Row],[Order_Date]]))</f>
        <v>2025</v>
      </c>
      <c r="R65" t="str">
        <f>TEXT(Clean_Data[[#This Row],[Order_Date]],"mmm")</f>
        <v>Sep</v>
      </c>
      <c r="S65" t="str">
        <f>TEXT(Clean_Data[[#This Row],[Order_Date]],"mmm-yy")</f>
        <v>Sep-25</v>
      </c>
      <c r="V65"/>
    </row>
    <row r="66" spans="1:22" x14ac:dyDescent="0.25">
      <c r="A66" t="s">
        <v>116</v>
      </c>
      <c r="B66" s="1">
        <v>46049</v>
      </c>
      <c r="C66" t="s">
        <v>12</v>
      </c>
      <c r="D66" t="s">
        <v>33</v>
      </c>
      <c r="E66" t="s">
        <v>20</v>
      </c>
      <c r="F66" t="s">
        <v>21</v>
      </c>
      <c r="G66">
        <v>5</v>
      </c>
      <c r="H66">
        <v>8500</v>
      </c>
      <c r="I66">
        <v>6394</v>
      </c>
      <c r="J66" t="s">
        <v>45</v>
      </c>
      <c r="K66" t="s">
        <v>23</v>
      </c>
      <c r="L66">
        <f>SUM(Clean_Data[[#This Row],[Units_Sold]]*Clean_Data[[#This Row],[Unit_Price]])</f>
        <v>42500</v>
      </c>
      <c r="M66">
        <f>Clean_Data[[#This Row],[Units_Sold]]*Clean_Data[[#This Row],[Cost_Price]]</f>
        <v>31970</v>
      </c>
      <c r="N66">
        <f>Clean_Data[[#This Row],[Total_Sales]]-Clean_Data[[#This Row],[Total_Cost]]</f>
        <v>10530</v>
      </c>
      <c r="O66" s="2">
        <f>Clean_Data[[#This Row],[Profit]]/Clean_Data[[#This Row],[Total_Sales]]</f>
        <v>0.24776470588235294</v>
      </c>
      <c r="P66" t="str">
        <f>_xlfn.XLOOKUP(Clean_Data[[#This Row],[Product_Code]],Product_Catalog!A:A,Product_Catalog!C:C)</f>
        <v>Accessories</v>
      </c>
      <c r="Q66">
        <f>IF(Clean_Data[[#This Row],[Order_Date]]="","",YEAR(Clean_Data[[#This Row],[Order_Date]]))</f>
        <v>2026</v>
      </c>
      <c r="R66" t="str">
        <f>TEXT(Clean_Data[[#This Row],[Order_Date]],"mmm")</f>
        <v>Jan</v>
      </c>
      <c r="S66" t="str">
        <f>TEXT(Clean_Data[[#This Row],[Order_Date]],"mmm-yy")</f>
        <v>Jan-26</v>
      </c>
      <c r="V66"/>
    </row>
    <row r="67" spans="1:22" x14ac:dyDescent="0.25">
      <c r="A67" t="s">
        <v>117</v>
      </c>
      <c r="B67" s="1">
        <v>46134</v>
      </c>
      <c r="C67" t="s">
        <v>73</v>
      </c>
      <c r="D67" t="s">
        <v>26</v>
      </c>
      <c r="E67" t="s">
        <v>66</v>
      </c>
      <c r="F67" t="s">
        <v>67</v>
      </c>
      <c r="G67">
        <v>15</v>
      </c>
      <c r="H67">
        <v>2500</v>
      </c>
      <c r="I67">
        <v>1740</v>
      </c>
      <c r="J67" t="s">
        <v>29</v>
      </c>
      <c r="K67" t="s">
        <v>17</v>
      </c>
      <c r="L67">
        <f>SUM(Clean_Data[[#This Row],[Units_Sold]]*Clean_Data[[#This Row],[Unit_Price]])</f>
        <v>37500</v>
      </c>
      <c r="M67">
        <f>Clean_Data[[#This Row],[Units_Sold]]*Clean_Data[[#This Row],[Cost_Price]]</f>
        <v>26100</v>
      </c>
      <c r="N67">
        <f>Clean_Data[[#This Row],[Total_Sales]]-Clean_Data[[#This Row],[Total_Cost]]</f>
        <v>11400</v>
      </c>
      <c r="O67" s="2">
        <f>Clean_Data[[#This Row],[Profit]]/Clean_Data[[#This Row],[Total_Sales]]</f>
        <v>0.30399999999999999</v>
      </c>
      <c r="P67" t="str">
        <f>_xlfn.XLOOKUP(Clean_Data[[#This Row],[Product_Code]],Product_Catalog!A:A,Product_Catalog!C:C)</f>
        <v>Electronics</v>
      </c>
      <c r="Q67">
        <f>IF(Clean_Data[[#This Row],[Order_Date]]="","",YEAR(Clean_Data[[#This Row],[Order_Date]]))</f>
        <v>2026</v>
      </c>
      <c r="R67" t="str">
        <f>TEXT(Clean_Data[[#This Row],[Order_Date]],"mmm")</f>
        <v>Apr</v>
      </c>
      <c r="S67" t="str">
        <f>TEXT(Clean_Data[[#This Row],[Order_Date]],"mmm-yy")</f>
        <v>Apr-26</v>
      </c>
      <c r="V67"/>
    </row>
    <row r="68" spans="1:22" x14ac:dyDescent="0.25">
      <c r="A68" t="s">
        <v>119</v>
      </c>
      <c r="B68" s="1">
        <v>45854</v>
      </c>
      <c r="C68" t="s">
        <v>19</v>
      </c>
      <c r="D68" t="s">
        <v>40</v>
      </c>
      <c r="E68" t="s">
        <v>37</v>
      </c>
      <c r="F68" t="s">
        <v>38</v>
      </c>
      <c r="G68">
        <v>2</v>
      </c>
      <c r="H68">
        <v>55000</v>
      </c>
      <c r="I68">
        <v>43496</v>
      </c>
      <c r="J68" t="s">
        <v>29</v>
      </c>
      <c r="K68" t="s">
        <v>46</v>
      </c>
      <c r="L68">
        <f>SUM(Clean_Data[[#This Row],[Units_Sold]]*Clean_Data[[#This Row],[Unit_Price]])</f>
        <v>110000</v>
      </c>
      <c r="M68">
        <f>Clean_Data[[#This Row],[Units_Sold]]*Clean_Data[[#This Row],[Cost_Price]]</f>
        <v>86992</v>
      </c>
      <c r="N68">
        <f>Clean_Data[[#This Row],[Total_Sales]]-Clean_Data[[#This Row],[Total_Cost]]</f>
        <v>23008</v>
      </c>
      <c r="O68" s="2">
        <f>Clean_Data[[#This Row],[Profit]]/Clean_Data[[#This Row],[Total_Sales]]</f>
        <v>0.20916363636363636</v>
      </c>
      <c r="P68" t="str">
        <f>_xlfn.XLOOKUP(Clean_Data[[#This Row],[Product_Code]],Product_Catalog!A:A,Product_Catalog!C:C)</f>
        <v>Electronics</v>
      </c>
      <c r="Q68">
        <f>IF(Clean_Data[[#This Row],[Order_Date]]="","",YEAR(Clean_Data[[#This Row],[Order_Date]]))</f>
        <v>2025</v>
      </c>
      <c r="R68" t="str">
        <f>TEXT(Clean_Data[[#This Row],[Order_Date]],"mmm")</f>
        <v>Jul</v>
      </c>
      <c r="S68" t="str">
        <f>TEXT(Clean_Data[[#This Row],[Order_Date]],"mmm-yy")</f>
        <v>Jul-25</v>
      </c>
      <c r="V68"/>
    </row>
    <row r="69" spans="1:22" x14ac:dyDescent="0.25">
      <c r="A69" t="s">
        <v>120</v>
      </c>
      <c r="B69" s="1">
        <v>46194</v>
      </c>
      <c r="C69" t="s">
        <v>62</v>
      </c>
      <c r="D69" t="s">
        <v>40</v>
      </c>
      <c r="E69" t="s">
        <v>37</v>
      </c>
      <c r="F69" t="s">
        <v>38</v>
      </c>
      <c r="G69">
        <v>2</v>
      </c>
      <c r="H69">
        <v>55000</v>
      </c>
      <c r="I69">
        <v>43601</v>
      </c>
      <c r="J69" t="s">
        <v>16</v>
      </c>
      <c r="K69" t="s">
        <v>23</v>
      </c>
      <c r="L69">
        <f>SUM(Clean_Data[[#This Row],[Units_Sold]]*Clean_Data[[#This Row],[Unit_Price]])</f>
        <v>110000</v>
      </c>
      <c r="M69">
        <f>Clean_Data[[#This Row],[Units_Sold]]*Clean_Data[[#This Row],[Cost_Price]]</f>
        <v>87202</v>
      </c>
      <c r="N69">
        <f>Clean_Data[[#This Row],[Total_Sales]]-Clean_Data[[#This Row],[Total_Cost]]</f>
        <v>22798</v>
      </c>
      <c r="O69" s="2">
        <f>Clean_Data[[#This Row],[Profit]]/Clean_Data[[#This Row],[Total_Sales]]</f>
        <v>0.20725454545454544</v>
      </c>
      <c r="P69" t="str">
        <f>_xlfn.XLOOKUP(Clean_Data[[#This Row],[Product_Code]],Product_Catalog!A:A,Product_Catalog!C:C)</f>
        <v>Electronics</v>
      </c>
      <c r="Q69">
        <f>IF(Clean_Data[[#This Row],[Order_Date]]="","",YEAR(Clean_Data[[#This Row],[Order_Date]]))</f>
        <v>2026</v>
      </c>
      <c r="R69" t="str">
        <f>TEXT(Clean_Data[[#This Row],[Order_Date]],"mmm")</f>
        <v>Jun</v>
      </c>
      <c r="S69" t="str">
        <f>TEXT(Clean_Data[[#This Row],[Order_Date]],"mmm-yy")</f>
        <v>Jun-26</v>
      </c>
      <c r="V69"/>
    </row>
    <row r="70" spans="1:22" x14ac:dyDescent="0.25">
      <c r="A70" t="s">
        <v>121</v>
      </c>
      <c r="B70" s="1">
        <v>46135</v>
      </c>
      <c r="C70" t="s">
        <v>19</v>
      </c>
      <c r="D70" t="s">
        <v>40</v>
      </c>
      <c r="E70" t="s">
        <v>27</v>
      </c>
      <c r="F70" t="s">
        <v>28</v>
      </c>
      <c r="G70">
        <v>2</v>
      </c>
      <c r="H70">
        <v>14000</v>
      </c>
      <c r="I70">
        <v>9284</v>
      </c>
      <c r="J70" t="s">
        <v>45</v>
      </c>
      <c r="K70" t="s">
        <v>23</v>
      </c>
      <c r="L70">
        <f>SUM(Clean_Data[[#This Row],[Units_Sold]]*Clean_Data[[#This Row],[Unit_Price]])</f>
        <v>28000</v>
      </c>
      <c r="M70">
        <f>Clean_Data[[#This Row],[Units_Sold]]*Clean_Data[[#This Row],[Cost_Price]]</f>
        <v>18568</v>
      </c>
      <c r="N70">
        <f>Clean_Data[[#This Row],[Total_Sales]]-Clean_Data[[#This Row],[Total_Cost]]</f>
        <v>9432</v>
      </c>
      <c r="O70" s="2">
        <f>Clean_Data[[#This Row],[Profit]]/Clean_Data[[#This Row],[Total_Sales]]</f>
        <v>0.33685714285714285</v>
      </c>
      <c r="P70" t="str">
        <f>_xlfn.XLOOKUP(Clean_Data[[#This Row],[Product_Code]],Product_Catalog!A:A,Product_Catalog!C:C)</f>
        <v>Furniture</v>
      </c>
      <c r="Q70">
        <f>IF(Clean_Data[[#This Row],[Order_Date]]="","",YEAR(Clean_Data[[#This Row],[Order_Date]]))</f>
        <v>2026</v>
      </c>
      <c r="R70" t="str">
        <f>TEXT(Clean_Data[[#This Row],[Order_Date]],"mmm")</f>
        <v>Apr</v>
      </c>
      <c r="S70" t="str">
        <f>TEXT(Clean_Data[[#This Row],[Order_Date]],"mmm-yy")</f>
        <v>Apr-26</v>
      </c>
      <c r="V70"/>
    </row>
    <row r="71" spans="1:22" x14ac:dyDescent="0.25">
      <c r="A71" t="s">
        <v>122</v>
      </c>
      <c r="B71" s="1">
        <v>45679</v>
      </c>
      <c r="C71" t="s">
        <v>62</v>
      </c>
      <c r="D71" t="s">
        <v>13</v>
      </c>
      <c r="E71" t="s">
        <v>27</v>
      </c>
      <c r="F71" t="s">
        <v>28</v>
      </c>
      <c r="G71">
        <v>5</v>
      </c>
      <c r="H71">
        <v>14000</v>
      </c>
      <c r="I71">
        <v>9260</v>
      </c>
      <c r="J71" t="s">
        <v>29</v>
      </c>
      <c r="K71" t="s">
        <v>17</v>
      </c>
      <c r="L71">
        <f>SUM(Clean_Data[[#This Row],[Units_Sold]]*Clean_Data[[#This Row],[Unit_Price]])</f>
        <v>70000</v>
      </c>
      <c r="M71">
        <f>Clean_Data[[#This Row],[Units_Sold]]*Clean_Data[[#This Row],[Cost_Price]]</f>
        <v>46300</v>
      </c>
      <c r="N71">
        <f>Clean_Data[[#This Row],[Total_Sales]]-Clean_Data[[#This Row],[Total_Cost]]</f>
        <v>23700</v>
      </c>
      <c r="O71" s="2">
        <f>Clean_Data[[#This Row],[Profit]]/Clean_Data[[#This Row],[Total_Sales]]</f>
        <v>0.33857142857142858</v>
      </c>
      <c r="P71" t="str">
        <f>_xlfn.XLOOKUP(Clean_Data[[#This Row],[Product_Code]],Product_Catalog!A:A,Product_Catalog!C:C)</f>
        <v>Furniture</v>
      </c>
      <c r="Q71">
        <f>IF(Clean_Data[[#This Row],[Order_Date]]="","",YEAR(Clean_Data[[#This Row],[Order_Date]]))</f>
        <v>2025</v>
      </c>
      <c r="R71" t="str">
        <f>TEXT(Clean_Data[[#This Row],[Order_Date]],"mmm")</f>
        <v>Jan</v>
      </c>
      <c r="S71" t="str">
        <f>TEXT(Clean_Data[[#This Row],[Order_Date]],"mmm-yy")</f>
        <v>Jan-25</v>
      </c>
      <c r="V71"/>
    </row>
    <row r="72" spans="1:22" x14ac:dyDescent="0.25">
      <c r="A72" t="s">
        <v>123</v>
      </c>
      <c r="B72" s="1">
        <v>46181</v>
      </c>
      <c r="C72" t="s">
        <v>31</v>
      </c>
      <c r="D72" t="s">
        <v>36</v>
      </c>
      <c r="E72" t="s">
        <v>66</v>
      </c>
      <c r="F72" t="s">
        <v>67</v>
      </c>
      <c r="G72">
        <v>18</v>
      </c>
      <c r="H72">
        <v>2500</v>
      </c>
      <c r="I72">
        <v>1590</v>
      </c>
      <c r="J72" t="s">
        <v>45</v>
      </c>
      <c r="K72" t="s">
        <v>17</v>
      </c>
      <c r="L72">
        <f>SUM(Clean_Data[[#This Row],[Units_Sold]]*Clean_Data[[#This Row],[Unit_Price]])</f>
        <v>45000</v>
      </c>
      <c r="M72">
        <f>Clean_Data[[#This Row],[Units_Sold]]*Clean_Data[[#This Row],[Cost_Price]]</f>
        <v>28620</v>
      </c>
      <c r="N72">
        <f>Clean_Data[[#This Row],[Total_Sales]]-Clean_Data[[#This Row],[Total_Cost]]</f>
        <v>16380</v>
      </c>
      <c r="O72" s="2">
        <f>Clean_Data[[#This Row],[Profit]]/Clean_Data[[#This Row],[Total_Sales]]</f>
        <v>0.36399999999999999</v>
      </c>
      <c r="P72" t="str">
        <f>_xlfn.XLOOKUP(Clean_Data[[#This Row],[Product_Code]],Product_Catalog!A:A,Product_Catalog!C:C)</f>
        <v>Electronics</v>
      </c>
      <c r="Q72">
        <f>IF(Clean_Data[[#This Row],[Order_Date]]="","",YEAR(Clean_Data[[#This Row],[Order_Date]]))</f>
        <v>2026</v>
      </c>
      <c r="R72" t="str">
        <f>TEXT(Clean_Data[[#This Row],[Order_Date]],"mmm")</f>
        <v>Jun</v>
      </c>
      <c r="S72" t="str">
        <f>TEXT(Clean_Data[[#This Row],[Order_Date]],"mmm-yy")</f>
        <v>Jun-26</v>
      </c>
      <c r="V72"/>
    </row>
    <row r="73" spans="1:22" x14ac:dyDescent="0.25">
      <c r="A73" t="s">
        <v>124</v>
      </c>
      <c r="B73" s="1">
        <v>46181</v>
      </c>
      <c r="C73" t="s">
        <v>44</v>
      </c>
      <c r="D73" t="s">
        <v>40</v>
      </c>
      <c r="E73" t="s">
        <v>37</v>
      </c>
      <c r="F73" t="s">
        <v>38</v>
      </c>
      <c r="G73">
        <v>9</v>
      </c>
      <c r="H73">
        <v>55000</v>
      </c>
      <c r="I73">
        <v>41193</v>
      </c>
      <c r="J73" t="s">
        <v>45</v>
      </c>
      <c r="K73" t="s">
        <v>17</v>
      </c>
      <c r="L73">
        <f>SUM(Clean_Data[[#This Row],[Units_Sold]]*Clean_Data[[#This Row],[Unit_Price]])</f>
        <v>495000</v>
      </c>
      <c r="M73">
        <f>Clean_Data[[#This Row],[Units_Sold]]*Clean_Data[[#This Row],[Cost_Price]]</f>
        <v>370737</v>
      </c>
      <c r="N73">
        <f>Clean_Data[[#This Row],[Total_Sales]]-Clean_Data[[#This Row],[Total_Cost]]</f>
        <v>124263</v>
      </c>
      <c r="O73" s="2">
        <f>Clean_Data[[#This Row],[Profit]]/Clean_Data[[#This Row],[Total_Sales]]</f>
        <v>0.25103636363636361</v>
      </c>
      <c r="P73" t="str">
        <f>_xlfn.XLOOKUP(Clean_Data[[#This Row],[Product_Code]],Product_Catalog!A:A,Product_Catalog!C:C)</f>
        <v>Electronics</v>
      </c>
      <c r="Q73">
        <f>IF(Clean_Data[[#This Row],[Order_Date]]="","",YEAR(Clean_Data[[#This Row],[Order_Date]]))</f>
        <v>2026</v>
      </c>
      <c r="R73" t="str">
        <f>TEXT(Clean_Data[[#This Row],[Order_Date]],"mmm")</f>
        <v>Jun</v>
      </c>
      <c r="S73" t="str">
        <f>TEXT(Clean_Data[[#This Row],[Order_Date]],"mmm-yy")</f>
        <v>Jun-26</v>
      </c>
      <c r="V73"/>
    </row>
    <row r="74" spans="1:22" x14ac:dyDescent="0.25">
      <c r="A74" t="s">
        <v>125</v>
      </c>
      <c r="B74" s="1">
        <v>46101</v>
      </c>
      <c r="C74" t="s">
        <v>12</v>
      </c>
      <c r="D74" t="s">
        <v>13</v>
      </c>
      <c r="E74" t="s">
        <v>63</v>
      </c>
      <c r="F74" t="s">
        <v>59</v>
      </c>
      <c r="G74">
        <v>6</v>
      </c>
      <c r="H74">
        <v>4500</v>
      </c>
      <c r="I74">
        <v>2975</v>
      </c>
      <c r="J74" t="s">
        <v>29</v>
      </c>
      <c r="K74" t="s">
        <v>23</v>
      </c>
      <c r="L74">
        <f>SUM(Clean_Data[[#This Row],[Units_Sold]]*Clean_Data[[#This Row],[Unit_Price]])</f>
        <v>27000</v>
      </c>
      <c r="M74">
        <f>Clean_Data[[#This Row],[Units_Sold]]*Clean_Data[[#This Row],[Cost_Price]]</f>
        <v>17850</v>
      </c>
      <c r="N74">
        <f>Clean_Data[[#This Row],[Total_Sales]]-Clean_Data[[#This Row],[Total_Cost]]</f>
        <v>9150</v>
      </c>
      <c r="O74" s="2">
        <f>Clean_Data[[#This Row],[Profit]]/Clean_Data[[#This Row],[Total_Sales]]</f>
        <v>0.33888888888888891</v>
      </c>
      <c r="P74" t="str">
        <f>_xlfn.XLOOKUP(Clean_Data[[#This Row],[Product_Code]],Product_Catalog!A:A,Product_Catalog!C:C)</f>
        <v>Electronics</v>
      </c>
      <c r="Q74">
        <f>IF(Clean_Data[[#This Row],[Order_Date]]="","",YEAR(Clean_Data[[#This Row],[Order_Date]]))</f>
        <v>2026</v>
      </c>
      <c r="R74" t="str">
        <f>TEXT(Clean_Data[[#This Row],[Order_Date]],"mmm")</f>
        <v>Mar</v>
      </c>
      <c r="S74" t="str">
        <f>TEXT(Clean_Data[[#This Row],[Order_Date]],"mmm-yy")</f>
        <v>Mar-26</v>
      </c>
      <c r="V74"/>
    </row>
    <row r="75" spans="1:22" x14ac:dyDescent="0.25">
      <c r="A75" t="s">
        <v>126</v>
      </c>
      <c r="B75" s="1">
        <v>46030</v>
      </c>
      <c r="C75" t="s">
        <v>48</v>
      </c>
      <c r="D75" t="s">
        <v>13</v>
      </c>
      <c r="E75" t="s">
        <v>63</v>
      </c>
      <c r="F75" t="s">
        <v>59</v>
      </c>
      <c r="G75">
        <v>14</v>
      </c>
      <c r="H75">
        <v>4500</v>
      </c>
      <c r="I75">
        <v>3314</v>
      </c>
      <c r="J75" t="s">
        <v>22</v>
      </c>
      <c r="K75" t="s">
        <v>46</v>
      </c>
      <c r="L75">
        <f>SUM(Clean_Data[[#This Row],[Units_Sold]]*Clean_Data[[#This Row],[Unit_Price]])</f>
        <v>63000</v>
      </c>
      <c r="M75">
        <f>Clean_Data[[#This Row],[Units_Sold]]*Clean_Data[[#This Row],[Cost_Price]]</f>
        <v>46396</v>
      </c>
      <c r="N75">
        <f>Clean_Data[[#This Row],[Total_Sales]]-Clean_Data[[#This Row],[Total_Cost]]</f>
        <v>16604</v>
      </c>
      <c r="O75" s="2">
        <f>Clean_Data[[#This Row],[Profit]]/Clean_Data[[#This Row],[Total_Sales]]</f>
        <v>0.26355555555555554</v>
      </c>
      <c r="P75" t="str">
        <f>_xlfn.XLOOKUP(Clean_Data[[#This Row],[Product_Code]],Product_Catalog!A:A,Product_Catalog!C:C)</f>
        <v>Electronics</v>
      </c>
      <c r="Q75">
        <f>IF(Clean_Data[[#This Row],[Order_Date]]="","",YEAR(Clean_Data[[#This Row],[Order_Date]]))</f>
        <v>2026</v>
      </c>
      <c r="R75" t="str">
        <f>TEXT(Clean_Data[[#This Row],[Order_Date]],"mmm")</f>
        <v>Jan</v>
      </c>
      <c r="S75" t="str">
        <f>TEXT(Clean_Data[[#This Row],[Order_Date]],"mmm-yy")</f>
        <v>Jan-26</v>
      </c>
      <c r="V75"/>
    </row>
    <row r="76" spans="1:22" x14ac:dyDescent="0.25">
      <c r="A76" t="s">
        <v>127</v>
      </c>
      <c r="B76" s="1">
        <v>46251</v>
      </c>
      <c r="C76" t="s">
        <v>62</v>
      </c>
      <c r="D76" t="s">
        <v>33</v>
      </c>
      <c r="E76" t="s">
        <v>20</v>
      </c>
      <c r="F76" t="s">
        <v>21</v>
      </c>
      <c r="G76">
        <v>7</v>
      </c>
      <c r="H76">
        <v>8500</v>
      </c>
      <c r="I76">
        <v>6109</v>
      </c>
      <c r="J76" t="s">
        <v>16</v>
      </c>
      <c r="K76" t="s">
        <v>46</v>
      </c>
      <c r="L76">
        <f>SUM(Clean_Data[[#This Row],[Units_Sold]]*Clean_Data[[#This Row],[Unit_Price]])</f>
        <v>59500</v>
      </c>
      <c r="M76">
        <f>Clean_Data[[#This Row],[Units_Sold]]*Clean_Data[[#This Row],[Cost_Price]]</f>
        <v>42763</v>
      </c>
      <c r="N76">
        <f>Clean_Data[[#This Row],[Total_Sales]]-Clean_Data[[#This Row],[Total_Cost]]</f>
        <v>16737</v>
      </c>
      <c r="O76" s="2">
        <f>Clean_Data[[#This Row],[Profit]]/Clean_Data[[#This Row],[Total_Sales]]</f>
        <v>0.28129411764705881</v>
      </c>
      <c r="P76" t="str">
        <f>_xlfn.XLOOKUP(Clean_Data[[#This Row],[Product_Code]],Product_Catalog!A:A,Product_Catalog!C:C)</f>
        <v>Accessories</v>
      </c>
      <c r="Q76">
        <f>IF(Clean_Data[[#This Row],[Order_Date]]="","",YEAR(Clean_Data[[#This Row],[Order_Date]]))</f>
        <v>2026</v>
      </c>
      <c r="R76" t="str">
        <f>TEXT(Clean_Data[[#This Row],[Order_Date]],"mmm")</f>
        <v>Aug</v>
      </c>
      <c r="S76" t="str">
        <f>TEXT(Clean_Data[[#This Row],[Order_Date]],"mmm-yy")</f>
        <v>Aug-26</v>
      </c>
      <c r="V76"/>
    </row>
    <row r="77" spans="1:22" x14ac:dyDescent="0.25">
      <c r="A77" t="s">
        <v>128</v>
      </c>
      <c r="B77" s="1">
        <v>46040</v>
      </c>
      <c r="C77" t="s">
        <v>53</v>
      </c>
      <c r="D77" t="s">
        <v>13</v>
      </c>
      <c r="E77" t="s">
        <v>55</v>
      </c>
      <c r="F77" t="s">
        <v>34</v>
      </c>
      <c r="G77">
        <v>1</v>
      </c>
      <c r="H77">
        <v>35000</v>
      </c>
      <c r="I77">
        <v>26990</v>
      </c>
      <c r="J77" t="s">
        <v>29</v>
      </c>
      <c r="K77" t="s">
        <v>23</v>
      </c>
      <c r="L77">
        <f>SUM(Clean_Data[[#This Row],[Units_Sold]]*Clean_Data[[#This Row],[Unit_Price]])</f>
        <v>35000</v>
      </c>
      <c r="M77">
        <f>Clean_Data[[#This Row],[Units_Sold]]*Clean_Data[[#This Row],[Cost_Price]]</f>
        <v>26990</v>
      </c>
      <c r="N77">
        <f>Clean_Data[[#This Row],[Total_Sales]]-Clean_Data[[#This Row],[Total_Cost]]</f>
        <v>8010</v>
      </c>
      <c r="O77" s="2">
        <f>Clean_Data[[#This Row],[Profit]]/Clean_Data[[#This Row],[Total_Sales]]</f>
        <v>0.22885714285714287</v>
      </c>
      <c r="P77" t="str">
        <f>_xlfn.XLOOKUP(Clean_Data[[#This Row],[Product_Code]],Product_Catalog!A:A,Product_Catalog!C:C)</f>
        <v>Furniture</v>
      </c>
      <c r="Q77">
        <f>IF(Clean_Data[[#This Row],[Order_Date]]="","",YEAR(Clean_Data[[#This Row],[Order_Date]]))</f>
        <v>2026</v>
      </c>
      <c r="R77" t="str">
        <f>TEXT(Clean_Data[[#This Row],[Order_Date]],"mmm")</f>
        <v>Jan</v>
      </c>
      <c r="S77" t="str">
        <f>TEXT(Clean_Data[[#This Row],[Order_Date]],"mmm-yy")</f>
        <v>Jan-26</v>
      </c>
      <c r="V77"/>
    </row>
    <row r="78" spans="1:22" x14ac:dyDescent="0.25">
      <c r="A78" t="s">
        <v>129</v>
      </c>
      <c r="B78" s="1">
        <v>46240</v>
      </c>
      <c r="C78" t="s">
        <v>48</v>
      </c>
      <c r="D78" t="s">
        <v>40</v>
      </c>
      <c r="E78" t="s">
        <v>63</v>
      </c>
      <c r="F78" t="s">
        <v>59</v>
      </c>
      <c r="G78">
        <v>8</v>
      </c>
      <c r="H78">
        <v>4500</v>
      </c>
      <c r="I78">
        <v>3388</v>
      </c>
      <c r="J78" t="s">
        <v>45</v>
      </c>
      <c r="K78" t="s">
        <v>17</v>
      </c>
      <c r="L78">
        <f>SUM(Clean_Data[[#This Row],[Units_Sold]]*Clean_Data[[#This Row],[Unit_Price]])</f>
        <v>36000</v>
      </c>
      <c r="M78">
        <f>Clean_Data[[#This Row],[Units_Sold]]*Clean_Data[[#This Row],[Cost_Price]]</f>
        <v>27104</v>
      </c>
      <c r="N78">
        <f>Clean_Data[[#This Row],[Total_Sales]]-Clean_Data[[#This Row],[Total_Cost]]</f>
        <v>8896</v>
      </c>
      <c r="O78" s="2">
        <f>Clean_Data[[#This Row],[Profit]]/Clean_Data[[#This Row],[Total_Sales]]</f>
        <v>0.24711111111111111</v>
      </c>
      <c r="P78" t="str">
        <f>_xlfn.XLOOKUP(Clean_Data[[#This Row],[Product_Code]],Product_Catalog!A:A,Product_Catalog!C:C)</f>
        <v>Electronics</v>
      </c>
      <c r="Q78">
        <f>IF(Clean_Data[[#This Row],[Order_Date]]="","",YEAR(Clean_Data[[#This Row],[Order_Date]]))</f>
        <v>2026</v>
      </c>
      <c r="R78" t="str">
        <f>TEXT(Clean_Data[[#This Row],[Order_Date]],"mmm")</f>
        <v>Aug</v>
      </c>
      <c r="S78" t="str">
        <f>TEXT(Clean_Data[[#This Row],[Order_Date]],"mmm-yy")</f>
        <v>Aug-26</v>
      </c>
      <c r="V78"/>
    </row>
    <row r="79" spans="1:22" x14ac:dyDescent="0.25">
      <c r="A79" t="s">
        <v>130</v>
      </c>
      <c r="B79" s="1">
        <v>46103</v>
      </c>
      <c r="C79" t="s">
        <v>25</v>
      </c>
      <c r="D79" t="s">
        <v>26</v>
      </c>
      <c r="E79" t="s">
        <v>66</v>
      </c>
      <c r="F79" t="s">
        <v>67</v>
      </c>
      <c r="G79">
        <v>8</v>
      </c>
      <c r="H79">
        <v>2500</v>
      </c>
      <c r="I79">
        <v>1931</v>
      </c>
      <c r="J79" t="s">
        <v>22</v>
      </c>
      <c r="K79" t="s">
        <v>23</v>
      </c>
      <c r="L79">
        <f>SUM(Clean_Data[[#This Row],[Units_Sold]]*Clean_Data[[#This Row],[Unit_Price]])</f>
        <v>20000</v>
      </c>
      <c r="M79">
        <f>Clean_Data[[#This Row],[Units_Sold]]*Clean_Data[[#This Row],[Cost_Price]]</f>
        <v>15448</v>
      </c>
      <c r="N79">
        <f>Clean_Data[[#This Row],[Total_Sales]]-Clean_Data[[#This Row],[Total_Cost]]</f>
        <v>4552</v>
      </c>
      <c r="O79" s="2">
        <f>Clean_Data[[#This Row],[Profit]]/Clean_Data[[#This Row],[Total_Sales]]</f>
        <v>0.2276</v>
      </c>
      <c r="P79" t="str">
        <f>_xlfn.XLOOKUP(Clean_Data[[#This Row],[Product_Code]],Product_Catalog!A:A,Product_Catalog!C:C)</f>
        <v>Electronics</v>
      </c>
      <c r="Q79">
        <f>IF(Clean_Data[[#This Row],[Order_Date]]="","",YEAR(Clean_Data[[#This Row],[Order_Date]]))</f>
        <v>2026</v>
      </c>
      <c r="R79" t="str">
        <f>TEXT(Clean_Data[[#This Row],[Order_Date]],"mmm")</f>
        <v>Mar</v>
      </c>
      <c r="S79" t="str">
        <f>TEXT(Clean_Data[[#This Row],[Order_Date]],"mmm-yy")</f>
        <v>Mar-26</v>
      </c>
      <c r="V79"/>
    </row>
    <row r="80" spans="1:22" x14ac:dyDescent="0.25">
      <c r="A80" t="s">
        <v>131</v>
      </c>
      <c r="B80" s="1">
        <v>46055</v>
      </c>
      <c r="C80" t="s">
        <v>53</v>
      </c>
      <c r="D80" t="s">
        <v>13</v>
      </c>
      <c r="E80" t="s">
        <v>55</v>
      </c>
      <c r="F80" t="s">
        <v>34</v>
      </c>
      <c r="G80">
        <v>7</v>
      </c>
      <c r="H80">
        <v>35000</v>
      </c>
      <c r="I80">
        <v>27748</v>
      </c>
      <c r="J80" t="s">
        <v>22</v>
      </c>
      <c r="K80" t="s">
        <v>17</v>
      </c>
      <c r="L80">
        <f>SUM(Clean_Data[[#This Row],[Units_Sold]]*Clean_Data[[#This Row],[Unit_Price]])</f>
        <v>245000</v>
      </c>
      <c r="M80">
        <f>Clean_Data[[#This Row],[Units_Sold]]*Clean_Data[[#This Row],[Cost_Price]]</f>
        <v>194236</v>
      </c>
      <c r="N80">
        <f>Clean_Data[[#This Row],[Total_Sales]]-Clean_Data[[#This Row],[Total_Cost]]</f>
        <v>50764</v>
      </c>
      <c r="O80" s="2">
        <f>Clean_Data[[#This Row],[Profit]]/Clean_Data[[#This Row],[Total_Sales]]</f>
        <v>0.2072</v>
      </c>
      <c r="P80" t="str">
        <f>_xlfn.XLOOKUP(Clean_Data[[#This Row],[Product_Code]],Product_Catalog!A:A,Product_Catalog!C:C)</f>
        <v>Furniture</v>
      </c>
      <c r="Q80">
        <f>IF(Clean_Data[[#This Row],[Order_Date]]="","",YEAR(Clean_Data[[#This Row],[Order_Date]]))</f>
        <v>2026</v>
      </c>
      <c r="R80" t="str">
        <f>TEXT(Clean_Data[[#This Row],[Order_Date]],"mmm")</f>
        <v>Feb</v>
      </c>
      <c r="S80" t="str">
        <f>TEXT(Clean_Data[[#This Row],[Order_Date]],"mmm-yy")</f>
        <v>Feb-26</v>
      </c>
      <c r="V80"/>
    </row>
    <row r="81" spans="1:22" x14ac:dyDescent="0.25">
      <c r="A81" t="s">
        <v>132</v>
      </c>
      <c r="B81" s="1">
        <v>45973</v>
      </c>
      <c r="C81" t="s">
        <v>12</v>
      </c>
      <c r="D81" t="s">
        <v>40</v>
      </c>
      <c r="E81" t="s">
        <v>41</v>
      </c>
      <c r="F81" t="s">
        <v>42</v>
      </c>
      <c r="G81">
        <v>13</v>
      </c>
      <c r="H81">
        <v>28000</v>
      </c>
      <c r="I81">
        <v>20663</v>
      </c>
      <c r="J81" t="s">
        <v>29</v>
      </c>
      <c r="K81" t="s">
        <v>17</v>
      </c>
      <c r="L81">
        <f>SUM(Clean_Data[[#This Row],[Units_Sold]]*Clean_Data[[#This Row],[Unit_Price]])</f>
        <v>364000</v>
      </c>
      <c r="M81">
        <f>Clean_Data[[#This Row],[Units_Sold]]*Clean_Data[[#This Row],[Cost_Price]]</f>
        <v>268619</v>
      </c>
      <c r="N81">
        <f>Clean_Data[[#This Row],[Total_Sales]]-Clean_Data[[#This Row],[Total_Cost]]</f>
        <v>95381</v>
      </c>
      <c r="O81" s="2">
        <f>Clean_Data[[#This Row],[Profit]]/Clean_Data[[#This Row],[Total_Sales]]</f>
        <v>0.26203571428571426</v>
      </c>
      <c r="P81" t="str">
        <f>_xlfn.XLOOKUP(Clean_Data[[#This Row],[Product_Code]],Product_Catalog!A:A,Product_Catalog!C:C)</f>
        <v>Electronics</v>
      </c>
      <c r="Q81">
        <f>IF(Clean_Data[[#This Row],[Order_Date]]="","",YEAR(Clean_Data[[#This Row],[Order_Date]]))</f>
        <v>2025</v>
      </c>
      <c r="R81" t="str">
        <f>TEXT(Clean_Data[[#This Row],[Order_Date]],"mmm")</f>
        <v>Nov</v>
      </c>
      <c r="S81" t="str">
        <f>TEXT(Clean_Data[[#This Row],[Order_Date]],"mmm-yy")</f>
        <v>Nov-25</v>
      </c>
      <c r="V81"/>
    </row>
    <row r="82" spans="1:22" x14ac:dyDescent="0.25">
      <c r="A82" t="s">
        <v>133</v>
      </c>
      <c r="B82" s="1">
        <v>46081</v>
      </c>
      <c r="C82" t="s">
        <v>48</v>
      </c>
      <c r="D82" t="s">
        <v>13</v>
      </c>
      <c r="E82" t="s">
        <v>27</v>
      </c>
      <c r="F82" t="s">
        <v>28</v>
      </c>
      <c r="G82">
        <v>1</v>
      </c>
      <c r="H82">
        <v>14000</v>
      </c>
      <c r="I82">
        <v>9301</v>
      </c>
      <c r="J82" t="s">
        <v>22</v>
      </c>
      <c r="K82" t="s">
        <v>23</v>
      </c>
      <c r="L82">
        <f>SUM(Clean_Data[[#This Row],[Units_Sold]]*Clean_Data[[#This Row],[Unit_Price]])</f>
        <v>14000</v>
      </c>
      <c r="M82">
        <f>Clean_Data[[#This Row],[Units_Sold]]*Clean_Data[[#This Row],[Cost_Price]]</f>
        <v>9301</v>
      </c>
      <c r="N82">
        <f>Clean_Data[[#This Row],[Total_Sales]]-Clean_Data[[#This Row],[Total_Cost]]</f>
        <v>4699</v>
      </c>
      <c r="O82" s="2">
        <f>Clean_Data[[#This Row],[Profit]]/Clean_Data[[#This Row],[Total_Sales]]</f>
        <v>0.33564285714285713</v>
      </c>
      <c r="P82" t="str">
        <f>_xlfn.XLOOKUP(Clean_Data[[#This Row],[Product_Code]],Product_Catalog!A:A,Product_Catalog!C:C)</f>
        <v>Furniture</v>
      </c>
      <c r="Q82">
        <f>IF(Clean_Data[[#This Row],[Order_Date]]="","",YEAR(Clean_Data[[#This Row],[Order_Date]]))</f>
        <v>2026</v>
      </c>
      <c r="R82" t="str">
        <f>TEXT(Clean_Data[[#This Row],[Order_Date]],"mmm")</f>
        <v>Feb</v>
      </c>
      <c r="S82" t="str">
        <f>TEXT(Clean_Data[[#This Row],[Order_Date]],"mmm-yy")</f>
        <v>Feb-26</v>
      </c>
      <c r="V82"/>
    </row>
    <row r="83" spans="1:22" x14ac:dyDescent="0.25">
      <c r="A83" t="s">
        <v>134</v>
      </c>
      <c r="B83" s="1">
        <v>46034</v>
      </c>
      <c r="C83" t="s">
        <v>53</v>
      </c>
      <c r="D83" t="s">
        <v>40</v>
      </c>
      <c r="E83" t="s">
        <v>55</v>
      </c>
      <c r="F83" t="s">
        <v>34</v>
      </c>
      <c r="G83">
        <v>5</v>
      </c>
      <c r="H83">
        <v>35000</v>
      </c>
      <c r="I83">
        <v>22780</v>
      </c>
      <c r="J83" t="s">
        <v>29</v>
      </c>
      <c r="K83" t="s">
        <v>23</v>
      </c>
      <c r="L83">
        <f>SUM(Clean_Data[[#This Row],[Units_Sold]]*Clean_Data[[#This Row],[Unit_Price]])</f>
        <v>175000</v>
      </c>
      <c r="M83">
        <f>Clean_Data[[#This Row],[Units_Sold]]*Clean_Data[[#This Row],[Cost_Price]]</f>
        <v>113900</v>
      </c>
      <c r="N83">
        <f>Clean_Data[[#This Row],[Total_Sales]]-Clean_Data[[#This Row],[Total_Cost]]</f>
        <v>61100</v>
      </c>
      <c r="O83" s="2">
        <f>Clean_Data[[#This Row],[Profit]]/Clean_Data[[#This Row],[Total_Sales]]</f>
        <v>0.34914285714285714</v>
      </c>
      <c r="P83" t="str">
        <f>_xlfn.XLOOKUP(Clean_Data[[#This Row],[Product_Code]],Product_Catalog!A:A,Product_Catalog!C:C)</f>
        <v>Furniture</v>
      </c>
      <c r="Q83">
        <f>IF(Clean_Data[[#This Row],[Order_Date]]="","",YEAR(Clean_Data[[#This Row],[Order_Date]]))</f>
        <v>2026</v>
      </c>
      <c r="R83" t="str">
        <f>TEXT(Clean_Data[[#This Row],[Order_Date]],"mmm")</f>
        <v>Jan</v>
      </c>
      <c r="S83" t="str">
        <f>TEXT(Clean_Data[[#This Row],[Order_Date]],"mmm-yy")</f>
        <v>Jan-26</v>
      </c>
      <c r="V83"/>
    </row>
    <row r="84" spans="1:22" x14ac:dyDescent="0.25">
      <c r="A84" t="s">
        <v>135</v>
      </c>
      <c r="B84" s="1">
        <v>46239</v>
      </c>
      <c r="C84" t="s">
        <v>44</v>
      </c>
      <c r="D84" t="s">
        <v>26</v>
      </c>
      <c r="E84" t="s">
        <v>37</v>
      </c>
      <c r="F84" t="s">
        <v>38</v>
      </c>
      <c r="G84">
        <v>17</v>
      </c>
      <c r="H84">
        <v>55000</v>
      </c>
      <c r="I84">
        <v>35758</v>
      </c>
      <c r="J84" t="s">
        <v>45</v>
      </c>
      <c r="K84" t="s">
        <v>23</v>
      </c>
      <c r="L84">
        <f>SUM(Clean_Data[[#This Row],[Units_Sold]]*Clean_Data[[#This Row],[Unit_Price]])</f>
        <v>935000</v>
      </c>
      <c r="M84">
        <f>Clean_Data[[#This Row],[Units_Sold]]*Clean_Data[[#This Row],[Cost_Price]]</f>
        <v>607886</v>
      </c>
      <c r="N84">
        <f>Clean_Data[[#This Row],[Total_Sales]]-Clean_Data[[#This Row],[Total_Cost]]</f>
        <v>327114</v>
      </c>
      <c r="O84" s="2">
        <f>Clean_Data[[#This Row],[Profit]]/Clean_Data[[#This Row],[Total_Sales]]</f>
        <v>0.34985454545454547</v>
      </c>
      <c r="P84" t="str">
        <f>_xlfn.XLOOKUP(Clean_Data[[#This Row],[Product_Code]],Product_Catalog!A:A,Product_Catalog!C:C)</f>
        <v>Electronics</v>
      </c>
      <c r="Q84">
        <f>IF(Clean_Data[[#This Row],[Order_Date]]="","",YEAR(Clean_Data[[#This Row],[Order_Date]]))</f>
        <v>2026</v>
      </c>
      <c r="R84" t="str">
        <f>TEXT(Clean_Data[[#This Row],[Order_Date]],"mmm")</f>
        <v>Aug</v>
      </c>
      <c r="S84" t="str">
        <f>TEXT(Clean_Data[[#This Row],[Order_Date]],"mmm-yy")</f>
        <v>Aug-26</v>
      </c>
      <c r="V84"/>
    </row>
    <row r="85" spans="1:22" x14ac:dyDescent="0.25">
      <c r="A85" t="s">
        <v>136</v>
      </c>
      <c r="B85" s="1">
        <v>46146</v>
      </c>
      <c r="C85" t="s">
        <v>19</v>
      </c>
      <c r="D85" t="s">
        <v>33</v>
      </c>
      <c r="E85" t="s">
        <v>63</v>
      </c>
      <c r="F85" t="s">
        <v>59</v>
      </c>
      <c r="G85">
        <v>2</v>
      </c>
      <c r="H85">
        <v>4500</v>
      </c>
      <c r="I85">
        <v>3481</v>
      </c>
      <c r="J85" t="s">
        <v>22</v>
      </c>
      <c r="K85" t="s">
        <v>23</v>
      </c>
      <c r="L85">
        <f>SUM(Clean_Data[[#This Row],[Units_Sold]]*Clean_Data[[#This Row],[Unit_Price]])</f>
        <v>9000</v>
      </c>
      <c r="M85">
        <f>Clean_Data[[#This Row],[Units_Sold]]*Clean_Data[[#This Row],[Cost_Price]]</f>
        <v>6962</v>
      </c>
      <c r="N85">
        <f>Clean_Data[[#This Row],[Total_Sales]]-Clean_Data[[#This Row],[Total_Cost]]</f>
        <v>2038</v>
      </c>
      <c r="O85" s="2">
        <f>Clean_Data[[#This Row],[Profit]]/Clean_Data[[#This Row],[Total_Sales]]</f>
        <v>0.22644444444444445</v>
      </c>
      <c r="P85" t="str">
        <f>_xlfn.XLOOKUP(Clean_Data[[#This Row],[Product_Code]],Product_Catalog!A:A,Product_Catalog!C:C)</f>
        <v>Electronics</v>
      </c>
      <c r="Q85">
        <f>IF(Clean_Data[[#This Row],[Order_Date]]="","",YEAR(Clean_Data[[#This Row],[Order_Date]]))</f>
        <v>2026</v>
      </c>
      <c r="R85" t="str">
        <f>TEXT(Clean_Data[[#This Row],[Order_Date]],"mmm")</f>
        <v>May</v>
      </c>
      <c r="S85" t="str">
        <f>TEXT(Clean_Data[[#This Row],[Order_Date]],"mmm-yy")</f>
        <v>May-26</v>
      </c>
      <c r="V85"/>
    </row>
    <row r="86" spans="1:22" x14ac:dyDescent="0.25">
      <c r="A86" t="s">
        <v>137</v>
      </c>
      <c r="B86" s="1">
        <v>46197</v>
      </c>
      <c r="C86" t="s">
        <v>12</v>
      </c>
      <c r="D86" t="s">
        <v>13</v>
      </c>
      <c r="E86" t="s">
        <v>27</v>
      </c>
      <c r="F86" t="s">
        <v>28</v>
      </c>
      <c r="G86">
        <v>1</v>
      </c>
      <c r="H86">
        <v>14000</v>
      </c>
      <c r="I86">
        <v>9948</v>
      </c>
      <c r="J86" t="s">
        <v>29</v>
      </c>
      <c r="K86" t="s">
        <v>17</v>
      </c>
      <c r="L86">
        <f>SUM(Clean_Data[[#This Row],[Units_Sold]]*Clean_Data[[#This Row],[Unit_Price]])</f>
        <v>14000</v>
      </c>
      <c r="M86">
        <f>Clean_Data[[#This Row],[Units_Sold]]*Clean_Data[[#This Row],[Cost_Price]]</f>
        <v>9948</v>
      </c>
      <c r="N86">
        <f>Clean_Data[[#This Row],[Total_Sales]]-Clean_Data[[#This Row],[Total_Cost]]</f>
        <v>4052</v>
      </c>
      <c r="O86" s="2">
        <f>Clean_Data[[#This Row],[Profit]]/Clean_Data[[#This Row],[Total_Sales]]</f>
        <v>0.28942857142857142</v>
      </c>
      <c r="P86" t="str">
        <f>_xlfn.XLOOKUP(Clean_Data[[#This Row],[Product_Code]],Product_Catalog!A:A,Product_Catalog!C:C)</f>
        <v>Furniture</v>
      </c>
      <c r="Q86">
        <f>IF(Clean_Data[[#This Row],[Order_Date]]="","",YEAR(Clean_Data[[#This Row],[Order_Date]]))</f>
        <v>2026</v>
      </c>
      <c r="R86" t="str">
        <f>TEXT(Clean_Data[[#This Row],[Order_Date]],"mmm")</f>
        <v>Jun</v>
      </c>
      <c r="S86" t="str">
        <f>TEXT(Clean_Data[[#This Row],[Order_Date]],"mmm-yy")</f>
        <v>Jun-26</v>
      </c>
      <c r="V86"/>
    </row>
    <row r="87" spans="1:22" x14ac:dyDescent="0.25">
      <c r="A87" t="s">
        <v>138</v>
      </c>
      <c r="B87" s="1">
        <v>45862</v>
      </c>
      <c r="C87" t="s">
        <v>25</v>
      </c>
      <c r="D87" t="s">
        <v>36</v>
      </c>
      <c r="E87" t="s">
        <v>41</v>
      </c>
      <c r="F87" t="s">
        <v>42</v>
      </c>
      <c r="G87">
        <v>5</v>
      </c>
      <c r="H87">
        <v>28000</v>
      </c>
      <c r="I87">
        <v>21936</v>
      </c>
      <c r="J87" t="s">
        <v>29</v>
      </c>
      <c r="K87" t="s">
        <v>84</v>
      </c>
      <c r="L87">
        <f>SUM(Clean_Data[[#This Row],[Units_Sold]]*Clean_Data[[#This Row],[Unit_Price]])</f>
        <v>140000</v>
      </c>
      <c r="M87">
        <f>Clean_Data[[#This Row],[Units_Sold]]*Clean_Data[[#This Row],[Cost_Price]]</f>
        <v>109680</v>
      </c>
      <c r="N87">
        <f>Clean_Data[[#This Row],[Total_Sales]]-Clean_Data[[#This Row],[Total_Cost]]</f>
        <v>30320</v>
      </c>
      <c r="O87" s="2">
        <f>Clean_Data[[#This Row],[Profit]]/Clean_Data[[#This Row],[Total_Sales]]</f>
        <v>0.21657142857142858</v>
      </c>
      <c r="P87" t="str">
        <f>_xlfn.XLOOKUP(Clean_Data[[#This Row],[Product_Code]],Product_Catalog!A:A,Product_Catalog!C:C)</f>
        <v>Electronics</v>
      </c>
      <c r="Q87">
        <f>IF(Clean_Data[[#This Row],[Order_Date]]="","",YEAR(Clean_Data[[#This Row],[Order_Date]]))</f>
        <v>2025</v>
      </c>
      <c r="R87" t="str">
        <f>TEXT(Clean_Data[[#This Row],[Order_Date]],"mmm")</f>
        <v>Jul</v>
      </c>
      <c r="S87" t="str">
        <f>TEXT(Clean_Data[[#This Row],[Order_Date]],"mmm-yy")</f>
        <v>Jul-25</v>
      </c>
      <c r="V87"/>
    </row>
    <row r="88" spans="1:22" x14ac:dyDescent="0.25">
      <c r="A88" t="s">
        <v>139</v>
      </c>
      <c r="B88" s="1">
        <v>46116</v>
      </c>
      <c r="C88" t="s">
        <v>48</v>
      </c>
      <c r="D88" t="s">
        <v>33</v>
      </c>
      <c r="E88" t="s">
        <v>63</v>
      </c>
      <c r="F88" t="s">
        <v>59</v>
      </c>
      <c r="G88">
        <v>15</v>
      </c>
      <c r="H88">
        <v>4500</v>
      </c>
      <c r="I88">
        <v>3099</v>
      </c>
      <c r="J88" t="s">
        <v>22</v>
      </c>
      <c r="K88" t="s">
        <v>46</v>
      </c>
      <c r="L88">
        <f>SUM(Clean_Data[[#This Row],[Units_Sold]]*Clean_Data[[#This Row],[Unit_Price]])</f>
        <v>67500</v>
      </c>
      <c r="M88">
        <f>Clean_Data[[#This Row],[Units_Sold]]*Clean_Data[[#This Row],[Cost_Price]]</f>
        <v>46485</v>
      </c>
      <c r="N88">
        <f>Clean_Data[[#This Row],[Total_Sales]]-Clean_Data[[#This Row],[Total_Cost]]</f>
        <v>21015</v>
      </c>
      <c r="O88" s="2">
        <f>Clean_Data[[#This Row],[Profit]]/Clean_Data[[#This Row],[Total_Sales]]</f>
        <v>0.31133333333333335</v>
      </c>
      <c r="P88" t="str">
        <f>_xlfn.XLOOKUP(Clean_Data[[#This Row],[Product_Code]],Product_Catalog!A:A,Product_Catalog!C:C)</f>
        <v>Electronics</v>
      </c>
      <c r="Q88">
        <f>IF(Clean_Data[[#This Row],[Order_Date]]="","",YEAR(Clean_Data[[#This Row],[Order_Date]]))</f>
        <v>2026</v>
      </c>
      <c r="R88" t="str">
        <f>TEXT(Clean_Data[[#This Row],[Order_Date]],"mmm")</f>
        <v>Apr</v>
      </c>
      <c r="S88" t="str">
        <f>TEXT(Clean_Data[[#This Row],[Order_Date]],"mmm-yy")</f>
        <v>Apr-26</v>
      </c>
      <c r="V88"/>
    </row>
    <row r="89" spans="1:22" x14ac:dyDescent="0.25">
      <c r="A89" t="s">
        <v>140</v>
      </c>
      <c r="B89" s="1">
        <v>46179</v>
      </c>
      <c r="C89" t="s">
        <v>12</v>
      </c>
      <c r="D89" t="s">
        <v>26</v>
      </c>
      <c r="E89" t="s">
        <v>49</v>
      </c>
      <c r="F89" t="s">
        <v>50</v>
      </c>
      <c r="G89">
        <v>2</v>
      </c>
      <c r="H89">
        <v>75000</v>
      </c>
      <c r="I89">
        <v>48516</v>
      </c>
      <c r="J89" t="s">
        <v>45</v>
      </c>
      <c r="K89" t="s">
        <v>46</v>
      </c>
      <c r="L89">
        <f>SUM(Clean_Data[[#This Row],[Units_Sold]]*Clean_Data[[#This Row],[Unit_Price]])</f>
        <v>150000</v>
      </c>
      <c r="M89">
        <f>Clean_Data[[#This Row],[Units_Sold]]*Clean_Data[[#This Row],[Cost_Price]]</f>
        <v>97032</v>
      </c>
      <c r="N89">
        <f>Clean_Data[[#This Row],[Total_Sales]]-Clean_Data[[#This Row],[Total_Cost]]</f>
        <v>52968</v>
      </c>
      <c r="O89" s="2">
        <f>Clean_Data[[#This Row],[Profit]]/Clean_Data[[#This Row],[Total_Sales]]</f>
        <v>0.35311999999999999</v>
      </c>
      <c r="P89" t="str">
        <f>_xlfn.XLOOKUP(Clean_Data[[#This Row],[Product_Code]],Product_Catalog!A:A,Product_Catalog!C:C)</f>
        <v>Electronics</v>
      </c>
      <c r="Q89">
        <f>IF(Clean_Data[[#This Row],[Order_Date]]="","",YEAR(Clean_Data[[#This Row],[Order_Date]]))</f>
        <v>2026</v>
      </c>
      <c r="R89" t="str">
        <f>TEXT(Clean_Data[[#This Row],[Order_Date]],"mmm")</f>
        <v>Jun</v>
      </c>
      <c r="S89" t="str">
        <f>TEXT(Clean_Data[[#This Row],[Order_Date]],"mmm-yy")</f>
        <v>Jun-26</v>
      </c>
      <c r="V89"/>
    </row>
    <row r="90" spans="1:22" x14ac:dyDescent="0.25">
      <c r="A90" t="s">
        <v>141</v>
      </c>
      <c r="B90" s="1">
        <v>46109</v>
      </c>
      <c r="C90" t="s">
        <v>31</v>
      </c>
      <c r="D90" t="s">
        <v>13</v>
      </c>
      <c r="E90" t="s">
        <v>37</v>
      </c>
      <c r="F90" t="s">
        <v>38</v>
      </c>
      <c r="G90">
        <v>11</v>
      </c>
      <c r="H90">
        <v>55000</v>
      </c>
      <c r="I90">
        <v>37624</v>
      </c>
      <c r="J90" t="s">
        <v>45</v>
      </c>
      <c r="K90" t="s">
        <v>17</v>
      </c>
      <c r="L90">
        <f>SUM(Clean_Data[[#This Row],[Units_Sold]]*Clean_Data[[#This Row],[Unit_Price]])</f>
        <v>605000</v>
      </c>
      <c r="M90">
        <f>Clean_Data[[#This Row],[Units_Sold]]*Clean_Data[[#This Row],[Cost_Price]]</f>
        <v>413864</v>
      </c>
      <c r="N90">
        <f>Clean_Data[[#This Row],[Total_Sales]]-Clean_Data[[#This Row],[Total_Cost]]</f>
        <v>191136</v>
      </c>
      <c r="O90" s="2">
        <f>Clean_Data[[#This Row],[Profit]]/Clean_Data[[#This Row],[Total_Sales]]</f>
        <v>0.31592727272727272</v>
      </c>
      <c r="P90" t="str">
        <f>_xlfn.XLOOKUP(Clean_Data[[#This Row],[Product_Code]],Product_Catalog!A:A,Product_Catalog!C:C)</f>
        <v>Electronics</v>
      </c>
      <c r="Q90">
        <f>IF(Clean_Data[[#This Row],[Order_Date]]="","",YEAR(Clean_Data[[#This Row],[Order_Date]]))</f>
        <v>2026</v>
      </c>
      <c r="R90" t="str">
        <f>TEXT(Clean_Data[[#This Row],[Order_Date]],"mmm")</f>
        <v>Mar</v>
      </c>
      <c r="S90" t="str">
        <f>TEXT(Clean_Data[[#This Row],[Order_Date]],"mmm-yy")</f>
        <v>Mar-26</v>
      </c>
      <c r="V90"/>
    </row>
    <row r="91" spans="1:22" x14ac:dyDescent="0.25">
      <c r="A91" t="s">
        <v>142</v>
      </c>
      <c r="B91" s="1">
        <v>46016</v>
      </c>
      <c r="C91" t="s">
        <v>62</v>
      </c>
      <c r="D91" t="s">
        <v>13</v>
      </c>
      <c r="E91" t="s">
        <v>14</v>
      </c>
      <c r="F91" t="s">
        <v>15</v>
      </c>
      <c r="G91">
        <v>8</v>
      </c>
      <c r="H91">
        <v>12500</v>
      </c>
      <c r="I91">
        <v>8390</v>
      </c>
      <c r="J91" t="s">
        <v>29</v>
      </c>
      <c r="K91" t="s">
        <v>17</v>
      </c>
      <c r="L91">
        <f>SUM(Clean_Data[[#This Row],[Units_Sold]]*Clean_Data[[#This Row],[Unit_Price]])</f>
        <v>100000</v>
      </c>
      <c r="M91">
        <f>Clean_Data[[#This Row],[Units_Sold]]*Clean_Data[[#This Row],[Cost_Price]]</f>
        <v>67120</v>
      </c>
      <c r="N91">
        <f>Clean_Data[[#This Row],[Total_Sales]]-Clean_Data[[#This Row],[Total_Cost]]</f>
        <v>32880</v>
      </c>
      <c r="O91" s="2">
        <f>Clean_Data[[#This Row],[Profit]]/Clean_Data[[#This Row],[Total_Sales]]</f>
        <v>0.32879999999999998</v>
      </c>
      <c r="P91" t="str">
        <f>_xlfn.XLOOKUP(Clean_Data[[#This Row],[Product_Code]],Product_Catalog!A:A,Product_Catalog!C:C)</f>
        <v>Accessories</v>
      </c>
      <c r="Q91">
        <f>IF(Clean_Data[[#This Row],[Order_Date]]="","",YEAR(Clean_Data[[#This Row],[Order_Date]]))</f>
        <v>2025</v>
      </c>
      <c r="R91" t="str">
        <f>TEXT(Clean_Data[[#This Row],[Order_Date]],"mmm")</f>
        <v>Dec</v>
      </c>
      <c r="S91" t="str">
        <f>TEXT(Clean_Data[[#This Row],[Order_Date]],"mmm-yy")</f>
        <v>Dec-25</v>
      </c>
      <c r="V91"/>
    </row>
    <row r="92" spans="1:22" x14ac:dyDescent="0.25">
      <c r="A92" t="s">
        <v>143</v>
      </c>
      <c r="B92" s="1">
        <v>45889</v>
      </c>
      <c r="C92" t="s">
        <v>19</v>
      </c>
      <c r="D92" t="s">
        <v>36</v>
      </c>
      <c r="E92" t="s">
        <v>55</v>
      </c>
      <c r="F92" t="s">
        <v>34</v>
      </c>
      <c r="G92">
        <v>15</v>
      </c>
      <c r="H92">
        <v>35000</v>
      </c>
      <c r="I92">
        <v>24361</v>
      </c>
      <c r="J92" t="s">
        <v>22</v>
      </c>
      <c r="K92" t="s">
        <v>46</v>
      </c>
      <c r="L92">
        <f>SUM(Clean_Data[[#This Row],[Units_Sold]]*Clean_Data[[#This Row],[Unit_Price]])</f>
        <v>525000</v>
      </c>
      <c r="M92">
        <f>Clean_Data[[#This Row],[Units_Sold]]*Clean_Data[[#This Row],[Cost_Price]]</f>
        <v>365415</v>
      </c>
      <c r="N92">
        <f>Clean_Data[[#This Row],[Total_Sales]]-Clean_Data[[#This Row],[Total_Cost]]</f>
        <v>159585</v>
      </c>
      <c r="O92" s="2">
        <f>Clean_Data[[#This Row],[Profit]]/Clean_Data[[#This Row],[Total_Sales]]</f>
        <v>0.30397142857142856</v>
      </c>
      <c r="P92" t="str">
        <f>_xlfn.XLOOKUP(Clean_Data[[#This Row],[Product_Code]],Product_Catalog!A:A,Product_Catalog!C:C)</f>
        <v>Furniture</v>
      </c>
      <c r="Q92">
        <f>IF(Clean_Data[[#This Row],[Order_Date]]="","",YEAR(Clean_Data[[#This Row],[Order_Date]]))</f>
        <v>2025</v>
      </c>
      <c r="R92" t="str">
        <f>TEXT(Clean_Data[[#This Row],[Order_Date]],"mmm")</f>
        <v>Aug</v>
      </c>
      <c r="S92" t="str">
        <f>TEXT(Clean_Data[[#This Row],[Order_Date]],"mmm-yy")</f>
        <v>Aug-25</v>
      </c>
      <c r="V92"/>
    </row>
    <row r="93" spans="1:22" x14ac:dyDescent="0.25">
      <c r="A93" t="s">
        <v>144</v>
      </c>
      <c r="B93" s="1">
        <v>46073</v>
      </c>
      <c r="C93" t="s">
        <v>31</v>
      </c>
      <c r="D93" t="s">
        <v>13</v>
      </c>
      <c r="E93" t="s">
        <v>63</v>
      </c>
      <c r="F93" t="s">
        <v>59</v>
      </c>
      <c r="G93">
        <v>3</v>
      </c>
      <c r="H93">
        <v>4500</v>
      </c>
      <c r="I93">
        <v>2794</v>
      </c>
      <c r="J93" t="s">
        <v>45</v>
      </c>
      <c r="K93" t="s">
        <v>17</v>
      </c>
      <c r="L93">
        <f>SUM(Clean_Data[[#This Row],[Units_Sold]]*Clean_Data[[#This Row],[Unit_Price]])</f>
        <v>13500</v>
      </c>
      <c r="M93">
        <f>Clean_Data[[#This Row],[Units_Sold]]*Clean_Data[[#This Row],[Cost_Price]]</f>
        <v>8382</v>
      </c>
      <c r="N93">
        <f>Clean_Data[[#This Row],[Total_Sales]]-Clean_Data[[#This Row],[Total_Cost]]</f>
        <v>5118</v>
      </c>
      <c r="O93" s="2">
        <f>Clean_Data[[#This Row],[Profit]]/Clean_Data[[#This Row],[Total_Sales]]</f>
        <v>0.37911111111111112</v>
      </c>
      <c r="P93" t="str">
        <f>_xlfn.XLOOKUP(Clean_Data[[#This Row],[Product_Code]],Product_Catalog!A:A,Product_Catalog!C:C)</f>
        <v>Electronics</v>
      </c>
      <c r="Q93">
        <f>IF(Clean_Data[[#This Row],[Order_Date]]="","",YEAR(Clean_Data[[#This Row],[Order_Date]]))</f>
        <v>2026</v>
      </c>
      <c r="R93" t="str">
        <f>TEXT(Clean_Data[[#This Row],[Order_Date]],"mmm")</f>
        <v>Feb</v>
      </c>
      <c r="S93" t="str">
        <f>TEXT(Clean_Data[[#This Row],[Order_Date]],"mmm-yy")</f>
        <v>Feb-26</v>
      </c>
      <c r="V93"/>
    </row>
    <row r="94" spans="1:22" x14ac:dyDescent="0.25">
      <c r="A94" t="s">
        <v>145</v>
      </c>
      <c r="B94" s="1">
        <v>45865</v>
      </c>
      <c r="C94" t="s">
        <v>73</v>
      </c>
      <c r="D94" t="s">
        <v>40</v>
      </c>
      <c r="E94" t="s">
        <v>49</v>
      </c>
      <c r="F94" t="s">
        <v>50</v>
      </c>
      <c r="G94">
        <v>16</v>
      </c>
      <c r="H94">
        <v>75000</v>
      </c>
      <c r="I94">
        <v>49011</v>
      </c>
      <c r="J94" t="s">
        <v>29</v>
      </c>
      <c r="K94" t="s">
        <v>17</v>
      </c>
      <c r="L94">
        <f>SUM(Clean_Data[[#This Row],[Units_Sold]]*Clean_Data[[#This Row],[Unit_Price]])</f>
        <v>1200000</v>
      </c>
      <c r="M94">
        <f>Clean_Data[[#This Row],[Units_Sold]]*Clean_Data[[#This Row],[Cost_Price]]</f>
        <v>784176</v>
      </c>
      <c r="N94">
        <f>Clean_Data[[#This Row],[Total_Sales]]-Clean_Data[[#This Row],[Total_Cost]]</f>
        <v>415824</v>
      </c>
      <c r="O94" s="2">
        <f>Clean_Data[[#This Row],[Profit]]/Clean_Data[[#This Row],[Total_Sales]]</f>
        <v>0.34651999999999999</v>
      </c>
      <c r="P94" t="str">
        <f>_xlfn.XLOOKUP(Clean_Data[[#This Row],[Product_Code]],Product_Catalog!A:A,Product_Catalog!C:C)</f>
        <v>Electronics</v>
      </c>
      <c r="Q94">
        <f>IF(Clean_Data[[#This Row],[Order_Date]]="","",YEAR(Clean_Data[[#This Row],[Order_Date]]))</f>
        <v>2025</v>
      </c>
      <c r="R94" t="str">
        <f>TEXT(Clean_Data[[#This Row],[Order_Date]],"mmm")</f>
        <v>Jul</v>
      </c>
      <c r="S94" t="str">
        <f>TEXT(Clean_Data[[#This Row],[Order_Date]],"mmm-yy")</f>
        <v>Jul-25</v>
      </c>
      <c r="V94"/>
    </row>
    <row r="95" spans="1:22" x14ac:dyDescent="0.25">
      <c r="A95" t="s">
        <v>146</v>
      </c>
      <c r="B95" s="1">
        <v>45999</v>
      </c>
      <c r="C95" t="s">
        <v>62</v>
      </c>
      <c r="D95" t="s">
        <v>33</v>
      </c>
      <c r="E95" t="s">
        <v>55</v>
      </c>
      <c r="F95" t="s">
        <v>34</v>
      </c>
      <c r="G95">
        <v>15</v>
      </c>
      <c r="H95">
        <v>35000</v>
      </c>
      <c r="I95">
        <v>25649</v>
      </c>
      <c r="J95" t="s">
        <v>29</v>
      </c>
      <c r="K95" t="s">
        <v>23</v>
      </c>
      <c r="L95">
        <f>SUM(Clean_Data[[#This Row],[Units_Sold]]*Clean_Data[[#This Row],[Unit_Price]])</f>
        <v>525000</v>
      </c>
      <c r="M95">
        <f>Clean_Data[[#This Row],[Units_Sold]]*Clean_Data[[#This Row],[Cost_Price]]</f>
        <v>384735</v>
      </c>
      <c r="N95">
        <f>Clean_Data[[#This Row],[Total_Sales]]-Clean_Data[[#This Row],[Total_Cost]]</f>
        <v>140265</v>
      </c>
      <c r="O95" s="2">
        <f>Clean_Data[[#This Row],[Profit]]/Clean_Data[[#This Row],[Total_Sales]]</f>
        <v>0.26717142857142856</v>
      </c>
      <c r="P95" t="str">
        <f>_xlfn.XLOOKUP(Clean_Data[[#This Row],[Product_Code]],Product_Catalog!A:A,Product_Catalog!C:C)</f>
        <v>Furniture</v>
      </c>
      <c r="Q95">
        <f>IF(Clean_Data[[#This Row],[Order_Date]]="","",YEAR(Clean_Data[[#This Row],[Order_Date]]))</f>
        <v>2025</v>
      </c>
      <c r="R95" t="str">
        <f>TEXT(Clean_Data[[#This Row],[Order_Date]],"mmm")</f>
        <v>Dec</v>
      </c>
      <c r="S95" t="str">
        <f>TEXT(Clean_Data[[#This Row],[Order_Date]],"mmm-yy")</f>
        <v>Dec-25</v>
      </c>
      <c r="V95"/>
    </row>
    <row r="96" spans="1:22" x14ac:dyDescent="0.25">
      <c r="A96" t="s">
        <v>147</v>
      </c>
      <c r="B96" s="1">
        <v>45976</v>
      </c>
      <c r="C96" t="s">
        <v>53</v>
      </c>
      <c r="D96" t="s">
        <v>13</v>
      </c>
      <c r="E96" t="s">
        <v>63</v>
      </c>
      <c r="F96" t="s">
        <v>59</v>
      </c>
      <c r="G96">
        <v>16</v>
      </c>
      <c r="H96">
        <v>4500</v>
      </c>
      <c r="I96">
        <v>3562</v>
      </c>
      <c r="J96" t="s">
        <v>45</v>
      </c>
      <c r="K96" t="s">
        <v>17</v>
      </c>
      <c r="L96">
        <f>SUM(Clean_Data[[#This Row],[Units_Sold]]*Clean_Data[[#This Row],[Unit_Price]])</f>
        <v>72000</v>
      </c>
      <c r="M96">
        <f>Clean_Data[[#This Row],[Units_Sold]]*Clean_Data[[#This Row],[Cost_Price]]</f>
        <v>56992</v>
      </c>
      <c r="N96">
        <f>Clean_Data[[#This Row],[Total_Sales]]-Clean_Data[[#This Row],[Total_Cost]]</f>
        <v>15008</v>
      </c>
      <c r="O96" s="2">
        <f>Clean_Data[[#This Row],[Profit]]/Clean_Data[[#This Row],[Total_Sales]]</f>
        <v>0.20844444444444443</v>
      </c>
      <c r="P96" t="str">
        <f>_xlfn.XLOOKUP(Clean_Data[[#This Row],[Product_Code]],Product_Catalog!A:A,Product_Catalog!C:C)</f>
        <v>Electronics</v>
      </c>
      <c r="Q96">
        <f>IF(Clean_Data[[#This Row],[Order_Date]]="","",YEAR(Clean_Data[[#This Row],[Order_Date]]))</f>
        <v>2025</v>
      </c>
      <c r="R96" t="str">
        <f>TEXT(Clean_Data[[#This Row],[Order_Date]],"mmm")</f>
        <v>Nov</v>
      </c>
      <c r="S96" t="str">
        <f>TEXT(Clean_Data[[#This Row],[Order_Date]],"mmm-yy")</f>
        <v>Nov-25</v>
      </c>
      <c r="V96"/>
    </row>
    <row r="97" spans="1:22" x14ac:dyDescent="0.25">
      <c r="A97" t="s">
        <v>148</v>
      </c>
      <c r="B97" s="1">
        <v>46129</v>
      </c>
      <c r="C97" t="s">
        <v>53</v>
      </c>
      <c r="D97" t="s">
        <v>36</v>
      </c>
      <c r="E97" t="s">
        <v>63</v>
      </c>
      <c r="F97" t="s">
        <v>59</v>
      </c>
      <c r="G97">
        <v>17</v>
      </c>
      <c r="H97">
        <v>4500</v>
      </c>
      <c r="I97">
        <v>3574</v>
      </c>
      <c r="J97" t="s">
        <v>45</v>
      </c>
      <c r="K97" t="s">
        <v>46</v>
      </c>
      <c r="L97">
        <f>SUM(Clean_Data[[#This Row],[Units_Sold]]*Clean_Data[[#This Row],[Unit_Price]])</f>
        <v>76500</v>
      </c>
      <c r="M97">
        <f>Clean_Data[[#This Row],[Units_Sold]]*Clean_Data[[#This Row],[Cost_Price]]</f>
        <v>60758</v>
      </c>
      <c r="N97">
        <f>Clean_Data[[#This Row],[Total_Sales]]-Clean_Data[[#This Row],[Total_Cost]]</f>
        <v>15742</v>
      </c>
      <c r="O97" s="2">
        <f>Clean_Data[[#This Row],[Profit]]/Clean_Data[[#This Row],[Total_Sales]]</f>
        <v>0.20577777777777778</v>
      </c>
      <c r="P97" t="str">
        <f>_xlfn.XLOOKUP(Clean_Data[[#This Row],[Product_Code]],Product_Catalog!A:A,Product_Catalog!C:C)</f>
        <v>Electronics</v>
      </c>
      <c r="Q97">
        <f>IF(Clean_Data[[#This Row],[Order_Date]]="","",YEAR(Clean_Data[[#This Row],[Order_Date]]))</f>
        <v>2026</v>
      </c>
      <c r="R97" t="str">
        <f>TEXT(Clean_Data[[#This Row],[Order_Date]],"mmm")</f>
        <v>Apr</v>
      </c>
      <c r="S97" t="str">
        <f>TEXT(Clean_Data[[#This Row],[Order_Date]],"mmm-yy")</f>
        <v>Apr-26</v>
      </c>
      <c r="V97"/>
    </row>
    <row r="98" spans="1:22" x14ac:dyDescent="0.25">
      <c r="A98" t="s">
        <v>149</v>
      </c>
      <c r="B98" s="1">
        <v>45705</v>
      </c>
      <c r="C98" t="s">
        <v>53</v>
      </c>
      <c r="D98" t="s">
        <v>40</v>
      </c>
      <c r="E98" t="s">
        <v>27</v>
      </c>
      <c r="F98" t="s">
        <v>28</v>
      </c>
      <c r="G98">
        <v>9</v>
      </c>
      <c r="H98">
        <v>14000</v>
      </c>
      <c r="I98">
        <v>10944</v>
      </c>
      <c r="J98" t="s">
        <v>29</v>
      </c>
      <c r="K98" t="s">
        <v>23</v>
      </c>
      <c r="L98">
        <f>SUM(Clean_Data[[#This Row],[Units_Sold]]*Clean_Data[[#This Row],[Unit_Price]])</f>
        <v>126000</v>
      </c>
      <c r="M98">
        <f>Clean_Data[[#This Row],[Units_Sold]]*Clean_Data[[#This Row],[Cost_Price]]</f>
        <v>98496</v>
      </c>
      <c r="N98">
        <f>Clean_Data[[#This Row],[Total_Sales]]-Clean_Data[[#This Row],[Total_Cost]]</f>
        <v>27504</v>
      </c>
      <c r="O98" s="2">
        <f>Clean_Data[[#This Row],[Profit]]/Clean_Data[[#This Row],[Total_Sales]]</f>
        <v>0.21828571428571428</v>
      </c>
      <c r="P98" t="str">
        <f>_xlfn.XLOOKUP(Clean_Data[[#This Row],[Product_Code]],Product_Catalog!A:A,Product_Catalog!C:C)</f>
        <v>Furniture</v>
      </c>
      <c r="Q98">
        <f>IF(Clean_Data[[#This Row],[Order_Date]]="","",YEAR(Clean_Data[[#This Row],[Order_Date]]))</f>
        <v>2025</v>
      </c>
      <c r="R98" t="str">
        <f>TEXT(Clean_Data[[#This Row],[Order_Date]],"mmm")</f>
        <v>Feb</v>
      </c>
      <c r="S98" t="str">
        <f>TEXT(Clean_Data[[#This Row],[Order_Date]],"mmm-yy")</f>
        <v>Feb-25</v>
      </c>
      <c r="V98"/>
    </row>
    <row r="99" spans="1:22" x14ac:dyDescent="0.25">
      <c r="A99" t="s">
        <v>150</v>
      </c>
      <c r="B99" s="1">
        <v>45937</v>
      </c>
      <c r="C99" t="s">
        <v>31</v>
      </c>
      <c r="D99" t="s">
        <v>40</v>
      </c>
      <c r="E99" t="s">
        <v>37</v>
      </c>
      <c r="F99" t="s">
        <v>38</v>
      </c>
      <c r="G99">
        <v>19</v>
      </c>
      <c r="H99">
        <v>55000</v>
      </c>
      <c r="I99">
        <v>39279</v>
      </c>
      <c r="J99" t="s">
        <v>22</v>
      </c>
      <c r="K99" t="s">
        <v>46</v>
      </c>
      <c r="L99">
        <f>SUM(Clean_Data[[#This Row],[Units_Sold]]*Clean_Data[[#This Row],[Unit_Price]])</f>
        <v>1045000</v>
      </c>
      <c r="M99">
        <f>Clean_Data[[#This Row],[Units_Sold]]*Clean_Data[[#This Row],[Cost_Price]]</f>
        <v>746301</v>
      </c>
      <c r="N99">
        <f>Clean_Data[[#This Row],[Total_Sales]]-Clean_Data[[#This Row],[Total_Cost]]</f>
        <v>298699</v>
      </c>
      <c r="O99" s="2">
        <f>Clean_Data[[#This Row],[Profit]]/Clean_Data[[#This Row],[Total_Sales]]</f>
        <v>0.28583636363636361</v>
      </c>
      <c r="P99" t="str">
        <f>_xlfn.XLOOKUP(Clean_Data[[#This Row],[Product_Code]],Product_Catalog!A:A,Product_Catalog!C:C)</f>
        <v>Electronics</v>
      </c>
      <c r="Q99">
        <f>IF(Clean_Data[[#This Row],[Order_Date]]="","",YEAR(Clean_Data[[#This Row],[Order_Date]]))</f>
        <v>2025</v>
      </c>
      <c r="R99" t="str">
        <f>TEXT(Clean_Data[[#This Row],[Order_Date]],"mmm")</f>
        <v>Oct</v>
      </c>
      <c r="S99" t="str">
        <f>TEXT(Clean_Data[[#This Row],[Order_Date]],"mmm-yy")</f>
        <v>Oct-25</v>
      </c>
      <c r="V99"/>
    </row>
    <row r="100" spans="1:22" x14ac:dyDescent="0.25">
      <c r="A100" t="s">
        <v>151</v>
      </c>
      <c r="B100" s="1">
        <v>46186</v>
      </c>
      <c r="C100" t="s">
        <v>73</v>
      </c>
      <c r="D100" t="s">
        <v>26</v>
      </c>
      <c r="E100" t="s">
        <v>55</v>
      </c>
      <c r="F100" t="s">
        <v>34</v>
      </c>
      <c r="G100">
        <v>14</v>
      </c>
      <c r="H100">
        <v>35000</v>
      </c>
      <c r="I100">
        <v>21847</v>
      </c>
      <c r="J100" t="s">
        <v>45</v>
      </c>
      <c r="K100" t="s">
        <v>23</v>
      </c>
      <c r="L100">
        <f>SUM(Clean_Data[[#This Row],[Units_Sold]]*Clean_Data[[#This Row],[Unit_Price]])</f>
        <v>490000</v>
      </c>
      <c r="M100">
        <f>Clean_Data[[#This Row],[Units_Sold]]*Clean_Data[[#This Row],[Cost_Price]]</f>
        <v>305858</v>
      </c>
      <c r="N100">
        <f>Clean_Data[[#This Row],[Total_Sales]]-Clean_Data[[#This Row],[Total_Cost]]</f>
        <v>184142</v>
      </c>
      <c r="O100" s="2">
        <f>Clean_Data[[#This Row],[Profit]]/Clean_Data[[#This Row],[Total_Sales]]</f>
        <v>0.37580000000000002</v>
      </c>
      <c r="P100" t="str">
        <f>_xlfn.XLOOKUP(Clean_Data[[#This Row],[Product_Code]],Product_Catalog!A:A,Product_Catalog!C:C)</f>
        <v>Furniture</v>
      </c>
      <c r="Q100">
        <f>IF(Clean_Data[[#This Row],[Order_Date]]="","",YEAR(Clean_Data[[#This Row],[Order_Date]]))</f>
        <v>2026</v>
      </c>
      <c r="R100" t="str">
        <f>TEXT(Clean_Data[[#This Row],[Order_Date]],"mmm")</f>
        <v>Jun</v>
      </c>
      <c r="S100" t="str">
        <f>TEXT(Clean_Data[[#This Row],[Order_Date]],"mmm-yy")</f>
        <v>Jun-26</v>
      </c>
      <c r="V100"/>
    </row>
    <row r="101" spans="1:22" x14ac:dyDescent="0.25">
      <c r="A101" t="s">
        <v>152</v>
      </c>
      <c r="B101" s="1">
        <v>45766</v>
      </c>
      <c r="C101" t="s">
        <v>12</v>
      </c>
      <c r="D101" t="s">
        <v>40</v>
      </c>
      <c r="E101" t="s">
        <v>41</v>
      </c>
      <c r="F101" t="s">
        <v>42</v>
      </c>
      <c r="G101">
        <v>3</v>
      </c>
      <c r="H101">
        <v>28000</v>
      </c>
      <c r="I101">
        <v>17810</v>
      </c>
      <c r="J101" t="s">
        <v>29</v>
      </c>
      <c r="K101" t="s">
        <v>46</v>
      </c>
      <c r="L101">
        <f>SUM(Clean_Data[[#This Row],[Units_Sold]]*Clean_Data[[#This Row],[Unit_Price]])</f>
        <v>84000</v>
      </c>
      <c r="M101">
        <f>Clean_Data[[#This Row],[Units_Sold]]*Clean_Data[[#This Row],[Cost_Price]]</f>
        <v>53430</v>
      </c>
      <c r="N101">
        <f>Clean_Data[[#This Row],[Total_Sales]]-Clean_Data[[#This Row],[Total_Cost]]</f>
        <v>30570</v>
      </c>
      <c r="O101" s="2">
        <f>Clean_Data[[#This Row],[Profit]]/Clean_Data[[#This Row],[Total_Sales]]</f>
        <v>0.36392857142857143</v>
      </c>
      <c r="P101" t="str">
        <f>_xlfn.XLOOKUP(Clean_Data[[#This Row],[Product_Code]],Product_Catalog!A:A,Product_Catalog!C:C)</f>
        <v>Electronics</v>
      </c>
      <c r="Q101">
        <f>IF(Clean_Data[[#This Row],[Order_Date]]="","",YEAR(Clean_Data[[#This Row],[Order_Date]]))</f>
        <v>2025</v>
      </c>
      <c r="R101" t="str">
        <f>TEXT(Clean_Data[[#This Row],[Order_Date]],"mmm")</f>
        <v>Apr</v>
      </c>
      <c r="S101" t="str">
        <f>TEXT(Clean_Data[[#This Row],[Order_Date]],"mmm-yy")</f>
        <v>Apr-25</v>
      </c>
      <c r="V101"/>
    </row>
    <row r="102" spans="1:22" x14ac:dyDescent="0.25">
      <c r="A102" t="s">
        <v>153</v>
      </c>
      <c r="B102" s="1">
        <v>46092</v>
      </c>
      <c r="C102" t="s">
        <v>53</v>
      </c>
      <c r="D102" t="s">
        <v>36</v>
      </c>
      <c r="E102" t="s">
        <v>66</v>
      </c>
      <c r="F102" t="s">
        <v>67</v>
      </c>
      <c r="G102">
        <v>7</v>
      </c>
      <c r="H102">
        <v>2500</v>
      </c>
      <c r="I102">
        <v>1863</v>
      </c>
      <c r="J102" t="s">
        <v>16</v>
      </c>
      <c r="K102" t="s">
        <v>46</v>
      </c>
      <c r="L102">
        <f>SUM(Clean_Data[[#This Row],[Units_Sold]]*Clean_Data[[#This Row],[Unit_Price]])</f>
        <v>17500</v>
      </c>
      <c r="M102">
        <f>Clean_Data[[#This Row],[Units_Sold]]*Clean_Data[[#This Row],[Cost_Price]]</f>
        <v>13041</v>
      </c>
      <c r="N102">
        <f>Clean_Data[[#This Row],[Total_Sales]]-Clean_Data[[#This Row],[Total_Cost]]</f>
        <v>4459</v>
      </c>
      <c r="O102" s="2">
        <f>Clean_Data[[#This Row],[Profit]]/Clean_Data[[#This Row],[Total_Sales]]</f>
        <v>0.25480000000000003</v>
      </c>
      <c r="P102" t="str">
        <f>_xlfn.XLOOKUP(Clean_Data[[#This Row],[Product_Code]],Product_Catalog!A:A,Product_Catalog!C:C)</f>
        <v>Electronics</v>
      </c>
      <c r="Q102">
        <f>IF(Clean_Data[[#This Row],[Order_Date]]="","",YEAR(Clean_Data[[#This Row],[Order_Date]]))</f>
        <v>2026</v>
      </c>
      <c r="R102" t="str">
        <f>TEXT(Clean_Data[[#This Row],[Order_Date]],"mmm")</f>
        <v>Mar</v>
      </c>
      <c r="S102" t="str">
        <f>TEXT(Clean_Data[[#This Row],[Order_Date]],"mmm-yy")</f>
        <v>Mar-26</v>
      </c>
      <c r="V102"/>
    </row>
    <row r="103" spans="1:22" x14ac:dyDescent="0.25">
      <c r="A103" t="s">
        <v>154</v>
      </c>
      <c r="B103" s="1">
        <v>46077</v>
      </c>
      <c r="C103" t="s">
        <v>53</v>
      </c>
      <c r="D103" t="s">
        <v>40</v>
      </c>
      <c r="E103" t="s">
        <v>27</v>
      </c>
      <c r="F103" t="s">
        <v>28</v>
      </c>
      <c r="G103">
        <v>13</v>
      </c>
      <c r="H103">
        <v>14000</v>
      </c>
      <c r="I103">
        <v>10379</v>
      </c>
      <c r="J103" t="s">
        <v>29</v>
      </c>
      <c r="K103" t="s">
        <v>17</v>
      </c>
      <c r="L103">
        <f>SUM(Clean_Data[[#This Row],[Units_Sold]]*Clean_Data[[#This Row],[Unit_Price]])</f>
        <v>182000</v>
      </c>
      <c r="M103">
        <f>Clean_Data[[#This Row],[Units_Sold]]*Clean_Data[[#This Row],[Cost_Price]]</f>
        <v>134927</v>
      </c>
      <c r="N103">
        <f>Clean_Data[[#This Row],[Total_Sales]]-Clean_Data[[#This Row],[Total_Cost]]</f>
        <v>47073</v>
      </c>
      <c r="O103" s="2">
        <f>Clean_Data[[#This Row],[Profit]]/Clean_Data[[#This Row],[Total_Sales]]</f>
        <v>0.25864285714285712</v>
      </c>
      <c r="P103" t="str">
        <f>_xlfn.XLOOKUP(Clean_Data[[#This Row],[Product_Code]],Product_Catalog!A:A,Product_Catalog!C:C)</f>
        <v>Furniture</v>
      </c>
      <c r="Q103">
        <f>IF(Clean_Data[[#This Row],[Order_Date]]="","",YEAR(Clean_Data[[#This Row],[Order_Date]]))</f>
        <v>2026</v>
      </c>
      <c r="R103" t="str">
        <f>TEXT(Clean_Data[[#This Row],[Order_Date]],"mmm")</f>
        <v>Feb</v>
      </c>
      <c r="S103" t="str">
        <f>TEXT(Clean_Data[[#This Row],[Order_Date]],"mmm-yy")</f>
        <v>Feb-26</v>
      </c>
      <c r="V103"/>
    </row>
    <row r="104" spans="1:22" x14ac:dyDescent="0.25">
      <c r="A104" t="s">
        <v>155</v>
      </c>
      <c r="B104" s="1">
        <v>46252</v>
      </c>
      <c r="C104" t="s">
        <v>48</v>
      </c>
      <c r="D104" t="s">
        <v>36</v>
      </c>
      <c r="E104" t="s">
        <v>49</v>
      </c>
      <c r="F104" t="s">
        <v>50</v>
      </c>
      <c r="G104">
        <v>1</v>
      </c>
      <c r="H104">
        <v>75000</v>
      </c>
      <c r="I104">
        <v>53904</v>
      </c>
      <c r="J104" t="s">
        <v>45</v>
      </c>
      <c r="K104" t="s">
        <v>17</v>
      </c>
      <c r="L104">
        <f>SUM(Clean_Data[[#This Row],[Units_Sold]]*Clean_Data[[#This Row],[Unit_Price]])</f>
        <v>75000</v>
      </c>
      <c r="M104">
        <f>Clean_Data[[#This Row],[Units_Sold]]*Clean_Data[[#This Row],[Cost_Price]]</f>
        <v>53904</v>
      </c>
      <c r="N104">
        <f>Clean_Data[[#This Row],[Total_Sales]]-Clean_Data[[#This Row],[Total_Cost]]</f>
        <v>21096</v>
      </c>
      <c r="O104" s="2">
        <f>Clean_Data[[#This Row],[Profit]]/Clean_Data[[#This Row],[Total_Sales]]</f>
        <v>0.28127999999999997</v>
      </c>
      <c r="P104" t="str">
        <f>_xlfn.XLOOKUP(Clean_Data[[#This Row],[Product_Code]],Product_Catalog!A:A,Product_Catalog!C:C)</f>
        <v>Electronics</v>
      </c>
      <c r="Q104">
        <f>IF(Clean_Data[[#This Row],[Order_Date]]="","",YEAR(Clean_Data[[#This Row],[Order_Date]]))</f>
        <v>2026</v>
      </c>
      <c r="R104" t="str">
        <f>TEXT(Clean_Data[[#This Row],[Order_Date]],"mmm")</f>
        <v>Aug</v>
      </c>
      <c r="S104" t="str">
        <f>TEXT(Clean_Data[[#This Row],[Order_Date]],"mmm-yy")</f>
        <v>Aug-26</v>
      </c>
      <c r="V104"/>
    </row>
    <row r="105" spans="1:22" x14ac:dyDescent="0.25">
      <c r="A105" t="s">
        <v>156</v>
      </c>
      <c r="B105" s="1">
        <v>46092</v>
      </c>
      <c r="C105" t="s">
        <v>53</v>
      </c>
      <c r="D105" t="s">
        <v>33</v>
      </c>
      <c r="E105" t="s">
        <v>20</v>
      </c>
      <c r="F105" t="s">
        <v>21</v>
      </c>
      <c r="G105">
        <v>14</v>
      </c>
      <c r="H105">
        <v>8500</v>
      </c>
      <c r="I105">
        <v>6335</v>
      </c>
      <c r="J105" t="s">
        <v>16</v>
      </c>
      <c r="K105" t="s">
        <v>23</v>
      </c>
      <c r="L105">
        <f>SUM(Clean_Data[[#This Row],[Units_Sold]]*Clean_Data[[#This Row],[Unit_Price]])</f>
        <v>119000</v>
      </c>
      <c r="M105">
        <f>Clean_Data[[#This Row],[Units_Sold]]*Clean_Data[[#This Row],[Cost_Price]]</f>
        <v>88690</v>
      </c>
      <c r="N105">
        <f>Clean_Data[[#This Row],[Total_Sales]]-Clean_Data[[#This Row],[Total_Cost]]</f>
        <v>30310</v>
      </c>
      <c r="O105" s="2">
        <f>Clean_Data[[#This Row],[Profit]]/Clean_Data[[#This Row],[Total_Sales]]</f>
        <v>0.25470588235294117</v>
      </c>
      <c r="P105" t="str">
        <f>_xlfn.XLOOKUP(Clean_Data[[#This Row],[Product_Code]],Product_Catalog!A:A,Product_Catalog!C:C)</f>
        <v>Accessories</v>
      </c>
      <c r="Q105">
        <f>IF(Clean_Data[[#This Row],[Order_Date]]="","",YEAR(Clean_Data[[#This Row],[Order_Date]]))</f>
        <v>2026</v>
      </c>
      <c r="R105" t="str">
        <f>TEXT(Clean_Data[[#This Row],[Order_Date]],"mmm")</f>
        <v>Mar</v>
      </c>
      <c r="S105" t="str">
        <f>TEXT(Clean_Data[[#This Row],[Order_Date]],"mmm-yy")</f>
        <v>Mar-26</v>
      </c>
      <c r="V105"/>
    </row>
    <row r="106" spans="1:22" x14ac:dyDescent="0.25">
      <c r="A106" t="s">
        <v>157</v>
      </c>
      <c r="B106" s="1">
        <v>46254</v>
      </c>
      <c r="C106" t="s">
        <v>48</v>
      </c>
      <c r="D106" t="s">
        <v>40</v>
      </c>
      <c r="E106" t="s">
        <v>37</v>
      </c>
      <c r="F106" t="s">
        <v>38</v>
      </c>
      <c r="G106">
        <v>11</v>
      </c>
      <c r="H106">
        <v>55000</v>
      </c>
      <c r="I106">
        <v>34203</v>
      </c>
      <c r="J106" t="s">
        <v>45</v>
      </c>
      <c r="K106" t="s">
        <v>46</v>
      </c>
      <c r="L106">
        <f>SUM(Clean_Data[[#This Row],[Units_Sold]]*Clean_Data[[#This Row],[Unit_Price]])</f>
        <v>605000</v>
      </c>
      <c r="M106">
        <f>Clean_Data[[#This Row],[Units_Sold]]*Clean_Data[[#This Row],[Cost_Price]]</f>
        <v>376233</v>
      </c>
      <c r="N106">
        <f>Clean_Data[[#This Row],[Total_Sales]]-Clean_Data[[#This Row],[Total_Cost]]</f>
        <v>228767</v>
      </c>
      <c r="O106" s="2">
        <f>Clean_Data[[#This Row],[Profit]]/Clean_Data[[#This Row],[Total_Sales]]</f>
        <v>0.3781272727272727</v>
      </c>
      <c r="P106" t="str">
        <f>_xlfn.XLOOKUP(Clean_Data[[#This Row],[Product_Code]],Product_Catalog!A:A,Product_Catalog!C:C)</f>
        <v>Electronics</v>
      </c>
      <c r="Q106">
        <f>IF(Clean_Data[[#This Row],[Order_Date]]="","",YEAR(Clean_Data[[#This Row],[Order_Date]]))</f>
        <v>2026</v>
      </c>
      <c r="R106" t="str">
        <f>TEXT(Clean_Data[[#This Row],[Order_Date]],"mmm")</f>
        <v>Aug</v>
      </c>
      <c r="S106" t="str">
        <f>TEXT(Clean_Data[[#This Row],[Order_Date]],"mmm-yy")</f>
        <v>Aug-26</v>
      </c>
      <c r="V106"/>
    </row>
    <row r="107" spans="1:22" x14ac:dyDescent="0.25">
      <c r="A107" t="s">
        <v>158</v>
      </c>
      <c r="B107" s="1">
        <v>45952</v>
      </c>
      <c r="C107" t="s">
        <v>48</v>
      </c>
      <c r="D107" t="s">
        <v>13</v>
      </c>
      <c r="E107" t="s">
        <v>27</v>
      </c>
      <c r="F107" t="s">
        <v>28</v>
      </c>
      <c r="G107">
        <v>3</v>
      </c>
      <c r="H107">
        <v>14000</v>
      </c>
      <c r="I107">
        <v>8562</v>
      </c>
      <c r="J107" t="s">
        <v>16</v>
      </c>
      <c r="K107" t="s">
        <v>23</v>
      </c>
      <c r="L107">
        <f>SUM(Clean_Data[[#This Row],[Units_Sold]]*Clean_Data[[#This Row],[Unit_Price]])</f>
        <v>42000</v>
      </c>
      <c r="M107">
        <f>Clean_Data[[#This Row],[Units_Sold]]*Clean_Data[[#This Row],[Cost_Price]]</f>
        <v>25686</v>
      </c>
      <c r="N107">
        <f>Clean_Data[[#This Row],[Total_Sales]]-Clean_Data[[#This Row],[Total_Cost]]</f>
        <v>16314</v>
      </c>
      <c r="O107" s="2">
        <f>Clean_Data[[#This Row],[Profit]]/Clean_Data[[#This Row],[Total_Sales]]</f>
        <v>0.3884285714285714</v>
      </c>
      <c r="P107" t="str">
        <f>_xlfn.XLOOKUP(Clean_Data[[#This Row],[Product_Code]],Product_Catalog!A:A,Product_Catalog!C:C)</f>
        <v>Furniture</v>
      </c>
      <c r="Q107">
        <f>IF(Clean_Data[[#This Row],[Order_Date]]="","",YEAR(Clean_Data[[#This Row],[Order_Date]]))</f>
        <v>2025</v>
      </c>
      <c r="R107" t="str">
        <f>TEXT(Clean_Data[[#This Row],[Order_Date]],"mmm")</f>
        <v>Oct</v>
      </c>
      <c r="S107" t="str">
        <f>TEXT(Clean_Data[[#This Row],[Order_Date]],"mmm-yy")</f>
        <v>Oct-25</v>
      </c>
      <c r="V107"/>
    </row>
    <row r="108" spans="1:22" x14ac:dyDescent="0.25">
      <c r="A108" t="s">
        <v>159</v>
      </c>
      <c r="B108" s="1">
        <v>45926</v>
      </c>
      <c r="C108" t="s">
        <v>62</v>
      </c>
      <c r="D108" t="s">
        <v>13</v>
      </c>
      <c r="E108" t="s">
        <v>20</v>
      </c>
      <c r="F108" t="s">
        <v>21</v>
      </c>
      <c r="G108">
        <v>6</v>
      </c>
      <c r="H108">
        <v>8500</v>
      </c>
      <c r="I108">
        <v>6734</v>
      </c>
      <c r="J108" t="s">
        <v>16</v>
      </c>
      <c r="K108" t="s">
        <v>23</v>
      </c>
      <c r="L108">
        <f>SUM(Clean_Data[[#This Row],[Units_Sold]]*Clean_Data[[#This Row],[Unit_Price]])</f>
        <v>51000</v>
      </c>
      <c r="M108">
        <f>Clean_Data[[#This Row],[Units_Sold]]*Clean_Data[[#This Row],[Cost_Price]]</f>
        <v>40404</v>
      </c>
      <c r="N108">
        <f>Clean_Data[[#This Row],[Total_Sales]]-Clean_Data[[#This Row],[Total_Cost]]</f>
        <v>10596</v>
      </c>
      <c r="O108" s="2">
        <f>Clean_Data[[#This Row],[Profit]]/Clean_Data[[#This Row],[Total_Sales]]</f>
        <v>0.20776470588235293</v>
      </c>
      <c r="P108" t="str">
        <f>_xlfn.XLOOKUP(Clean_Data[[#This Row],[Product_Code]],Product_Catalog!A:A,Product_Catalog!C:C)</f>
        <v>Accessories</v>
      </c>
      <c r="Q108">
        <f>IF(Clean_Data[[#This Row],[Order_Date]]="","",YEAR(Clean_Data[[#This Row],[Order_Date]]))</f>
        <v>2025</v>
      </c>
      <c r="R108" t="str">
        <f>TEXT(Clean_Data[[#This Row],[Order_Date]],"mmm")</f>
        <v>Sep</v>
      </c>
      <c r="S108" t="str">
        <f>TEXT(Clean_Data[[#This Row],[Order_Date]],"mmm-yy")</f>
        <v>Sep-25</v>
      </c>
      <c r="V108"/>
    </row>
    <row r="109" spans="1:22" x14ac:dyDescent="0.25">
      <c r="A109" t="s">
        <v>160</v>
      </c>
      <c r="B109" s="1">
        <v>45855</v>
      </c>
      <c r="C109" t="s">
        <v>19</v>
      </c>
      <c r="D109" t="s">
        <v>40</v>
      </c>
      <c r="E109" t="s">
        <v>63</v>
      </c>
      <c r="F109" t="s">
        <v>59</v>
      </c>
      <c r="G109">
        <v>12</v>
      </c>
      <c r="H109">
        <v>4500</v>
      </c>
      <c r="I109">
        <v>3447</v>
      </c>
      <c r="J109" t="s">
        <v>22</v>
      </c>
      <c r="K109" t="s">
        <v>17</v>
      </c>
      <c r="L109">
        <f>SUM(Clean_Data[[#This Row],[Units_Sold]]*Clean_Data[[#This Row],[Unit_Price]])</f>
        <v>54000</v>
      </c>
      <c r="M109">
        <f>Clean_Data[[#This Row],[Units_Sold]]*Clean_Data[[#This Row],[Cost_Price]]</f>
        <v>41364</v>
      </c>
      <c r="N109">
        <f>Clean_Data[[#This Row],[Total_Sales]]-Clean_Data[[#This Row],[Total_Cost]]</f>
        <v>12636</v>
      </c>
      <c r="O109" s="2">
        <f>Clean_Data[[#This Row],[Profit]]/Clean_Data[[#This Row],[Total_Sales]]</f>
        <v>0.23400000000000001</v>
      </c>
      <c r="P109" t="str">
        <f>_xlfn.XLOOKUP(Clean_Data[[#This Row],[Product_Code]],Product_Catalog!A:A,Product_Catalog!C:C)</f>
        <v>Electronics</v>
      </c>
      <c r="Q109">
        <f>IF(Clean_Data[[#This Row],[Order_Date]]="","",YEAR(Clean_Data[[#This Row],[Order_Date]]))</f>
        <v>2025</v>
      </c>
      <c r="R109" t="str">
        <f>TEXT(Clean_Data[[#This Row],[Order_Date]],"mmm")</f>
        <v>Jul</v>
      </c>
      <c r="S109" t="str">
        <f>TEXT(Clean_Data[[#This Row],[Order_Date]],"mmm-yy")</f>
        <v>Jul-25</v>
      </c>
      <c r="V109"/>
    </row>
    <row r="110" spans="1:22" x14ac:dyDescent="0.25">
      <c r="A110" t="s">
        <v>161</v>
      </c>
      <c r="B110" s="1">
        <v>45921</v>
      </c>
      <c r="C110" t="s">
        <v>48</v>
      </c>
      <c r="D110" t="s">
        <v>40</v>
      </c>
      <c r="E110" t="s">
        <v>41</v>
      </c>
      <c r="F110" t="s">
        <v>42</v>
      </c>
      <c r="G110">
        <v>15</v>
      </c>
      <c r="H110">
        <v>28000</v>
      </c>
      <c r="I110">
        <v>17914</v>
      </c>
      <c r="J110" t="s">
        <v>29</v>
      </c>
      <c r="K110" t="s">
        <v>23</v>
      </c>
      <c r="L110">
        <f>SUM(Clean_Data[[#This Row],[Units_Sold]]*Clean_Data[[#This Row],[Unit_Price]])</f>
        <v>420000</v>
      </c>
      <c r="M110">
        <f>Clean_Data[[#This Row],[Units_Sold]]*Clean_Data[[#This Row],[Cost_Price]]</f>
        <v>268710</v>
      </c>
      <c r="N110">
        <f>Clean_Data[[#This Row],[Total_Sales]]-Clean_Data[[#This Row],[Total_Cost]]</f>
        <v>151290</v>
      </c>
      <c r="O110" s="2">
        <f>Clean_Data[[#This Row],[Profit]]/Clean_Data[[#This Row],[Total_Sales]]</f>
        <v>0.36021428571428571</v>
      </c>
      <c r="P110" t="str">
        <f>_xlfn.XLOOKUP(Clean_Data[[#This Row],[Product_Code]],Product_Catalog!A:A,Product_Catalog!C:C)</f>
        <v>Electronics</v>
      </c>
      <c r="Q110">
        <f>IF(Clean_Data[[#This Row],[Order_Date]]="","",YEAR(Clean_Data[[#This Row],[Order_Date]]))</f>
        <v>2025</v>
      </c>
      <c r="R110" t="str">
        <f>TEXT(Clean_Data[[#This Row],[Order_Date]],"mmm")</f>
        <v>Sep</v>
      </c>
      <c r="S110" t="str">
        <f>TEXT(Clean_Data[[#This Row],[Order_Date]],"mmm-yy")</f>
        <v>Sep-25</v>
      </c>
      <c r="V110"/>
    </row>
    <row r="111" spans="1:22" x14ac:dyDescent="0.25">
      <c r="A111" t="s">
        <v>162</v>
      </c>
      <c r="B111" s="1">
        <v>45711</v>
      </c>
      <c r="C111" t="s">
        <v>12</v>
      </c>
      <c r="D111" t="s">
        <v>40</v>
      </c>
      <c r="E111" t="s">
        <v>37</v>
      </c>
      <c r="F111" t="s">
        <v>38</v>
      </c>
      <c r="G111">
        <v>13</v>
      </c>
      <c r="H111">
        <v>55000</v>
      </c>
      <c r="I111">
        <v>38115</v>
      </c>
      <c r="J111" t="s">
        <v>29</v>
      </c>
      <c r="K111" t="s">
        <v>23</v>
      </c>
      <c r="L111">
        <f>SUM(Clean_Data[[#This Row],[Units_Sold]]*Clean_Data[[#This Row],[Unit_Price]])</f>
        <v>715000</v>
      </c>
      <c r="M111">
        <f>Clean_Data[[#This Row],[Units_Sold]]*Clean_Data[[#This Row],[Cost_Price]]</f>
        <v>495495</v>
      </c>
      <c r="N111">
        <f>Clean_Data[[#This Row],[Total_Sales]]-Clean_Data[[#This Row],[Total_Cost]]</f>
        <v>219505</v>
      </c>
      <c r="O111" s="2">
        <f>Clean_Data[[#This Row],[Profit]]/Clean_Data[[#This Row],[Total_Sales]]</f>
        <v>0.307</v>
      </c>
      <c r="P111" t="str">
        <f>_xlfn.XLOOKUP(Clean_Data[[#This Row],[Product_Code]],Product_Catalog!A:A,Product_Catalog!C:C)</f>
        <v>Electronics</v>
      </c>
      <c r="Q111">
        <f>IF(Clean_Data[[#This Row],[Order_Date]]="","",YEAR(Clean_Data[[#This Row],[Order_Date]]))</f>
        <v>2025</v>
      </c>
      <c r="R111" t="str">
        <f>TEXT(Clean_Data[[#This Row],[Order_Date]],"mmm")</f>
        <v>Feb</v>
      </c>
      <c r="S111" t="str">
        <f>TEXT(Clean_Data[[#This Row],[Order_Date]],"mmm-yy")</f>
        <v>Feb-25</v>
      </c>
      <c r="V111"/>
    </row>
    <row r="112" spans="1:22" x14ac:dyDescent="0.25">
      <c r="A112" t="s">
        <v>163</v>
      </c>
      <c r="B112" s="1">
        <v>46083</v>
      </c>
      <c r="C112" t="s">
        <v>12</v>
      </c>
      <c r="D112" t="s">
        <v>33</v>
      </c>
      <c r="E112" t="s">
        <v>37</v>
      </c>
      <c r="F112" t="s">
        <v>38</v>
      </c>
      <c r="G112">
        <v>2</v>
      </c>
      <c r="H112">
        <v>55000</v>
      </c>
      <c r="I112">
        <v>38874</v>
      </c>
      <c r="J112" t="s">
        <v>29</v>
      </c>
      <c r="K112" t="s">
        <v>17</v>
      </c>
      <c r="L112">
        <f>SUM(Clean_Data[[#This Row],[Units_Sold]]*Clean_Data[[#This Row],[Unit_Price]])</f>
        <v>110000</v>
      </c>
      <c r="M112">
        <f>Clean_Data[[#This Row],[Units_Sold]]*Clean_Data[[#This Row],[Cost_Price]]</f>
        <v>77748</v>
      </c>
      <c r="N112">
        <f>Clean_Data[[#This Row],[Total_Sales]]-Clean_Data[[#This Row],[Total_Cost]]</f>
        <v>32252</v>
      </c>
      <c r="O112" s="2">
        <f>Clean_Data[[#This Row],[Profit]]/Clean_Data[[#This Row],[Total_Sales]]</f>
        <v>0.29320000000000002</v>
      </c>
      <c r="P112" t="str">
        <f>_xlfn.XLOOKUP(Clean_Data[[#This Row],[Product_Code]],Product_Catalog!A:A,Product_Catalog!C:C)</f>
        <v>Electronics</v>
      </c>
      <c r="Q112">
        <f>IF(Clean_Data[[#This Row],[Order_Date]]="","",YEAR(Clean_Data[[#This Row],[Order_Date]]))</f>
        <v>2026</v>
      </c>
      <c r="R112" t="str">
        <f>TEXT(Clean_Data[[#This Row],[Order_Date]],"mmm")</f>
        <v>Mar</v>
      </c>
      <c r="S112" t="str">
        <f>TEXT(Clean_Data[[#This Row],[Order_Date]],"mmm-yy")</f>
        <v>Mar-26</v>
      </c>
      <c r="V112"/>
    </row>
    <row r="113" spans="1:22" x14ac:dyDescent="0.25">
      <c r="A113" t="s">
        <v>164</v>
      </c>
      <c r="B113" s="1">
        <v>45685</v>
      </c>
      <c r="C113" t="s">
        <v>25</v>
      </c>
      <c r="D113" t="s">
        <v>40</v>
      </c>
      <c r="E113" t="s">
        <v>37</v>
      </c>
      <c r="F113" t="s">
        <v>38</v>
      </c>
      <c r="G113">
        <v>2</v>
      </c>
      <c r="H113">
        <v>55000</v>
      </c>
      <c r="I113">
        <v>42082</v>
      </c>
      <c r="J113" t="s">
        <v>29</v>
      </c>
      <c r="K113" t="s">
        <v>17</v>
      </c>
      <c r="L113">
        <f>SUM(Clean_Data[[#This Row],[Units_Sold]]*Clean_Data[[#This Row],[Unit_Price]])</f>
        <v>110000</v>
      </c>
      <c r="M113">
        <f>Clean_Data[[#This Row],[Units_Sold]]*Clean_Data[[#This Row],[Cost_Price]]</f>
        <v>84164</v>
      </c>
      <c r="N113">
        <f>Clean_Data[[#This Row],[Total_Sales]]-Clean_Data[[#This Row],[Total_Cost]]</f>
        <v>25836</v>
      </c>
      <c r="O113" s="2">
        <f>Clean_Data[[#This Row],[Profit]]/Clean_Data[[#This Row],[Total_Sales]]</f>
        <v>0.23487272727272726</v>
      </c>
      <c r="P113" t="str">
        <f>_xlfn.XLOOKUP(Clean_Data[[#This Row],[Product_Code]],Product_Catalog!A:A,Product_Catalog!C:C)</f>
        <v>Electronics</v>
      </c>
      <c r="Q113">
        <f>IF(Clean_Data[[#This Row],[Order_Date]]="","",YEAR(Clean_Data[[#This Row],[Order_Date]]))</f>
        <v>2025</v>
      </c>
      <c r="R113" t="str">
        <f>TEXT(Clean_Data[[#This Row],[Order_Date]],"mmm")</f>
        <v>Jan</v>
      </c>
      <c r="S113" t="str">
        <f>TEXT(Clean_Data[[#This Row],[Order_Date]],"mmm-yy")</f>
        <v>Jan-25</v>
      </c>
      <c r="V113"/>
    </row>
    <row r="114" spans="1:22" x14ac:dyDescent="0.25">
      <c r="A114" t="s">
        <v>165</v>
      </c>
      <c r="B114" s="1">
        <v>45927</v>
      </c>
      <c r="C114" t="s">
        <v>62</v>
      </c>
      <c r="D114" t="s">
        <v>36</v>
      </c>
      <c r="E114" t="s">
        <v>20</v>
      </c>
      <c r="F114" t="s">
        <v>21</v>
      </c>
      <c r="G114">
        <v>16</v>
      </c>
      <c r="H114">
        <v>8500</v>
      </c>
      <c r="I114">
        <v>5452</v>
      </c>
      <c r="J114" t="s">
        <v>29</v>
      </c>
      <c r="K114" t="s">
        <v>17</v>
      </c>
      <c r="L114">
        <f>SUM(Clean_Data[[#This Row],[Units_Sold]]*Clean_Data[[#This Row],[Unit_Price]])</f>
        <v>136000</v>
      </c>
      <c r="M114">
        <f>Clean_Data[[#This Row],[Units_Sold]]*Clean_Data[[#This Row],[Cost_Price]]</f>
        <v>87232</v>
      </c>
      <c r="N114">
        <f>Clean_Data[[#This Row],[Total_Sales]]-Clean_Data[[#This Row],[Total_Cost]]</f>
        <v>48768</v>
      </c>
      <c r="O114" s="2">
        <f>Clean_Data[[#This Row],[Profit]]/Clean_Data[[#This Row],[Total_Sales]]</f>
        <v>0.35858823529411765</v>
      </c>
      <c r="P114" t="str">
        <f>_xlfn.XLOOKUP(Clean_Data[[#This Row],[Product_Code]],Product_Catalog!A:A,Product_Catalog!C:C)</f>
        <v>Accessories</v>
      </c>
      <c r="Q114">
        <f>IF(Clean_Data[[#This Row],[Order_Date]]="","",YEAR(Clean_Data[[#This Row],[Order_Date]]))</f>
        <v>2025</v>
      </c>
      <c r="R114" t="str">
        <f>TEXT(Clean_Data[[#This Row],[Order_Date]],"mmm")</f>
        <v>Sep</v>
      </c>
      <c r="S114" t="str">
        <f>TEXT(Clean_Data[[#This Row],[Order_Date]],"mmm-yy")</f>
        <v>Sep-25</v>
      </c>
      <c r="V114"/>
    </row>
    <row r="115" spans="1:22" x14ac:dyDescent="0.25">
      <c r="A115" t="s">
        <v>166</v>
      </c>
      <c r="B115" s="1">
        <v>45838</v>
      </c>
      <c r="C115" t="s">
        <v>44</v>
      </c>
      <c r="D115" t="s">
        <v>13</v>
      </c>
      <c r="E115" t="s">
        <v>37</v>
      </c>
      <c r="F115" t="s">
        <v>38</v>
      </c>
      <c r="G115">
        <v>12</v>
      </c>
      <c r="H115">
        <v>55000</v>
      </c>
      <c r="I115">
        <v>38126</v>
      </c>
      <c r="J115" t="s">
        <v>29</v>
      </c>
      <c r="K115" t="s">
        <v>17</v>
      </c>
      <c r="L115">
        <f>SUM(Clean_Data[[#This Row],[Units_Sold]]*Clean_Data[[#This Row],[Unit_Price]])</f>
        <v>660000</v>
      </c>
      <c r="M115">
        <f>Clean_Data[[#This Row],[Units_Sold]]*Clean_Data[[#This Row],[Cost_Price]]</f>
        <v>457512</v>
      </c>
      <c r="N115">
        <f>Clean_Data[[#This Row],[Total_Sales]]-Clean_Data[[#This Row],[Total_Cost]]</f>
        <v>202488</v>
      </c>
      <c r="O115" s="2">
        <f>Clean_Data[[#This Row],[Profit]]/Clean_Data[[#This Row],[Total_Sales]]</f>
        <v>0.30680000000000002</v>
      </c>
      <c r="P115" t="str">
        <f>_xlfn.XLOOKUP(Clean_Data[[#This Row],[Product_Code]],Product_Catalog!A:A,Product_Catalog!C:C)</f>
        <v>Electronics</v>
      </c>
      <c r="Q115">
        <f>IF(Clean_Data[[#This Row],[Order_Date]]="","",YEAR(Clean_Data[[#This Row],[Order_Date]]))</f>
        <v>2025</v>
      </c>
      <c r="R115" t="str">
        <f>TEXT(Clean_Data[[#This Row],[Order_Date]],"mmm")</f>
        <v>Jun</v>
      </c>
      <c r="S115" t="str">
        <f>TEXT(Clean_Data[[#This Row],[Order_Date]],"mmm-yy")</f>
        <v>Jun-25</v>
      </c>
      <c r="V115"/>
    </row>
    <row r="116" spans="1:22" x14ac:dyDescent="0.25">
      <c r="A116" t="s">
        <v>167</v>
      </c>
      <c r="B116" s="1">
        <v>45925</v>
      </c>
      <c r="C116" t="s">
        <v>62</v>
      </c>
      <c r="D116" t="s">
        <v>26</v>
      </c>
      <c r="E116" t="s">
        <v>37</v>
      </c>
      <c r="F116" t="s">
        <v>38</v>
      </c>
      <c r="G116">
        <v>1</v>
      </c>
      <c r="H116">
        <v>55000</v>
      </c>
      <c r="I116">
        <v>35185</v>
      </c>
      <c r="J116" t="s">
        <v>22</v>
      </c>
      <c r="K116" t="s">
        <v>23</v>
      </c>
      <c r="L116">
        <f>SUM(Clean_Data[[#This Row],[Units_Sold]]*Clean_Data[[#This Row],[Unit_Price]])</f>
        <v>55000</v>
      </c>
      <c r="M116">
        <f>Clean_Data[[#This Row],[Units_Sold]]*Clean_Data[[#This Row],[Cost_Price]]</f>
        <v>35185</v>
      </c>
      <c r="N116">
        <f>Clean_Data[[#This Row],[Total_Sales]]-Clean_Data[[#This Row],[Total_Cost]]</f>
        <v>19815</v>
      </c>
      <c r="O116" s="2">
        <f>Clean_Data[[#This Row],[Profit]]/Clean_Data[[#This Row],[Total_Sales]]</f>
        <v>0.3602727272727273</v>
      </c>
      <c r="P116" t="str">
        <f>_xlfn.XLOOKUP(Clean_Data[[#This Row],[Product_Code]],Product_Catalog!A:A,Product_Catalog!C:C)</f>
        <v>Electronics</v>
      </c>
      <c r="Q116">
        <f>IF(Clean_Data[[#This Row],[Order_Date]]="","",YEAR(Clean_Data[[#This Row],[Order_Date]]))</f>
        <v>2025</v>
      </c>
      <c r="R116" t="str">
        <f>TEXT(Clean_Data[[#This Row],[Order_Date]],"mmm")</f>
        <v>Sep</v>
      </c>
      <c r="S116" t="str">
        <f>TEXT(Clean_Data[[#This Row],[Order_Date]],"mmm-yy")</f>
        <v>Sep-25</v>
      </c>
      <c r="V116"/>
    </row>
    <row r="117" spans="1:22" x14ac:dyDescent="0.25">
      <c r="A117" t="s">
        <v>168</v>
      </c>
      <c r="B117" s="1">
        <v>45696</v>
      </c>
      <c r="C117" t="s">
        <v>53</v>
      </c>
      <c r="D117" t="s">
        <v>33</v>
      </c>
      <c r="E117" t="s">
        <v>66</v>
      </c>
      <c r="F117" t="s">
        <v>67</v>
      </c>
      <c r="G117">
        <v>15</v>
      </c>
      <c r="H117">
        <v>2500</v>
      </c>
      <c r="I117">
        <v>1937</v>
      </c>
      <c r="J117" t="s">
        <v>16</v>
      </c>
      <c r="K117" t="s">
        <v>17</v>
      </c>
      <c r="L117">
        <f>SUM(Clean_Data[[#This Row],[Units_Sold]]*Clean_Data[[#This Row],[Unit_Price]])</f>
        <v>37500</v>
      </c>
      <c r="M117">
        <f>Clean_Data[[#This Row],[Units_Sold]]*Clean_Data[[#This Row],[Cost_Price]]</f>
        <v>29055</v>
      </c>
      <c r="N117">
        <f>Clean_Data[[#This Row],[Total_Sales]]-Clean_Data[[#This Row],[Total_Cost]]</f>
        <v>8445</v>
      </c>
      <c r="O117" s="2">
        <f>Clean_Data[[#This Row],[Profit]]/Clean_Data[[#This Row],[Total_Sales]]</f>
        <v>0.22520000000000001</v>
      </c>
      <c r="P117" t="str">
        <f>_xlfn.XLOOKUP(Clean_Data[[#This Row],[Product_Code]],Product_Catalog!A:A,Product_Catalog!C:C)</f>
        <v>Electronics</v>
      </c>
      <c r="Q117">
        <f>IF(Clean_Data[[#This Row],[Order_Date]]="","",YEAR(Clean_Data[[#This Row],[Order_Date]]))</f>
        <v>2025</v>
      </c>
      <c r="R117" t="str">
        <f>TEXT(Clean_Data[[#This Row],[Order_Date]],"mmm")</f>
        <v>Feb</v>
      </c>
      <c r="S117" t="str">
        <f>TEXT(Clean_Data[[#This Row],[Order_Date]],"mmm-yy")</f>
        <v>Feb-25</v>
      </c>
      <c r="V117"/>
    </row>
    <row r="118" spans="1:22" x14ac:dyDescent="0.25">
      <c r="A118" t="s">
        <v>169</v>
      </c>
      <c r="B118" s="1">
        <v>46084</v>
      </c>
      <c r="C118" t="s">
        <v>73</v>
      </c>
      <c r="D118" t="s">
        <v>40</v>
      </c>
      <c r="E118" t="s">
        <v>41</v>
      </c>
      <c r="F118" t="s">
        <v>42</v>
      </c>
      <c r="G118">
        <v>2</v>
      </c>
      <c r="H118">
        <v>28000</v>
      </c>
      <c r="I118">
        <v>22399</v>
      </c>
      <c r="J118" t="s">
        <v>16</v>
      </c>
      <c r="K118" t="s">
        <v>23</v>
      </c>
      <c r="L118">
        <f>SUM(Clean_Data[[#This Row],[Units_Sold]]*Clean_Data[[#This Row],[Unit_Price]])</f>
        <v>56000</v>
      </c>
      <c r="M118">
        <f>Clean_Data[[#This Row],[Units_Sold]]*Clean_Data[[#This Row],[Cost_Price]]</f>
        <v>44798</v>
      </c>
      <c r="N118">
        <f>Clean_Data[[#This Row],[Total_Sales]]-Clean_Data[[#This Row],[Total_Cost]]</f>
        <v>11202</v>
      </c>
      <c r="O118" s="2">
        <f>Clean_Data[[#This Row],[Profit]]/Clean_Data[[#This Row],[Total_Sales]]</f>
        <v>0.20003571428571429</v>
      </c>
      <c r="P118" t="str">
        <f>_xlfn.XLOOKUP(Clean_Data[[#This Row],[Product_Code]],Product_Catalog!A:A,Product_Catalog!C:C)</f>
        <v>Electronics</v>
      </c>
      <c r="Q118">
        <f>IF(Clean_Data[[#This Row],[Order_Date]]="","",YEAR(Clean_Data[[#This Row],[Order_Date]]))</f>
        <v>2026</v>
      </c>
      <c r="R118" t="str">
        <f>TEXT(Clean_Data[[#This Row],[Order_Date]],"mmm")</f>
        <v>Mar</v>
      </c>
      <c r="S118" t="str">
        <f>TEXT(Clean_Data[[#This Row],[Order_Date]],"mmm-yy")</f>
        <v>Mar-26</v>
      </c>
      <c r="V118"/>
    </row>
    <row r="119" spans="1:22" x14ac:dyDescent="0.25">
      <c r="A119" t="s">
        <v>170</v>
      </c>
      <c r="B119" s="1">
        <v>46120</v>
      </c>
      <c r="C119" t="s">
        <v>25</v>
      </c>
      <c r="D119" t="s">
        <v>36</v>
      </c>
      <c r="E119" t="s">
        <v>63</v>
      </c>
      <c r="F119" t="s">
        <v>59</v>
      </c>
      <c r="G119">
        <v>1</v>
      </c>
      <c r="H119">
        <v>4500</v>
      </c>
      <c r="I119">
        <v>3177</v>
      </c>
      <c r="J119" t="s">
        <v>29</v>
      </c>
      <c r="K119" t="s">
        <v>23</v>
      </c>
      <c r="L119">
        <f>SUM(Clean_Data[[#This Row],[Units_Sold]]*Clean_Data[[#This Row],[Unit_Price]])</f>
        <v>4500</v>
      </c>
      <c r="M119">
        <f>Clean_Data[[#This Row],[Units_Sold]]*Clean_Data[[#This Row],[Cost_Price]]</f>
        <v>3177</v>
      </c>
      <c r="N119">
        <f>Clean_Data[[#This Row],[Total_Sales]]-Clean_Data[[#This Row],[Total_Cost]]</f>
        <v>1323</v>
      </c>
      <c r="O119" s="2">
        <f>Clean_Data[[#This Row],[Profit]]/Clean_Data[[#This Row],[Total_Sales]]</f>
        <v>0.29399999999999998</v>
      </c>
      <c r="P119" t="str">
        <f>_xlfn.XLOOKUP(Clean_Data[[#This Row],[Product_Code]],Product_Catalog!A:A,Product_Catalog!C:C)</f>
        <v>Electronics</v>
      </c>
      <c r="Q119">
        <f>IF(Clean_Data[[#This Row],[Order_Date]]="","",YEAR(Clean_Data[[#This Row],[Order_Date]]))</f>
        <v>2026</v>
      </c>
      <c r="R119" t="str">
        <f>TEXT(Clean_Data[[#This Row],[Order_Date]],"mmm")</f>
        <v>Apr</v>
      </c>
      <c r="S119" t="str">
        <f>TEXT(Clean_Data[[#This Row],[Order_Date]],"mmm-yy")</f>
        <v>Apr-26</v>
      </c>
      <c r="V119"/>
    </row>
    <row r="120" spans="1:22" x14ac:dyDescent="0.25">
      <c r="A120" t="s">
        <v>171</v>
      </c>
      <c r="B120" s="1">
        <v>45935</v>
      </c>
      <c r="C120" t="s">
        <v>53</v>
      </c>
      <c r="D120" t="s">
        <v>40</v>
      </c>
      <c r="E120" t="s">
        <v>41</v>
      </c>
      <c r="F120" t="s">
        <v>42</v>
      </c>
      <c r="G120">
        <v>11</v>
      </c>
      <c r="H120">
        <v>28000</v>
      </c>
      <c r="I120">
        <v>21333</v>
      </c>
      <c r="J120" t="s">
        <v>45</v>
      </c>
      <c r="K120" t="s">
        <v>17</v>
      </c>
      <c r="L120">
        <f>SUM(Clean_Data[[#This Row],[Units_Sold]]*Clean_Data[[#This Row],[Unit_Price]])</f>
        <v>308000</v>
      </c>
      <c r="M120">
        <f>Clean_Data[[#This Row],[Units_Sold]]*Clean_Data[[#This Row],[Cost_Price]]</f>
        <v>234663</v>
      </c>
      <c r="N120">
        <f>Clean_Data[[#This Row],[Total_Sales]]-Clean_Data[[#This Row],[Total_Cost]]</f>
        <v>73337</v>
      </c>
      <c r="O120" s="2">
        <f>Clean_Data[[#This Row],[Profit]]/Clean_Data[[#This Row],[Total_Sales]]</f>
        <v>0.23810714285714285</v>
      </c>
      <c r="P120" t="str">
        <f>_xlfn.XLOOKUP(Clean_Data[[#This Row],[Product_Code]],Product_Catalog!A:A,Product_Catalog!C:C)</f>
        <v>Electronics</v>
      </c>
      <c r="Q120">
        <f>IF(Clean_Data[[#This Row],[Order_Date]]="","",YEAR(Clean_Data[[#This Row],[Order_Date]]))</f>
        <v>2025</v>
      </c>
      <c r="R120" t="str">
        <f>TEXT(Clean_Data[[#This Row],[Order_Date]],"mmm")</f>
        <v>Oct</v>
      </c>
      <c r="S120" t="str">
        <f>TEXT(Clean_Data[[#This Row],[Order_Date]],"mmm-yy")</f>
        <v>Oct-25</v>
      </c>
      <c r="V120"/>
    </row>
    <row r="121" spans="1:22" x14ac:dyDescent="0.25">
      <c r="A121" t="s">
        <v>172</v>
      </c>
      <c r="B121" s="1">
        <v>46080</v>
      </c>
      <c r="C121" t="s">
        <v>62</v>
      </c>
      <c r="D121" t="s">
        <v>13</v>
      </c>
      <c r="E121" t="s">
        <v>27</v>
      </c>
      <c r="F121" t="s">
        <v>28</v>
      </c>
      <c r="G121">
        <v>18</v>
      </c>
      <c r="H121">
        <v>14000</v>
      </c>
      <c r="I121">
        <v>8692</v>
      </c>
      <c r="J121" t="s">
        <v>16</v>
      </c>
      <c r="K121" t="s">
        <v>17</v>
      </c>
      <c r="L121">
        <f>SUM(Clean_Data[[#This Row],[Units_Sold]]*Clean_Data[[#This Row],[Unit_Price]])</f>
        <v>252000</v>
      </c>
      <c r="M121">
        <f>Clean_Data[[#This Row],[Units_Sold]]*Clean_Data[[#This Row],[Cost_Price]]</f>
        <v>156456</v>
      </c>
      <c r="N121">
        <f>Clean_Data[[#This Row],[Total_Sales]]-Clean_Data[[#This Row],[Total_Cost]]</f>
        <v>95544</v>
      </c>
      <c r="O121" s="2">
        <f>Clean_Data[[#This Row],[Profit]]/Clean_Data[[#This Row],[Total_Sales]]</f>
        <v>0.37914285714285717</v>
      </c>
      <c r="P121" t="str">
        <f>_xlfn.XLOOKUP(Clean_Data[[#This Row],[Product_Code]],Product_Catalog!A:A,Product_Catalog!C:C)</f>
        <v>Furniture</v>
      </c>
      <c r="Q121">
        <f>IF(Clean_Data[[#This Row],[Order_Date]]="","",YEAR(Clean_Data[[#This Row],[Order_Date]]))</f>
        <v>2026</v>
      </c>
      <c r="R121" t="str">
        <f>TEXT(Clean_Data[[#This Row],[Order_Date]],"mmm")</f>
        <v>Feb</v>
      </c>
      <c r="S121" t="str">
        <f>TEXT(Clean_Data[[#This Row],[Order_Date]],"mmm-yy")</f>
        <v>Feb-26</v>
      </c>
      <c r="V121"/>
    </row>
    <row r="122" spans="1:22" x14ac:dyDescent="0.25">
      <c r="A122" t="s">
        <v>173</v>
      </c>
      <c r="B122" s="1">
        <v>46191</v>
      </c>
      <c r="C122" t="s">
        <v>25</v>
      </c>
      <c r="D122" t="s">
        <v>13</v>
      </c>
      <c r="E122" t="s">
        <v>20</v>
      </c>
      <c r="F122" t="s">
        <v>21</v>
      </c>
      <c r="G122">
        <v>14</v>
      </c>
      <c r="H122">
        <v>8500</v>
      </c>
      <c r="I122">
        <v>5222</v>
      </c>
      <c r="J122" t="s">
        <v>29</v>
      </c>
      <c r="K122" t="s">
        <v>46</v>
      </c>
      <c r="L122">
        <f>SUM(Clean_Data[[#This Row],[Units_Sold]]*Clean_Data[[#This Row],[Unit_Price]])</f>
        <v>119000</v>
      </c>
      <c r="M122">
        <f>Clean_Data[[#This Row],[Units_Sold]]*Clean_Data[[#This Row],[Cost_Price]]</f>
        <v>73108</v>
      </c>
      <c r="N122">
        <f>Clean_Data[[#This Row],[Total_Sales]]-Clean_Data[[#This Row],[Total_Cost]]</f>
        <v>45892</v>
      </c>
      <c r="O122" s="2">
        <f>Clean_Data[[#This Row],[Profit]]/Clean_Data[[#This Row],[Total_Sales]]</f>
        <v>0.3856470588235294</v>
      </c>
      <c r="P122" t="str">
        <f>_xlfn.XLOOKUP(Clean_Data[[#This Row],[Product_Code]],Product_Catalog!A:A,Product_Catalog!C:C)</f>
        <v>Accessories</v>
      </c>
      <c r="Q122">
        <f>IF(Clean_Data[[#This Row],[Order_Date]]="","",YEAR(Clean_Data[[#This Row],[Order_Date]]))</f>
        <v>2026</v>
      </c>
      <c r="R122" t="str">
        <f>TEXT(Clean_Data[[#This Row],[Order_Date]],"mmm")</f>
        <v>Jun</v>
      </c>
      <c r="S122" t="str">
        <f>TEXT(Clean_Data[[#This Row],[Order_Date]],"mmm-yy")</f>
        <v>Jun-26</v>
      </c>
      <c r="V122"/>
    </row>
    <row r="123" spans="1:22" x14ac:dyDescent="0.25">
      <c r="A123" t="s">
        <v>174</v>
      </c>
      <c r="B123" s="1">
        <v>45930</v>
      </c>
      <c r="C123" t="s">
        <v>31</v>
      </c>
      <c r="D123" t="s">
        <v>13</v>
      </c>
      <c r="E123" t="s">
        <v>14</v>
      </c>
      <c r="F123" t="s">
        <v>15</v>
      </c>
      <c r="G123">
        <v>1</v>
      </c>
      <c r="H123">
        <v>12500</v>
      </c>
      <c r="I123">
        <v>7640</v>
      </c>
      <c r="J123" t="s">
        <v>16</v>
      </c>
      <c r="K123" t="s">
        <v>17</v>
      </c>
      <c r="L123">
        <f>SUM(Clean_Data[[#This Row],[Units_Sold]]*Clean_Data[[#This Row],[Unit_Price]])</f>
        <v>12500</v>
      </c>
      <c r="M123">
        <f>Clean_Data[[#This Row],[Units_Sold]]*Clean_Data[[#This Row],[Cost_Price]]</f>
        <v>7640</v>
      </c>
      <c r="N123">
        <f>Clean_Data[[#This Row],[Total_Sales]]-Clean_Data[[#This Row],[Total_Cost]]</f>
        <v>4860</v>
      </c>
      <c r="O123" s="2">
        <f>Clean_Data[[#This Row],[Profit]]/Clean_Data[[#This Row],[Total_Sales]]</f>
        <v>0.38879999999999998</v>
      </c>
      <c r="P123" t="str">
        <f>_xlfn.XLOOKUP(Clean_Data[[#This Row],[Product_Code]],Product_Catalog!A:A,Product_Catalog!C:C)</f>
        <v>Accessories</v>
      </c>
      <c r="Q123">
        <f>IF(Clean_Data[[#This Row],[Order_Date]]="","",YEAR(Clean_Data[[#This Row],[Order_Date]]))</f>
        <v>2025</v>
      </c>
      <c r="R123" t="str">
        <f>TEXT(Clean_Data[[#This Row],[Order_Date]],"mmm")</f>
        <v>Sep</v>
      </c>
      <c r="S123" t="str">
        <f>TEXT(Clean_Data[[#This Row],[Order_Date]],"mmm-yy")</f>
        <v>Sep-25</v>
      </c>
      <c r="V123"/>
    </row>
    <row r="124" spans="1:22" x14ac:dyDescent="0.25">
      <c r="A124" t="s">
        <v>175</v>
      </c>
      <c r="B124" s="1">
        <v>45929</v>
      </c>
      <c r="C124" t="s">
        <v>53</v>
      </c>
      <c r="D124" t="s">
        <v>26</v>
      </c>
      <c r="E124" t="s">
        <v>27</v>
      </c>
      <c r="F124" t="s">
        <v>28</v>
      </c>
      <c r="G124">
        <v>16</v>
      </c>
      <c r="H124">
        <v>14000</v>
      </c>
      <c r="I124">
        <v>8912</v>
      </c>
      <c r="J124" t="s">
        <v>45</v>
      </c>
      <c r="K124" t="s">
        <v>17</v>
      </c>
      <c r="L124">
        <f>SUM(Clean_Data[[#This Row],[Units_Sold]]*Clean_Data[[#This Row],[Unit_Price]])</f>
        <v>224000</v>
      </c>
      <c r="M124">
        <f>Clean_Data[[#This Row],[Units_Sold]]*Clean_Data[[#This Row],[Cost_Price]]</f>
        <v>142592</v>
      </c>
      <c r="N124">
        <f>Clean_Data[[#This Row],[Total_Sales]]-Clean_Data[[#This Row],[Total_Cost]]</f>
        <v>81408</v>
      </c>
      <c r="O124" s="2">
        <f>Clean_Data[[#This Row],[Profit]]/Clean_Data[[#This Row],[Total_Sales]]</f>
        <v>0.36342857142857143</v>
      </c>
      <c r="P124" t="str">
        <f>_xlfn.XLOOKUP(Clean_Data[[#This Row],[Product_Code]],Product_Catalog!A:A,Product_Catalog!C:C)</f>
        <v>Furniture</v>
      </c>
      <c r="Q124">
        <f>IF(Clean_Data[[#This Row],[Order_Date]]="","",YEAR(Clean_Data[[#This Row],[Order_Date]]))</f>
        <v>2025</v>
      </c>
      <c r="R124" t="str">
        <f>TEXT(Clean_Data[[#This Row],[Order_Date]],"mmm")</f>
        <v>Sep</v>
      </c>
      <c r="S124" t="str">
        <f>TEXT(Clean_Data[[#This Row],[Order_Date]],"mmm-yy")</f>
        <v>Sep-25</v>
      </c>
      <c r="V124"/>
    </row>
    <row r="125" spans="1:22" x14ac:dyDescent="0.25">
      <c r="A125" t="s">
        <v>176</v>
      </c>
      <c r="B125" s="1">
        <v>45689</v>
      </c>
      <c r="C125" t="s">
        <v>25</v>
      </c>
      <c r="D125" t="s">
        <v>40</v>
      </c>
      <c r="E125" t="s">
        <v>63</v>
      </c>
      <c r="F125" t="s">
        <v>59</v>
      </c>
      <c r="G125">
        <v>5</v>
      </c>
      <c r="H125">
        <v>4500</v>
      </c>
      <c r="I125">
        <v>3074</v>
      </c>
      <c r="J125" t="s">
        <v>29</v>
      </c>
      <c r="K125" t="s">
        <v>46</v>
      </c>
      <c r="L125">
        <f>SUM(Clean_Data[[#This Row],[Units_Sold]]*Clean_Data[[#This Row],[Unit_Price]])</f>
        <v>22500</v>
      </c>
      <c r="M125">
        <f>Clean_Data[[#This Row],[Units_Sold]]*Clean_Data[[#This Row],[Cost_Price]]</f>
        <v>15370</v>
      </c>
      <c r="N125">
        <f>Clean_Data[[#This Row],[Total_Sales]]-Clean_Data[[#This Row],[Total_Cost]]</f>
        <v>7130</v>
      </c>
      <c r="O125" s="2">
        <f>Clean_Data[[#This Row],[Profit]]/Clean_Data[[#This Row],[Total_Sales]]</f>
        <v>0.31688888888888889</v>
      </c>
      <c r="P125" t="str">
        <f>_xlfn.XLOOKUP(Clean_Data[[#This Row],[Product_Code]],Product_Catalog!A:A,Product_Catalog!C:C)</f>
        <v>Electronics</v>
      </c>
      <c r="Q125">
        <f>IF(Clean_Data[[#This Row],[Order_Date]]="","",YEAR(Clean_Data[[#This Row],[Order_Date]]))</f>
        <v>2025</v>
      </c>
      <c r="R125" t="str">
        <f>TEXT(Clean_Data[[#This Row],[Order_Date]],"mmm")</f>
        <v>Feb</v>
      </c>
      <c r="S125" t="str">
        <f>TEXT(Clean_Data[[#This Row],[Order_Date]],"mmm-yy")</f>
        <v>Feb-25</v>
      </c>
      <c r="V125"/>
    </row>
    <row r="126" spans="1:22" x14ac:dyDescent="0.25">
      <c r="A126" t="s">
        <v>177</v>
      </c>
      <c r="B126" s="1">
        <v>46217</v>
      </c>
      <c r="C126" t="s">
        <v>48</v>
      </c>
      <c r="D126" t="s">
        <v>36</v>
      </c>
      <c r="E126" t="s">
        <v>14</v>
      </c>
      <c r="F126" t="s">
        <v>15</v>
      </c>
      <c r="G126">
        <v>4</v>
      </c>
      <c r="H126">
        <v>12500</v>
      </c>
      <c r="I126">
        <v>8112</v>
      </c>
      <c r="J126" t="s">
        <v>16</v>
      </c>
      <c r="K126" t="s">
        <v>23</v>
      </c>
      <c r="L126">
        <f>SUM(Clean_Data[[#This Row],[Units_Sold]]*Clean_Data[[#This Row],[Unit_Price]])</f>
        <v>50000</v>
      </c>
      <c r="M126">
        <f>Clean_Data[[#This Row],[Units_Sold]]*Clean_Data[[#This Row],[Cost_Price]]</f>
        <v>32448</v>
      </c>
      <c r="N126">
        <f>Clean_Data[[#This Row],[Total_Sales]]-Clean_Data[[#This Row],[Total_Cost]]</f>
        <v>17552</v>
      </c>
      <c r="O126" s="2">
        <f>Clean_Data[[#This Row],[Profit]]/Clean_Data[[#This Row],[Total_Sales]]</f>
        <v>0.35104000000000002</v>
      </c>
      <c r="P126" t="str">
        <f>_xlfn.XLOOKUP(Clean_Data[[#This Row],[Product_Code]],Product_Catalog!A:A,Product_Catalog!C:C)</f>
        <v>Accessories</v>
      </c>
      <c r="Q126">
        <f>IF(Clean_Data[[#This Row],[Order_Date]]="","",YEAR(Clean_Data[[#This Row],[Order_Date]]))</f>
        <v>2026</v>
      </c>
      <c r="R126" t="str">
        <f>TEXT(Clean_Data[[#This Row],[Order_Date]],"mmm")</f>
        <v>Jul</v>
      </c>
      <c r="S126" t="str">
        <f>TEXT(Clean_Data[[#This Row],[Order_Date]],"mmm-yy")</f>
        <v>Jul-26</v>
      </c>
      <c r="V126"/>
    </row>
    <row r="127" spans="1:22" x14ac:dyDescent="0.25">
      <c r="A127" t="s">
        <v>178</v>
      </c>
      <c r="B127" s="1">
        <v>46185</v>
      </c>
      <c r="C127" t="s">
        <v>25</v>
      </c>
      <c r="D127" t="s">
        <v>40</v>
      </c>
      <c r="E127" t="s">
        <v>14</v>
      </c>
      <c r="F127" t="s">
        <v>15</v>
      </c>
      <c r="G127">
        <v>15</v>
      </c>
      <c r="H127">
        <v>12500</v>
      </c>
      <c r="I127">
        <v>8344</v>
      </c>
      <c r="J127" t="s">
        <v>29</v>
      </c>
      <c r="K127" t="s">
        <v>46</v>
      </c>
      <c r="L127">
        <f>SUM(Clean_Data[[#This Row],[Units_Sold]]*Clean_Data[[#This Row],[Unit_Price]])</f>
        <v>187500</v>
      </c>
      <c r="M127">
        <f>Clean_Data[[#This Row],[Units_Sold]]*Clean_Data[[#This Row],[Cost_Price]]</f>
        <v>125160</v>
      </c>
      <c r="N127">
        <f>Clean_Data[[#This Row],[Total_Sales]]-Clean_Data[[#This Row],[Total_Cost]]</f>
        <v>62340</v>
      </c>
      <c r="O127" s="2">
        <f>Clean_Data[[#This Row],[Profit]]/Clean_Data[[#This Row],[Total_Sales]]</f>
        <v>0.33248</v>
      </c>
      <c r="P127" t="str">
        <f>_xlfn.XLOOKUP(Clean_Data[[#This Row],[Product_Code]],Product_Catalog!A:A,Product_Catalog!C:C)</f>
        <v>Accessories</v>
      </c>
      <c r="Q127">
        <f>IF(Clean_Data[[#This Row],[Order_Date]]="","",YEAR(Clean_Data[[#This Row],[Order_Date]]))</f>
        <v>2026</v>
      </c>
      <c r="R127" t="str">
        <f>TEXT(Clean_Data[[#This Row],[Order_Date]],"mmm")</f>
        <v>Jun</v>
      </c>
      <c r="S127" t="str">
        <f>TEXT(Clean_Data[[#This Row],[Order_Date]],"mmm-yy")</f>
        <v>Jun-26</v>
      </c>
      <c r="V127"/>
    </row>
    <row r="128" spans="1:22" x14ac:dyDescent="0.25">
      <c r="A128" t="s">
        <v>179</v>
      </c>
      <c r="B128" s="1">
        <v>46113</v>
      </c>
      <c r="C128" t="s">
        <v>12</v>
      </c>
      <c r="D128" t="s">
        <v>40</v>
      </c>
      <c r="E128" t="s">
        <v>14</v>
      </c>
      <c r="F128" t="s">
        <v>15</v>
      </c>
      <c r="G128">
        <v>4</v>
      </c>
      <c r="H128">
        <v>12500</v>
      </c>
      <c r="I128">
        <v>7853</v>
      </c>
      <c r="J128" t="s">
        <v>29</v>
      </c>
      <c r="K128" t="s">
        <v>23</v>
      </c>
      <c r="L128">
        <f>SUM(Clean_Data[[#This Row],[Units_Sold]]*Clean_Data[[#This Row],[Unit_Price]])</f>
        <v>50000</v>
      </c>
      <c r="M128">
        <f>Clean_Data[[#This Row],[Units_Sold]]*Clean_Data[[#This Row],[Cost_Price]]</f>
        <v>31412</v>
      </c>
      <c r="N128">
        <f>Clean_Data[[#This Row],[Total_Sales]]-Clean_Data[[#This Row],[Total_Cost]]</f>
        <v>18588</v>
      </c>
      <c r="O128" s="2">
        <f>Clean_Data[[#This Row],[Profit]]/Clean_Data[[#This Row],[Total_Sales]]</f>
        <v>0.37175999999999998</v>
      </c>
      <c r="P128" t="str">
        <f>_xlfn.XLOOKUP(Clean_Data[[#This Row],[Product_Code]],Product_Catalog!A:A,Product_Catalog!C:C)</f>
        <v>Accessories</v>
      </c>
      <c r="Q128">
        <f>IF(Clean_Data[[#This Row],[Order_Date]]="","",YEAR(Clean_Data[[#This Row],[Order_Date]]))</f>
        <v>2026</v>
      </c>
      <c r="R128" t="str">
        <f>TEXT(Clean_Data[[#This Row],[Order_Date]],"mmm")</f>
        <v>Apr</v>
      </c>
      <c r="S128" t="str">
        <f>TEXT(Clean_Data[[#This Row],[Order_Date]],"mmm-yy")</f>
        <v>Apr-26</v>
      </c>
      <c r="V128"/>
    </row>
    <row r="129" spans="1:22" x14ac:dyDescent="0.25">
      <c r="A129" t="s">
        <v>180</v>
      </c>
      <c r="B129" s="1">
        <v>45855</v>
      </c>
      <c r="C129" t="s">
        <v>53</v>
      </c>
      <c r="D129" t="s">
        <v>40</v>
      </c>
      <c r="E129" t="s">
        <v>20</v>
      </c>
      <c r="F129" t="s">
        <v>21</v>
      </c>
      <c r="G129">
        <v>6</v>
      </c>
      <c r="H129">
        <v>8500</v>
      </c>
      <c r="I129">
        <v>5341</v>
      </c>
      <c r="J129" t="s">
        <v>29</v>
      </c>
      <c r="K129" t="s">
        <v>17</v>
      </c>
      <c r="L129">
        <f>SUM(Clean_Data[[#This Row],[Units_Sold]]*Clean_Data[[#This Row],[Unit_Price]])</f>
        <v>51000</v>
      </c>
      <c r="M129">
        <f>Clean_Data[[#This Row],[Units_Sold]]*Clean_Data[[#This Row],[Cost_Price]]</f>
        <v>32046</v>
      </c>
      <c r="N129">
        <f>Clean_Data[[#This Row],[Total_Sales]]-Clean_Data[[#This Row],[Total_Cost]]</f>
        <v>18954</v>
      </c>
      <c r="O129" s="2">
        <f>Clean_Data[[#This Row],[Profit]]/Clean_Data[[#This Row],[Total_Sales]]</f>
        <v>0.37164705882352939</v>
      </c>
      <c r="P129" t="str">
        <f>_xlfn.XLOOKUP(Clean_Data[[#This Row],[Product_Code]],Product_Catalog!A:A,Product_Catalog!C:C)</f>
        <v>Accessories</v>
      </c>
      <c r="Q129">
        <f>IF(Clean_Data[[#This Row],[Order_Date]]="","",YEAR(Clean_Data[[#This Row],[Order_Date]]))</f>
        <v>2025</v>
      </c>
      <c r="R129" t="str">
        <f>TEXT(Clean_Data[[#This Row],[Order_Date]],"mmm")</f>
        <v>Jul</v>
      </c>
      <c r="S129" t="str">
        <f>TEXT(Clean_Data[[#This Row],[Order_Date]],"mmm-yy")</f>
        <v>Jul-25</v>
      </c>
      <c r="V129"/>
    </row>
    <row r="130" spans="1:22" x14ac:dyDescent="0.25">
      <c r="A130" t="s">
        <v>181</v>
      </c>
      <c r="B130" s="1">
        <v>46213</v>
      </c>
      <c r="C130" t="s">
        <v>19</v>
      </c>
      <c r="D130" t="s">
        <v>36</v>
      </c>
      <c r="E130" t="s">
        <v>14</v>
      </c>
      <c r="F130" t="s">
        <v>15</v>
      </c>
      <c r="G130">
        <v>18</v>
      </c>
      <c r="H130">
        <v>12500</v>
      </c>
      <c r="I130">
        <v>8212</v>
      </c>
      <c r="J130" t="s">
        <v>29</v>
      </c>
      <c r="K130" t="s">
        <v>17</v>
      </c>
      <c r="L130">
        <f>SUM(Clean_Data[[#This Row],[Units_Sold]]*Clean_Data[[#This Row],[Unit_Price]])</f>
        <v>225000</v>
      </c>
      <c r="M130">
        <f>Clean_Data[[#This Row],[Units_Sold]]*Clean_Data[[#This Row],[Cost_Price]]</f>
        <v>147816</v>
      </c>
      <c r="N130">
        <f>Clean_Data[[#This Row],[Total_Sales]]-Clean_Data[[#This Row],[Total_Cost]]</f>
        <v>77184</v>
      </c>
      <c r="O130" s="2">
        <f>Clean_Data[[#This Row],[Profit]]/Clean_Data[[#This Row],[Total_Sales]]</f>
        <v>0.34304000000000001</v>
      </c>
      <c r="P130" t="str">
        <f>_xlfn.XLOOKUP(Clean_Data[[#This Row],[Product_Code]],Product_Catalog!A:A,Product_Catalog!C:C)</f>
        <v>Accessories</v>
      </c>
      <c r="Q130">
        <f>IF(Clean_Data[[#This Row],[Order_Date]]="","",YEAR(Clean_Data[[#This Row],[Order_Date]]))</f>
        <v>2026</v>
      </c>
      <c r="R130" t="str">
        <f>TEXT(Clean_Data[[#This Row],[Order_Date]],"mmm")</f>
        <v>Jul</v>
      </c>
      <c r="S130" t="str">
        <f>TEXT(Clean_Data[[#This Row],[Order_Date]],"mmm-yy")</f>
        <v>Jul-26</v>
      </c>
      <c r="V130"/>
    </row>
    <row r="131" spans="1:22" x14ac:dyDescent="0.25">
      <c r="A131" t="s">
        <v>182</v>
      </c>
      <c r="B131" s="1">
        <v>45809</v>
      </c>
      <c r="C131" t="s">
        <v>19</v>
      </c>
      <c r="D131" t="s">
        <v>26</v>
      </c>
      <c r="E131" t="s">
        <v>20</v>
      </c>
      <c r="F131" t="s">
        <v>21</v>
      </c>
      <c r="G131">
        <v>9</v>
      </c>
      <c r="H131">
        <v>8500</v>
      </c>
      <c r="I131">
        <v>6402</v>
      </c>
      <c r="J131" t="s">
        <v>45</v>
      </c>
      <c r="K131" t="s">
        <v>84</v>
      </c>
      <c r="L131">
        <f>SUM(Clean_Data[[#This Row],[Units_Sold]]*Clean_Data[[#This Row],[Unit_Price]])</f>
        <v>76500</v>
      </c>
      <c r="M131">
        <f>Clean_Data[[#This Row],[Units_Sold]]*Clean_Data[[#This Row],[Cost_Price]]</f>
        <v>57618</v>
      </c>
      <c r="N131">
        <f>Clean_Data[[#This Row],[Total_Sales]]-Clean_Data[[#This Row],[Total_Cost]]</f>
        <v>18882</v>
      </c>
      <c r="O131" s="2">
        <f>Clean_Data[[#This Row],[Profit]]/Clean_Data[[#This Row],[Total_Sales]]</f>
        <v>0.24682352941176472</v>
      </c>
      <c r="P131" t="str">
        <f>_xlfn.XLOOKUP(Clean_Data[[#This Row],[Product_Code]],Product_Catalog!A:A,Product_Catalog!C:C)</f>
        <v>Accessories</v>
      </c>
      <c r="Q131">
        <f>IF(Clean_Data[[#This Row],[Order_Date]]="","",YEAR(Clean_Data[[#This Row],[Order_Date]]))</f>
        <v>2025</v>
      </c>
      <c r="R131" t="str">
        <f>TEXT(Clean_Data[[#This Row],[Order_Date]],"mmm")</f>
        <v>Jun</v>
      </c>
      <c r="S131" t="str">
        <f>TEXT(Clean_Data[[#This Row],[Order_Date]],"mmm-yy")</f>
        <v>Jun-25</v>
      </c>
      <c r="V131"/>
    </row>
    <row r="132" spans="1:22" x14ac:dyDescent="0.25">
      <c r="A132" t="s">
        <v>183</v>
      </c>
      <c r="B132" s="1">
        <v>45862</v>
      </c>
      <c r="C132" t="s">
        <v>44</v>
      </c>
      <c r="D132" t="s">
        <v>40</v>
      </c>
      <c r="E132" t="s">
        <v>63</v>
      </c>
      <c r="F132" t="s">
        <v>59</v>
      </c>
      <c r="G132">
        <v>19</v>
      </c>
      <c r="H132">
        <v>4500</v>
      </c>
      <c r="I132">
        <v>3101</v>
      </c>
      <c r="J132" t="s">
        <v>45</v>
      </c>
      <c r="K132" t="s">
        <v>23</v>
      </c>
      <c r="L132">
        <f>SUM(Clean_Data[[#This Row],[Units_Sold]]*Clean_Data[[#This Row],[Unit_Price]])</f>
        <v>85500</v>
      </c>
      <c r="M132">
        <f>Clean_Data[[#This Row],[Units_Sold]]*Clean_Data[[#This Row],[Cost_Price]]</f>
        <v>58919</v>
      </c>
      <c r="N132">
        <f>Clean_Data[[#This Row],[Total_Sales]]-Clean_Data[[#This Row],[Total_Cost]]</f>
        <v>26581</v>
      </c>
      <c r="O132" s="2">
        <f>Clean_Data[[#This Row],[Profit]]/Clean_Data[[#This Row],[Total_Sales]]</f>
        <v>0.31088888888888888</v>
      </c>
      <c r="P132" t="str">
        <f>_xlfn.XLOOKUP(Clean_Data[[#This Row],[Product_Code]],Product_Catalog!A:A,Product_Catalog!C:C)</f>
        <v>Electronics</v>
      </c>
      <c r="Q132">
        <f>IF(Clean_Data[[#This Row],[Order_Date]]="","",YEAR(Clean_Data[[#This Row],[Order_Date]]))</f>
        <v>2025</v>
      </c>
      <c r="R132" t="str">
        <f>TEXT(Clean_Data[[#This Row],[Order_Date]],"mmm")</f>
        <v>Jul</v>
      </c>
      <c r="S132" t="str">
        <f>TEXT(Clean_Data[[#This Row],[Order_Date]],"mmm-yy")</f>
        <v>Jul-25</v>
      </c>
      <c r="V132"/>
    </row>
    <row r="133" spans="1:22" x14ac:dyDescent="0.25">
      <c r="A133" t="s">
        <v>184</v>
      </c>
      <c r="B133" s="1">
        <v>45864</v>
      </c>
      <c r="C133" t="s">
        <v>25</v>
      </c>
      <c r="D133" t="s">
        <v>26</v>
      </c>
      <c r="E133" t="s">
        <v>63</v>
      </c>
      <c r="F133" t="s">
        <v>59</v>
      </c>
      <c r="G133">
        <v>13</v>
      </c>
      <c r="H133">
        <v>4500</v>
      </c>
      <c r="I133">
        <v>2906</v>
      </c>
      <c r="J133" t="s">
        <v>29</v>
      </c>
      <c r="K133" t="s">
        <v>17</v>
      </c>
      <c r="L133">
        <f>SUM(Clean_Data[[#This Row],[Units_Sold]]*Clean_Data[[#This Row],[Unit_Price]])</f>
        <v>58500</v>
      </c>
      <c r="M133">
        <f>Clean_Data[[#This Row],[Units_Sold]]*Clean_Data[[#This Row],[Cost_Price]]</f>
        <v>37778</v>
      </c>
      <c r="N133">
        <f>Clean_Data[[#This Row],[Total_Sales]]-Clean_Data[[#This Row],[Total_Cost]]</f>
        <v>20722</v>
      </c>
      <c r="O133" s="2">
        <f>Clean_Data[[#This Row],[Profit]]/Clean_Data[[#This Row],[Total_Sales]]</f>
        <v>0.35422222222222222</v>
      </c>
      <c r="P133" t="str">
        <f>_xlfn.XLOOKUP(Clean_Data[[#This Row],[Product_Code]],Product_Catalog!A:A,Product_Catalog!C:C)</f>
        <v>Electronics</v>
      </c>
      <c r="Q133">
        <f>IF(Clean_Data[[#This Row],[Order_Date]]="","",YEAR(Clean_Data[[#This Row],[Order_Date]]))</f>
        <v>2025</v>
      </c>
      <c r="R133" t="str">
        <f>TEXT(Clean_Data[[#This Row],[Order_Date]],"mmm")</f>
        <v>Jul</v>
      </c>
      <c r="S133" t="str">
        <f>TEXT(Clean_Data[[#This Row],[Order_Date]],"mmm-yy")</f>
        <v>Jul-25</v>
      </c>
      <c r="V133"/>
    </row>
    <row r="134" spans="1:22" x14ac:dyDescent="0.25">
      <c r="A134" t="s">
        <v>185</v>
      </c>
      <c r="B134" s="1">
        <v>45949</v>
      </c>
      <c r="C134" t="s">
        <v>44</v>
      </c>
      <c r="D134" t="s">
        <v>13</v>
      </c>
      <c r="E134" t="s">
        <v>37</v>
      </c>
      <c r="F134" t="s">
        <v>38</v>
      </c>
      <c r="G134">
        <v>11</v>
      </c>
      <c r="H134">
        <v>55000</v>
      </c>
      <c r="I134">
        <v>36566</v>
      </c>
      <c r="J134" t="s">
        <v>29</v>
      </c>
      <c r="K134" t="s">
        <v>17</v>
      </c>
      <c r="L134">
        <f>SUM(Clean_Data[[#This Row],[Units_Sold]]*Clean_Data[[#This Row],[Unit_Price]])</f>
        <v>605000</v>
      </c>
      <c r="M134">
        <f>Clean_Data[[#This Row],[Units_Sold]]*Clean_Data[[#This Row],[Cost_Price]]</f>
        <v>402226</v>
      </c>
      <c r="N134">
        <f>Clean_Data[[#This Row],[Total_Sales]]-Clean_Data[[#This Row],[Total_Cost]]</f>
        <v>202774</v>
      </c>
      <c r="O134" s="2">
        <f>Clean_Data[[#This Row],[Profit]]/Clean_Data[[#This Row],[Total_Sales]]</f>
        <v>0.33516363636363639</v>
      </c>
      <c r="P134" t="str">
        <f>_xlfn.XLOOKUP(Clean_Data[[#This Row],[Product_Code]],Product_Catalog!A:A,Product_Catalog!C:C)</f>
        <v>Electronics</v>
      </c>
      <c r="Q134">
        <f>IF(Clean_Data[[#This Row],[Order_Date]]="","",YEAR(Clean_Data[[#This Row],[Order_Date]]))</f>
        <v>2025</v>
      </c>
      <c r="R134" t="str">
        <f>TEXT(Clean_Data[[#This Row],[Order_Date]],"mmm")</f>
        <v>Oct</v>
      </c>
      <c r="S134" t="str">
        <f>TEXT(Clean_Data[[#This Row],[Order_Date]],"mmm-yy")</f>
        <v>Oct-25</v>
      </c>
      <c r="V134"/>
    </row>
    <row r="135" spans="1:22" x14ac:dyDescent="0.25">
      <c r="A135" t="s">
        <v>186</v>
      </c>
      <c r="B135" s="1">
        <v>45941</v>
      </c>
      <c r="C135" t="s">
        <v>53</v>
      </c>
      <c r="D135" t="s">
        <v>33</v>
      </c>
      <c r="E135" t="s">
        <v>27</v>
      </c>
      <c r="F135" t="s">
        <v>28</v>
      </c>
      <c r="G135">
        <v>11</v>
      </c>
      <c r="H135">
        <v>14000</v>
      </c>
      <c r="I135">
        <v>9338</v>
      </c>
      <c r="J135" t="s">
        <v>29</v>
      </c>
      <c r="K135" t="s">
        <v>23</v>
      </c>
      <c r="L135">
        <f>SUM(Clean_Data[[#This Row],[Units_Sold]]*Clean_Data[[#This Row],[Unit_Price]])</f>
        <v>154000</v>
      </c>
      <c r="M135">
        <f>Clean_Data[[#This Row],[Units_Sold]]*Clean_Data[[#This Row],[Cost_Price]]</f>
        <v>102718</v>
      </c>
      <c r="N135">
        <f>Clean_Data[[#This Row],[Total_Sales]]-Clean_Data[[#This Row],[Total_Cost]]</f>
        <v>51282</v>
      </c>
      <c r="O135" s="2">
        <f>Clean_Data[[#This Row],[Profit]]/Clean_Data[[#This Row],[Total_Sales]]</f>
        <v>0.33300000000000002</v>
      </c>
      <c r="P135" t="str">
        <f>_xlfn.XLOOKUP(Clean_Data[[#This Row],[Product_Code]],Product_Catalog!A:A,Product_Catalog!C:C)</f>
        <v>Furniture</v>
      </c>
      <c r="Q135">
        <f>IF(Clean_Data[[#This Row],[Order_Date]]="","",YEAR(Clean_Data[[#This Row],[Order_Date]]))</f>
        <v>2025</v>
      </c>
      <c r="R135" t="str">
        <f>TEXT(Clean_Data[[#This Row],[Order_Date]],"mmm")</f>
        <v>Oct</v>
      </c>
      <c r="S135" t="str">
        <f>TEXT(Clean_Data[[#This Row],[Order_Date]],"mmm-yy")</f>
        <v>Oct-25</v>
      </c>
      <c r="V135"/>
    </row>
    <row r="136" spans="1:22" x14ac:dyDescent="0.25">
      <c r="A136" t="s">
        <v>188</v>
      </c>
      <c r="B136" s="1">
        <v>45861</v>
      </c>
      <c r="C136" t="s">
        <v>48</v>
      </c>
      <c r="D136" t="s">
        <v>33</v>
      </c>
      <c r="E136" t="s">
        <v>41</v>
      </c>
      <c r="F136" t="s">
        <v>42</v>
      </c>
      <c r="G136">
        <v>12</v>
      </c>
      <c r="H136">
        <v>28000</v>
      </c>
      <c r="I136">
        <v>20889</v>
      </c>
      <c r="J136" t="s">
        <v>29</v>
      </c>
      <c r="K136" t="s">
        <v>46</v>
      </c>
      <c r="L136">
        <f>SUM(Clean_Data[[#This Row],[Units_Sold]]*Clean_Data[[#This Row],[Unit_Price]])</f>
        <v>336000</v>
      </c>
      <c r="M136">
        <f>Clean_Data[[#This Row],[Units_Sold]]*Clean_Data[[#This Row],[Cost_Price]]</f>
        <v>250668</v>
      </c>
      <c r="N136">
        <f>Clean_Data[[#This Row],[Total_Sales]]-Clean_Data[[#This Row],[Total_Cost]]</f>
        <v>85332</v>
      </c>
      <c r="O136" s="2">
        <f>Clean_Data[[#This Row],[Profit]]/Clean_Data[[#This Row],[Total_Sales]]</f>
        <v>0.2539642857142857</v>
      </c>
      <c r="P136" t="str">
        <f>_xlfn.XLOOKUP(Clean_Data[[#This Row],[Product_Code]],Product_Catalog!A:A,Product_Catalog!C:C)</f>
        <v>Electronics</v>
      </c>
      <c r="Q136">
        <f>IF(Clean_Data[[#This Row],[Order_Date]]="","",YEAR(Clean_Data[[#This Row],[Order_Date]]))</f>
        <v>2025</v>
      </c>
      <c r="R136" t="str">
        <f>TEXT(Clean_Data[[#This Row],[Order_Date]],"mmm")</f>
        <v>Jul</v>
      </c>
      <c r="S136" t="str">
        <f>TEXT(Clean_Data[[#This Row],[Order_Date]],"mmm-yy")</f>
        <v>Jul-25</v>
      </c>
      <c r="V136"/>
    </row>
    <row r="137" spans="1:22" x14ac:dyDescent="0.25">
      <c r="A137" t="s">
        <v>189</v>
      </c>
      <c r="B137" s="1">
        <v>46111</v>
      </c>
      <c r="C137" t="s">
        <v>12</v>
      </c>
      <c r="D137" t="s">
        <v>13</v>
      </c>
      <c r="E137" t="s">
        <v>41</v>
      </c>
      <c r="F137" t="s">
        <v>42</v>
      </c>
      <c r="G137">
        <v>19</v>
      </c>
      <c r="H137">
        <v>28000</v>
      </c>
      <c r="I137">
        <v>17842</v>
      </c>
      <c r="J137" t="s">
        <v>29</v>
      </c>
      <c r="K137" t="s">
        <v>23</v>
      </c>
      <c r="L137">
        <f>SUM(Clean_Data[[#This Row],[Units_Sold]]*Clean_Data[[#This Row],[Unit_Price]])</f>
        <v>532000</v>
      </c>
      <c r="M137">
        <f>Clean_Data[[#This Row],[Units_Sold]]*Clean_Data[[#This Row],[Cost_Price]]</f>
        <v>338998</v>
      </c>
      <c r="N137">
        <f>Clean_Data[[#This Row],[Total_Sales]]-Clean_Data[[#This Row],[Total_Cost]]</f>
        <v>193002</v>
      </c>
      <c r="O137" s="2">
        <f>Clean_Data[[#This Row],[Profit]]/Clean_Data[[#This Row],[Total_Sales]]</f>
        <v>0.36278571428571427</v>
      </c>
      <c r="P137" t="str">
        <f>_xlfn.XLOOKUP(Clean_Data[[#This Row],[Product_Code]],Product_Catalog!A:A,Product_Catalog!C:C)</f>
        <v>Electronics</v>
      </c>
      <c r="Q137">
        <f>IF(Clean_Data[[#This Row],[Order_Date]]="","",YEAR(Clean_Data[[#This Row],[Order_Date]]))</f>
        <v>2026</v>
      </c>
      <c r="R137" t="str">
        <f>TEXT(Clean_Data[[#This Row],[Order_Date]],"mmm")</f>
        <v>Mar</v>
      </c>
      <c r="S137" t="str">
        <f>TEXT(Clean_Data[[#This Row],[Order_Date]],"mmm-yy")</f>
        <v>Mar-26</v>
      </c>
      <c r="V137"/>
    </row>
    <row r="138" spans="1:22" x14ac:dyDescent="0.25">
      <c r="A138" t="s">
        <v>190</v>
      </c>
      <c r="B138" s="1">
        <v>46061</v>
      </c>
      <c r="C138" t="s">
        <v>19</v>
      </c>
      <c r="D138" t="s">
        <v>13</v>
      </c>
      <c r="E138" t="s">
        <v>66</v>
      </c>
      <c r="F138" t="s">
        <v>67</v>
      </c>
      <c r="G138">
        <v>12</v>
      </c>
      <c r="H138">
        <v>2500</v>
      </c>
      <c r="I138">
        <v>1906</v>
      </c>
      <c r="J138" t="s">
        <v>29</v>
      </c>
      <c r="K138" t="s">
        <v>23</v>
      </c>
      <c r="L138">
        <f>SUM(Clean_Data[[#This Row],[Units_Sold]]*Clean_Data[[#This Row],[Unit_Price]])</f>
        <v>30000</v>
      </c>
      <c r="M138">
        <f>Clean_Data[[#This Row],[Units_Sold]]*Clean_Data[[#This Row],[Cost_Price]]</f>
        <v>22872</v>
      </c>
      <c r="N138">
        <f>Clean_Data[[#This Row],[Total_Sales]]-Clean_Data[[#This Row],[Total_Cost]]</f>
        <v>7128</v>
      </c>
      <c r="O138" s="2">
        <f>Clean_Data[[#This Row],[Profit]]/Clean_Data[[#This Row],[Total_Sales]]</f>
        <v>0.23760000000000001</v>
      </c>
      <c r="P138" t="str">
        <f>_xlfn.XLOOKUP(Clean_Data[[#This Row],[Product_Code]],Product_Catalog!A:A,Product_Catalog!C:C)</f>
        <v>Electronics</v>
      </c>
      <c r="Q138">
        <f>IF(Clean_Data[[#This Row],[Order_Date]]="","",YEAR(Clean_Data[[#This Row],[Order_Date]]))</f>
        <v>2026</v>
      </c>
      <c r="R138" t="str">
        <f>TEXT(Clean_Data[[#This Row],[Order_Date]],"mmm")</f>
        <v>Feb</v>
      </c>
      <c r="S138" t="str">
        <f>TEXT(Clean_Data[[#This Row],[Order_Date]],"mmm-yy")</f>
        <v>Feb-26</v>
      </c>
      <c r="V138"/>
    </row>
    <row r="139" spans="1:22" x14ac:dyDescent="0.25">
      <c r="A139" t="s">
        <v>191</v>
      </c>
      <c r="B139" s="1">
        <v>45734</v>
      </c>
      <c r="C139" t="s">
        <v>62</v>
      </c>
      <c r="D139" t="s">
        <v>13</v>
      </c>
      <c r="E139" t="s">
        <v>66</v>
      </c>
      <c r="F139" t="s">
        <v>67</v>
      </c>
      <c r="G139">
        <v>10</v>
      </c>
      <c r="H139">
        <v>2500</v>
      </c>
      <c r="I139">
        <v>1575</v>
      </c>
      <c r="J139" t="s">
        <v>45</v>
      </c>
      <c r="K139" t="s">
        <v>46</v>
      </c>
      <c r="L139">
        <f>SUM(Clean_Data[[#This Row],[Units_Sold]]*Clean_Data[[#This Row],[Unit_Price]])</f>
        <v>25000</v>
      </c>
      <c r="M139">
        <f>Clean_Data[[#This Row],[Units_Sold]]*Clean_Data[[#This Row],[Cost_Price]]</f>
        <v>15750</v>
      </c>
      <c r="N139">
        <f>Clean_Data[[#This Row],[Total_Sales]]-Clean_Data[[#This Row],[Total_Cost]]</f>
        <v>9250</v>
      </c>
      <c r="O139" s="2">
        <f>Clean_Data[[#This Row],[Profit]]/Clean_Data[[#This Row],[Total_Sales]]</f>
        <v>0.37</v>
      </c>
      <c r="P139" t="str">
        <f>_xlfn.XLOOKUP(Clean_Data[[#This Row],[Product_Code]],Product_Catalog!A:A,Product_Catalog!C:C)</f>
        <v>Electronics</v>
      </c>
      <c r="Q139">
        <f>IF(Clean_Data[[#This Row],[Order_Date]]="","",YEAR(Clean_Data[[#This Row],[Order_Date]]))</f>
        <v>2025</v>
      </c>
      <c r="R139" t="str">
        <f>TEXT(Clean_Data[[#This Row],[Order_Date]],"mmm")</f>
        <v>Mar</v>
      </c>
      <c r="S139" t="str">
        <f>TEXT(Clean_Data[[#This Row],[Order_Date]],"mmm-yy")</f>
        <v>Mar-25</v>
      </c>
      <c r="V139"/>
    </row>
    <row r="140" spans="1:22" x14ac:dyDescent="0.25">
      <c r="A140" t="s">
        <v>192</v>
      </c>
      <c r="B140" s="1">
        <v>46098</v>
      </c>
      <c r="C140" t="s">
        <v>53</v>
      </c>
      <c r="D140" t="s">
        <v>26</v>
      </c>
      <c r="E140" t="s">
        <v>27</v>
      </c>
      <c r="F140" t="s">
        <v>28</v>
      </c>
      <c r="G140">
        <v>15</v>
      </c>
      <c r="H140">
        <v>14000</v>
      </c>
      <c r="I140">
        <v>11154</v>
      </c>
      <c r="J140" t="s">
        <v>29</v>
      </c>
      <c r="K140" t="s">
        <v>17</v>
      </c>
      <c r="L140">
        <f>SUM(Clean_Data[[#This Row],[Units_Sold]]*Clean_Data[[#This Row],[Unit_Price]])</f>
        <v>210000</v>
      </c>
      <c r="M140">
        <f>Clean_Data[[#This Row],[Units_Sold]]*Clean_Data[[#This Row],[Cost_Price]]</f>
        <v>167310</v>
      </c>
      <c r="N140">
        <f>Clean_Data[[#This Row],[Total_Sales]]-Clean_Data[[#This Row],[Total_Cost]]</f>
        <v>42690</v>
      </c>
      <c r="O140" s="2">
        <f>Clean_Data[[#This Row],[Profit]]/Clean_Data[[#This Row],[Total_Sales]]</f>
        <v>0.20328571428571429</v>
      </c>
      <c r="P140" t="str">
        <f>_xlfn.XLOOKUP(Clean_Data[[#This Row],[Product_Code]],Product_Catalog!A:A,Product_Catalog!C:C)</f>
        <v>Furniture</v>
      </c>
      <c r="Q140">
        <f>IF(Clean_Data[[#This Row],[Order_Date]]="","",YEAR(Clean_Data[[#This Row],[Order_Date]]))</f>
        <v>2026</v>
      </c>
      <c r="R140" t="str">
        <f>TEXT(Clean_Data[[#This Row],[Order_Date]],"mmm")</f>
        <v>Mar</v>
      </c>
      <c r="S140" t="str">
        <f>TEXT(Clean_Data[[#This Row],[Order_Date]],"mmm-yy")</f>
        <v>Mar-26</v>
      </c>
      <c r="V140"/>
    </row>
    <row r="141" spans="1:22" x14ac:dyDescent="0.25">
      <c r="A141" t="s">
        <v>193</v>
      </c>
      <c r="B141" s="1">
        <v>45659</v>
      </c>
      <c r="C141" t="s">
        <v>44</v>
      </c>
      <c r="D141" t="s">
        <v>13</v>
      </c>
      <c r="E141" t="s">
        <v>20</v>
      </c>
      <c r="F141" t="s">
        <v>21</v>
      </c>
      <c r="G141">
        <v>11</v>
      </c>
      <c r="H141">
        <v>8500</v>
      </c>
      <c r="I141">
        <v>6344</v>
      </c>
      <c r="J141" t="s">
        <v>45</v>
      </c>
      <c r="K141" t="s">
        <v>46</v>
      </c>
      <c r="L141">
        <f>SUM(Clean_Data[[#This Row],[Units_Sold]]*Clean_Data[[#This Row],[Unit_Price]])</f>
        <v>93500</v>
      </c>
      <c r="M141">
        <f>Clean_Data[[#This Row],[Units_Sold]]*Clean_Data[[#This Row],[Cost_Price]]</f>
        <v>69784</v>
      </c>
      <c r="N141">
        <f>Clean_Data[[#This Row],[Total_Sales]]-Clean_Data[[#This Row],[Total_Cost]]</f>
        <v>23716</v>
      </c>
      <c r="O141" s="2">
        <f>Clean_Data[[#This Row],[Profit]]/Clean_Data[[#This Row],[Total_Sales]]</f>
        <v>0.25364705882352939</v>
      </c>
      <c r="P141" t="str">
        <f>_xlfn.XLOOKUP(Clean_Data[[#This Row],[Product_Code]],Product_Catalog!A:A,Product_Catalog!C:C)</f>
        <v>Accessories</v>
      </c>
      <c r="Q141">
        <f>IF(Clean_Data[[#This Row],[Order_Date]]="","",YEAR(Clean_Data[[#This Row],[Order_Date]]))</f>
        <v>2025</v>
      </c>
      <c r="R141" t="str">
        <f>TEXT(Clean_Data[[#This Row],[Order_Date]],"mmm")</f>
        <v>Jan</v>
      </c>
      <c r="S141" t="str">
        <f>TEXT(Clean_Data[[#This Row],[Order_Date]],"mmm-yy")</f>
        <v>Jan-25</v>
      </c>
      <c r="V141"/>
    </row>
    <row r="142" spans="1:22" x14ac:dyDescent="0.25">
      <c r="A142" t="s">
        <v>194</v>
      </c>
      <c r="B142" s="1">
        <v>45670</v>
      </c>
      <c r="C142" t="s">
        <v>62</v>
      </c>
      <c r="D142" t="s">
        <v>40</v>
      </c>
      <c r="E142" t="s">
        <v>55</v>
      </c>
      <c r="F142" t="s">
        <v>34</v>
      </c>
      <c r="G142">
        <v>10</v>
      </c>
      <c r="H142">
        <v>35000</v>
      </c>
      <c r="I142">
        <v>22441</v>
      </c>
      <c r="J142" t="s">
        <v>16</v>
      </c>
      <c r="K142" t="s">
        <v>23</v>
      </c>
      <c r="L142">
        <f>SUM(Clean_Data[[#This Row],[Units_Sold]]*Clean_Data[[#This Row],[Unit_Price]])</f>
        <v>350000</v>
      </c>
      <c r="M142">
        <f>Clean_Data[[#This Row],[Units_Sold]]*Clean_Data[[#This Row],[Cost_Price]]</f>
        <v>224410</v>
      </c>
      <c r="N142">
        <f>Clean_Data[[#This Row],[Total_Sales]]-Clean_Data[[#This Row],[Total_Cost]]</f>
        <v>125590</v>
      </c>
      <c r="O142" s="2">
        <f>Clean_Data[[#This Row],[Profit]]/Clean_Data[[#This Row],[Total_Sales]]</f>
        <v>0.35882857142857144</v>
      </c>
      <c r="P142" t="str">
        <f>_xlfn.XLOOKUP(Clean_Data[[#This Row],[Product_Code]],Product_Catalog!A:A,Product_Catalog!C:C)</f>
        <v>Furniture</v>
      </c>
      <c r="Q142">
        <f>IF(Clean_Data[[#This Row],[Order_Date]]="","",YEAR(Clean_Data[[#This Row],[Order_Date]]))</f>
        <v>2025</v>
      </c>
      <c r="R142" t="str">
        <f>TEXT(Clean_Data[[#This Row],[Order_Date]],"mmm")</f>
        <v>Jan</v>
      </c>
      <c r="S142" t="str">
        <f>TEXT(Clean_Data[[#This Row],[Order_Date]],"mmm-yy")</f>
        <v>Jan-25</v>
      </c>
      <c r="V142"/>
    </row>
    <row r="143" spans="1:22" x14ac:dyDescent="0.25">
      <c r="A143" t="s">
        <v>195</v>
      </c>
      <c r="B143" s="1">
        <v>45733</v>
      </c>
      <c r="C143" t="s">
        <v>12</v>
      </c>
      <c r="D143" t="s">
        <v>33</v>
      </c>
      <c r="E143" t="s">
        <v>27</v>
      </c>
      <c r="F143" t="s">
        <v>28</v>
      </c>
      <c r="G143">
        <v>6</v>
      </c>
      <c r="H143">
        <v>14000</v>
      </c>
      <c r="I143">
        <v>9328</v>
      </c>
      <c r="J143" t="s">
        <v>16</v>
      </c>
      <c r="K143" t="s">
        <v>23</v>
      </c>
      <c r="L143">
        <f>SUM(Clean_Data[[#This Row],[Units_Sold]]*Clean_Data[[#This Row],[Unit_Price]])</f>
        <v>84000</v>
      </c>
      <c r="M143">
        <f>Clean_Data[[#This Row],[Units_Sold]]*Clean_Data[[#This Row],[Cost_Price]]</f>
        <v>55968</v>
      </c>
      <c r="N143">
        <f>Clean_Data[[#This Row],[Total_Sales]]-Clean_Data[[#This Row],[Total_Cost]]</f>
        <v>28032</v>
      </c>
      <c r="O143" s="2">
        <f>Clean_Data[[#This Row],[Profit]]/Clean_Data[[#This Row],[Total_Sales]]</f>
        <v>0.33371428571428574</v>
      </c>
      <c r="P143" t="str">
        <f>_xlfn.XLOOKUP(Clean_Data[[#This Row],[Product_Code]],Product_Catalog!A:A,Product_Catalog!C:C)</f>
        <v>Furniture</v>
      </c>
      <c r="Q143">
        <f>IF(Clean_Data[[#This Row],[Order_Date]]="","",YEAR(Clean_Data[[#This Row],[Order_Date]]))</f>
        <v>2025</v>
      </c>
      <c r="R143" t="str">
        <f>TEXT(Clean_Data[[#This Row],[Order_Date]],"mmm")</f>
        <v>Mar</v>
      </c>
      <c r="S143" t="str">
        <f>TEXT(Clean_Data[[#This Row],[Order_Date]],"mmm-yy")</f>
        <v>Mar-25</v>
      </c>
      <c r="V143"/>
    </row>
    <row r="144" spans="1:22" x14ac:dyDescent="0.25">
      <c r="A144" t="s">
        <v>196</v>
      </c>
      <c r="B144" s="1">
        <v>45782</v>
      </c>
      <c r="C144" t="s">
        <v>53</v>
      </c>
      <c r="D144" t="s">
        <v>13</v>
      </c>
      <c r="E144" t="s">
        <v>49</v>
      </c>
      <c r="F144" t="s">
        <v>50</v>
      </c>
      <c r="G144">
        <v>1</v>
      </c>
      <c r="H144">
        <v>75000</v>
      </c>
      <c r="I144">
        <v>57161</v>
      </c>
      <c r="J144" t="s">
        <v>22</v>
      </c>
      <c r="K144" t="s">
        <v>17</v>
      </c>
      <c r="L144">
        <f>SUM(Clean_Data[[#This Row],[Units_Sold]]*Clean_Data[[#This Row],[Unit_Price]])</f>
        <v>75000</v>
      </c>
      <c r="M144">
        <f>Clean_Data[[#This Row],[Units_Sold]]*Clean_Data[[#This Row],[Cost_Price]]</f>
        <v>57161</v>
      </c>
      <c r="N144">
        <f>Clean_Data[[#This Row],[Total_Sales]]-Clean_Data[[#This Row],[Total_Cost]]</f>
        <v>17839</v>
      </c>
      <c r="O144" s="2">
        <f>Clean_Data[[#This Row],[Profit]]/Clean_Data[[#This Row],[Total_Sales]]</f>
        <v>0.23785333333333333</v>
      </c>
      <c r="P144" t="str">
        <f>_xlfn.XLOOKUP(Clean_Data[[#This Row],[Product_Code]],Product_Catalog!A:A,Product_Catalog!C:C)</f>
        <v>Electronics</v>
      </c>
      <c r="Q144">
        <f>IF(Clean_Data[[#This Row],[Order_Date]]="","",YEAR(Clean_Data[[#This Row],[Order_Date]]))</f>
        <v>2025</v>
      </c>
      <c r="R144" t="str">
        <f>TEXT(Clean_Data[[#This Row],[Order_Date]],"mmm")</f>
        <v>May</v>
      </c>
      <c r="S144" t="str">
        <f>TEXT(Clean_Data[[#This Row],[Order_Date]],"mmm-yy")</f>
        <v>May-25</v>
      </c>
      <c r="V144"/>
    </row>
    <row r="145" spans="1:22" x14ac:dyDescent="0.25">
      <c r="A145" t="s">
        <v>197</v>
      </c>
      <c r="B145" s="1">
        <v>45881</v>
      </c>
      <c r="C145" t="s">
        <v>48</v>
      </c>
      <c r="D145" t="s">
        <v>36</v>
      </c>
      <c r="E145" t="s">
        <v>20</v>
      </c>
      <c r="F145" t="s">
        <v>21</v>
      </c>
      <c r="G145">
        <v>1</v>
      </c>
      <c r="H145">
        <v>8500</v>
      </c>
      <c r="I145">
        <v>5295</v>
      </c>
      <c r="J145" t="s">
        <v>22</v>
      </c>
      <c r="K145" t="s">
        <v>23</v>
      </c>
      <c r="L145">
        <f>SUM(Clean_Data[[#This Row],[Units_Sold]]*Clean_Data[[#This Row],[Unit_Price]])</f>
        <v>8500</v>
      </c>
      <c r="M145">
        <f>Clean_Data[[#This Row],[Units_Sold]]*Clean_Data[[#This Row],[Cost_Price]]</f>
        <v>5295</v>
      </c>
      <c r="N145">
        <f>Clean_Data[[#This Row],[Total_Sales]]-Clean_Data[[#This Row],[Total_Cost]]</f>
        <v>3205</v>
      </c>
      <c r="O145" s="2">
        <f>Clean_Data[[#This Row],[Profit]]/Clean_Data[[#This Row],[Total_Sales]]</f>
        <v>0.37705882352941178</v>
      </c>
      <c r="P145" t="str">
        <f>_xlfn.XLOOKUP(Clean_Data[[#This Row],[Product_Code]],Product_Catalog!A:A,Product_Catalog!C:C)</f>
        <v>Accessories</v>
      </c>
      <c r="Q145">
        <f>IF(Clean_Data[[#This Row],[Order_Date]]="","",YEAR(Clean_Data[[#This Row],[Order_Date]]))</f>
        <v>2025</v>
      </c>
      <c r="R145" t="str">
        <f>TEXT(Clean_Data[[#This Row],[Order_Date]],"mmm")</f>
        <v>Aug</v>
      </c>
      <c r="S145" t="str">
        <f>TEXT(Clean_Data[[#This Row],[Order_Date]],"mmm-yy")</f>
        <v>Aug-25</v>
      </c>
      <c r="V145"/>
    </row>
    <row r="146" spans="1:22" x14ac:dyDescent="0.25">
      <c r="A146" t="s">
        <v>198</v>
      </c>
      <c r="B146" s="1">
        <v>45918</v>
      </c>
      <c r="C146" t="s">
        <v>44</v>
      </c>
      <c r="D146" t="s">
        <v>36</v>
      </c>
      <c r="E146" t="s">
        <v>55</v>
      </c>
      <c r="F146" t="s">
        <v>34</v>
      </c>
      <c r="G146">
        <v>14</v>
      </c>
      <c r="H146">
        <v>35000</v>
      </c>
      <c r="I146">
        <v>25750</v>
      </c>
      <c r="J146" t="s">
        <v>22</v>
      </c>
      <c r="K146" t="s">
        <v>17</v>
      </c>
      <c r="L146">
        <f>SUM(Clean_Data[[#This Row],[Units_Sold]]*Clean_Data[[#This Row],[Unit_Price]])</f>
        <v>490000</v>
      </c>
      <c r="M146">
        <f>Clean_Data[[#This Row],[Units_Sold]]*Clean_Data[[#This Row],[Cost_Price]]</f>
        <v>360500</v>
      </c>
      <c r="N146">
        <f>Clean_Data[[#This Row],[Total_Sales]]-Clean_Data[[#This Row],[Total_Cost]]</f>
        <v>129500</v>
      </c>
      <c r="O146" s="2">
        <f>Clean_Data[[#This Row],[Profit]]/Clean_Data[[#This Row],[Total_Sales]]</f>
        <v>0.26428571428571429</v>
      </c>
      <c r="P146" t="str">
        <f>_xlfn.XLOOKUP(Clean_Data[[#This Row],[Product_Code]],Product_Catalog!A:A,Product_Catalog!C:C)</f>
        <v>Furniture</v>
      </c>
      <c r="Q146">
        <f>IF(Clean_Data[[#This Row],[Order_Date]]="","",YEAR(Clean_Data[[#This Row],[Order_Date]]))</f>
        <v>2025</v>
      </c>
      <c r="R146" t="str">
        <f>TEXT(Clean_Data[[#This Row],[Order_Date]],"mmm")</f>
        <v>Sep</v>
      </c>
      <c r="S146" t="str">
        <f>TEXT(Clean_Data[[#This Row],[Order_Date]],"mmm-yy")</f>
        <v>Sep-25</v>
      </c>
      <c r="V146"/>
    </row>
    <row r="147" spans="1:22" x14ac:dyDescent="0.25">
      <c r="A147" t="s">
        <v>199</v>
      </c>
      <c r="B147" s="1">
        <v>46223</v>
      </c>
      <c r="C147" t="s">
        <v>73</v>
      </c>
      <c r="D147" t="s">
        <v>40</v>
      </c>
      <c r="E147" t="s">
        <v>27</v>
      </c>
      <c r="F147" t="s">
        <v>28</v>
      </c>
      <c r="G147">
        <v>11</v>
      </c>
      <c r="H147">
        <v>14000</v>
      </c>
      <c r="I147">
        <v>9589</v>
      </c>
      <c r="J147" t="s">
        <v>22</v>
      </c>
      <c r="K147" t="s">
        <v>23</v>
      </c>
      <c r="L147">
        <f>SUM(Clean_Data[[#This Row],[Units_Sold]]*Clean_Data[[#This Row],[Unit_Price]])</f>
        <v>154000</v>
      </c>
      <c r="M147">
        <f>Clean_Data[[#This Row],[Units_Sold]]*Clean_Data[[#This Row],[Cost_Price]]</f>
        <v>105479</v>
      </c>
      <c r="N147">
        <f>Clean_Data[[#This Row],[Total_Sales]]-Clean_Data[[#This Row],[Total_Cost]]</f>
        <v>48521</v>
      </c>
      <c r="O147" s="2">
        <f>Clean_Data[[#This Row],[Profit]]/Clean_Data[[#This Row],[Total_Sales]]</f>
        <v>0.31507142857142856</v>
      </c>
      <c r="P147" t="str">
        <f>_xlfn.XLOOKUP(Clean_Data[[#This Row],[Product_Code]],Product_Catalog!A:A,Product_Catalog!C:C)</f>
        <v>Furniture</v>
      </c>
      <c r="Q147">
        <f>IF(Clean_Data[[#This Row],[Order_Date]]="","",YEAR(Clean_Data[[#This Row],[Order_Date]]))</f>
        <v>2026</v>
      </c>
      <c r="R147" t="str">
        <f>TEXT(Clean_Data[[#This Row],[Order_Date]],"mmm")</f>
        <v>Jul</v>
      </c>
      <c r="S147" t="str">
        <f>TEXT(Clean_Data[[#This Row],[Order_Date]],"mmm-yy")</f>
        <v>Jul-26</v>
      </c>
      <c r="V147"/>
    </row>
    <row r="148" spans="1:22" x14ac:dyDescent="0.25">
      <c r="A148" t="s">
        <v>200</v>
      </c>
      <c r="B148" s="1">
        <v>46060</v>
      </c>
      <c r="C148" t="s">
        <v>25</v>
      </c>
      <c r="D148" t="s">
        <v>13</v>
      </c>
      <c r="E148" t="s">
        <v>66</v>
      </c>
      <c r="F148" t="s">
        <v>67</v>
      </c>
      <c r="G148">
        <v>9</v>
      </c>
      <c r="H148">
        <v>2500</v>
      </c>
      <c r="I148">
        <v>1908</v>
      </c>
      <c r="J148" t="s">
        <v>29</v>
      </c>
      <c r="K148" t="s">
        <v>17</v>
      </c>
      <c r="L148">
        <f>SUM(Clean_Data[[#This Row],[Units_Sold]]*Clean_Data[[#This Row],[Unit_Price]])</f>
        <v>22500</v>
      </c>
      <c r="M148">
        <f>Clean_Data[[#This Row],[Units_Sold]]*Clean_Data[[#This Row],[Cost_Price]]</f>
        <v>17172</v>
      </c>
      <c r="N148">
        <f>Clean_Data[[#This Row],[Total_Sales]]-Clean_Data[[#This Row],[Total_Cost]]</f>
        <v>5328</v>
      </c>
      <c r="O148" s="2">
        <f>Clean_Data[[#This Row],[Profit]]/Clean_Data[[#This Row],[Total_Sales]]</f>
        <v>0.23680000000000001</v>
      </c>
      <c r="P148" t="str">
        <f>_xlfn.XLOOKUP(Clean_Data[[#This Row],[Product_Code]],Product_Catalog!A:A,Product_Catalog!C:C)</f>
        <v>Electronics</v>
      </c>
      <c r="Q148">
        <f>IF(Clean_Data[[#This Row],[Order_Date]]="","",YEAR(Clean_Data[[#This Row],[Order_Date]]))</f>
        <v>2026</v>
      </c>
      <c r="R148" t="str">
        <f>TEXT(Clean_Data[[#This Row],[Order_Date]],"mmm")</f>
        <v>Feb</v>
      </c>
      <c r="S148" t="str">
        <f>TEXT(Clean_Data[[#This Row],[Order_Date]],"mmm-yy")</f>
        <v>Feb-26</v>
      </c>
      <c r="V148"/>
    </row>
    <row r="149" spans="1:22" x14ac:dyDescent="0.25">
      <c r="A149" t="s">
        <v>201</v>
      </c>
      <c r="B149" s="1">
        <v>45982</v>
      </c>
      <c r="C149" t="s">
        <v>73</v>
      </c>
      <c r="D149" t="s">
        <v>40</v>
      </c>
      <c r="E149" t="s">
        <v>27</v>
      </c>
      <c r="F149" t="s">
        <v>28</v>
      </c>
      <c r="G149">
        <v>14</v>
      </c>
      <c r="H149">
        <v>14000</v>
      </c>
      <c r="I149">
        <v>11104</v>
      </c>
      <c r="J149" t="s">
        <v>22</v>
      </c>
      <c r="K149" t="s">
        <v>17</v>
      </c>
      <c r="L149">
        <f>SUM(Clean_Data[[#This Row],[Units_Sold]]*Clean_Data[[#This Row],[Unit_Price]])</f>
        <v>196000</v>
      </c>
      <c r="M149">
        <f>Clean_Data[[#This Row],[Units_Sold]]*Clean_Data[[#This Row],[Cost_Price]]</f>
        <v>155456</v>
      </c>
      <c r="N149">
        <f>Clean_Data[[#This Row],[Total_Sales]]-Clean_Data[[#This Row],[Total_Cost]]</f>
        <v>40544</v>
      </c>
      <c r="O149" s="2">
        <f>Clean_Data[[#This Row],[Profit]]/Clean_Data[[#This Row],[Total_Sales]]</f>
        <v>0.20685714285714285</v>
      </c>
      <c r="P149" t="str">
        <f>_xlfn.XLOOKUP(Clean_Data[[#This Row],[Product_Code]],Product_Catalog!A:A,Product_Catalog!C:C)</f>
        <v>Furniture</v>
      </c>
      <c r="Q149">
        <f>IF(Clean_Data[[#This Row],[Order_Date]]="","",YEAR(Clean_Data[[#This Row],[Order_Date]]))</f>
        <v>2025</v>
      </c>
      <c r="R149" t="str">
        <f>TEXT(Clean_Data[[#This Row],[Order_Date]],"mmm")</f>
        <v>Nov</v>
      </c>
      <c r="S149" t="str">
        <f>TEXT(Clean_Data[[#This Row],[Order_Date]],"mmm-yy")</f>
        <v>Nov-25</v>
      </c>
      <c r="V149"/>
    </row>
    <row r="150" spans="1:22" x14ac:dyDescent="0.25">
      <c r="A150" t="s">
        <v>202</v>
      </c>
      <c r="B150" s="1">
        <v>45793</v>
      </c>
      <c r="C150" t="s">
        <v>25</v>
      </c>
      <c r="D150" t="s">
        <v>36</v>
      </c>
      <c r="E150" t="s">
        <v>27</v>
      </c>
      <c r="F150" t="s">
        <v>28</v>
      </c>
      <c r="G150">
        <v>9</v>
      </c>
      <c r="H150">
        <v>14000</v>
      </c>
      <c r="I150">
        <v>10481</v>
      </c>
      <c r="J150" t="s">
        <v>22</v>
      </c>
      <c r="K150" t="s">
        <v>17</v>
      </c>
      <c r="L150">
        <f>SUM(Clean_Data[[#This Row],[Units_Sold]]*Clean_Data[[#This Row],[Unit_Price]])</f>
        <v>126000</v>
      </c>
      <c r="M150">
        <f>Clean_Data[[#This Row],[Units_Sold]]*Clean_Data[[#This Row],[Cost_Price]]</f>
        <v>94329</v>
      </c>
      <c r="N150">
        <f>Clean_Data[[#This Row],[Total_Sales]]-Clean_Data[[#This Row],[Total_Cost]]</f>
        <v>31671</v>
      </c>
      <c r="O150" s="2">
        <f>Clean_Data[[#This Row],[Profit]]/Clean_Data[[#This Row],[Total_Sales]]</f>
        <v>0.25135714285714283</v>
      </c>
      <c r="P150" t="str">
        <f>_xlfn.XLOOKUP(Clean_Data[[#This Row],[Product_Code]],Product_Catalog!A:A,Product_Catalog!C:C)</f>
        <v>Furniture</v>
      </c>
      <c r="Q150">
        <f>IF(Clean_Data[[#This Row],[Order_Date]]="","",YEAR(Clean_Data[[#This Row],[Order_Date]]))</f>
        <v>2025</v>
      </c>
      <c r="R150" t="str">
        <f>TEXT(Clean_Data[[#This Row],[Order_Date]],"mmm")</f>
        <v>May</v>
      </c>
      <c r="S150" t="str">
        <f>TEXT(Clean_Data[[#This Row],[Order_Date]],"mmm-yy")</f>
        <v>May-25</v>
      </c>
      <c r="V150"/>
    </row>
    <row r="151" spans="1:22" x14ac:dyDescent="0.25">
      <c r="A151" t="s">
        <v>203</v>
      </c>
      <c r="B151" s="1">
        <v>46201</v>
      </c>
      <c r="C151" t="s">
        <v>48</v>
      </c>
      <c r="D151" t="s">
        <v>33</v>
      </c>
      <c r="E151" t="s">
        <v>63</v>
      </c>
      <c r="F151" t="s">
        <v>59</v>
      </c>
      <c r="G151">
        <v>9</v>
      </c>
      <c r="H151">
        <v>4500</v>
      </c>
      <c r="I151">
        <v>3036</v>
      </c>
      <c r="J151" t="s">
        <v>29</v>
      </c>
      <c r="K151" t="s">
        <v>17</v>
      </c>
      <c r="L151">
        <f>SUM(Clean_Data[[#This Row],[Units_Sold]]*Clean_Data[[#This Row],[Unit_Price]])</f>
        <v>40500</v>
      </c>
      <c r="M151">
        <f>Clean_Data[[#This Row],[Units_Sold]]*Clean_Data[[#This Row],[Cost_Price]]</f>
        <v>27324</v>
      </c>
      <c r="N151">
        <f>Clean_Data[[#This Row],[Total_Sales]]-Clean_Data[[#This Row],[Total_Cost]]</f>
        <v>13176</v>
      </c>
      <c r="O151" s="2">
        <f>Clean_Data[[#This Row],[Profit]]/Clean_Data[[#This Row],[Total_Sales]]</f>
        <v>0.32533333333333331</v>
      </c>
      <c r="P151" t="str">
        <f>_xlfn.XLOOKUP(Clean_Data[[#This Row],[Product_Code]],Product_Catalog!A:A,Product_Catalog!C:C)</f>
        <v>Electronics</v>
      </c>
      <c r="Q151">
        <f>IF(Clean_Data[[#This Row],[Order_Date]]="","",YEAR(Clean_Data[[#This Row],[Order_Date]]))</f>
        <v>2026</v>
      </c>
      <c r="R151" t="str">
        <f>TEXT(Clean_Data[[#This Row],[Order_Date]],"mmm")</f>
        <v>Jun</v>
      </c>
      <c r="S151" t="str">
        <f>TEXT(Clean_Data[[#This Row],[Order_Date]],"mmm-yy")</f>
        <v>Jun-26</v>
      </c>
      <c r="V151"/>
    </row>
    <row r="152" spans="1:22" x14ac:dyDescent="0.25">
      <c r="A152" t="s">
        <v>204</v>
      </c>
      <c r="B152" s="1">
        <v>45971</v>
      </c>
      <c r="C152" t="s">
        <v>62</v>
      </c>
      <c r="D152" t="s">
        <v>40</v>
      </c>
      <c r="E152" t="s">
        <v>27</v>
      </c>
      <c r="F152" t="s">
        <v>28</v>
      </c>
      <c r="G152">
        <v>19</v>
      </c>
      <c r="H152">
        <v>14000</v>
      </c>
      <c r="I152">
        <v>9967</v>
      </c>
      <c r="J152" t="s">
        <v>29</v>
      </c>
      <c r="K152" t="s">
        <v>17</v>
      </c>
      <c r="L152">
        <f>SUM(Clean_Data[[#This Row],[Units_Sold]]*Clean_Data[[#This Row],[Unit_Price]])</f>
        <v>266000</v>
      </c>
      <c r="M152">
        <f>Clean_Data[[#This Row],[Units_Sold]]*Clean_Data[[#This Row],[Cost_Price]]</f>
        <v>189373</v>
      </c>
      <c r="N152">
        <f>Clean_Data[[#This Row],[Total_Sales]]-Clean_Data[[#This Row],[Total_Cost]]</f>
        <v>76627</v>
      </c>
      <c r="O152" s="2">
        <f>Clean_Data[[#This Row],[Profit]]/Clean_Data[[#This Row],[Total_Sales]]</f>
        <v>0.28807142857142859</v>
      </c>
      <c r="P152" t="str">
        <f>_xlfn.XLOOKUP(Clean_Data[[#This Row],[Product_Code]],Product_Catalog!A:A,Product_Catalog!C:C)</f>
        <v>Furniture</v>
      </c>
      <c r="Q152">
        <f>IF(Clean_Data[[#This Row],[Order_Date]]="","",YEAR(Clean_Data[[#This Row],[Order_Date]]))</f>
        <v>2025</v>
      </c>
      <c r="R152" t="str">
        <f>TEXT(Clean_Data[[#This Row],[Order_Date]],"mmm")</f>
        <v>Nov</v>
      </c>
      <c r="S152" t="str">
        <f>TEXT(Clean_Data[[#This Row],[Order_Date]],"mmm-yy")</f>
        <v>Nov-25</v>
      </c>
      <c r="V152"/>
    </row>
    <row r="153" spans="1:22" x14ac:dyDescent="0.25">
      <c r="A153" t="s">
        <v>205</v>
      </c>
      <c r="B153" s="1">
        <v>45969</v>
      </c>
      <c r="C153" t="s">
        <v>48</v>
      </c>
      <c r="D153" t="s">
        <v>13</v>
      </c>
      <c r="E153" t="s">
        <v>41</v>
      </c>
      <c r="F153" t="s">
        <v>42</v>
      </c>
      <c r="G153">
        <v>15</v>
      </c>
      <c r="H153">
        <v>28000</v>
      </c>
      <c r="I153">
        <v>19948</v>
      </c>
      <c r="J153" t="s">
        <v>22</v>
      </c>
      <c r="K153" t="s">
        <v>46</v>
      </c>
      <c r="L153">
        <f>SUM(Clean_Data[[#This Row],[Units_Sold]]*Clean_Data[[#This Row],[Unit_Price]])</f>
        <v>420000</v>
      </c>
      <c r="M153">
        <f>Clean_Data[[#This Row],[Units_Sold]]*Clean_Data[[#This Row],[Cost_Price]]</f>
        <v>299220</v>
      </c>
      <c r="N153">
        <f>Clean_Data[[#This Row],[Total_Sales]]-Clean_Data[[#This Row],[Total_Cost]]</f>
        <v>120780</v>
      </c>
      <c r="O153" s="2">
        <f>Clean_Data[[#This Row],[Profit]]/Clean_Data[[#This Row],[Total_Sales]]</f>
        <v>0.28757142857142859</v>
      </c>
      <c r="P153" t="str">
        <f>_xlfn.XLOOKUP(Clean_Data[[#This Row],[Product_Code]],Product_Catalog!A:A,Product_Catalog!C:C)</f>
        <v>Electronics</v>
      </c>
      <c r="Q153">
        <f>IF(Clean_Data[[#This Row],[Order_Date]]="","",YEAR(Clean_Data[[#This Row],[Order_Date]]))</f>
        <v>2025</v>
      </c>
      <c r="R153" t="str">
        <f>TEXT(Clean_Data[[#This Row],[Order_Date]],"mmm")</f>
        <v>Nov</v>
      </c>
      <c r="S153" t="str">
        <f>TEXT(Clean_Data[[#This Row],[Order_Date]],"mmm-yy")</f>
        <v>Nov-25</v>
      </c>
      <c r="V153"/>
    </row>
    <row r="154" spans="1:22" x14ac:dyDescent="0.25">
      <c r="A154" t="s">
        <v>206</v>
      </c>
      <c r="B154" s="1">
        <v>45727</v>
      </c>
      <c r="C154" t="s">
        <v>44</v>
      </c>
      <c r="D154" t="s">
        <v>40</v>
      </c>
      <c r="E154" t="s">
        <v>66</v>
      </c>
      <c r="F154" t="s">
        <v>67</v>
      </c>
      <c r="G154">
        <v>16</v>
      </c>
      <c r="H154">
        <v>2500</v>
      </c>
      <c r="I154">
        <v>1663</v>
      </c>
      <c r="J154" t="s">
        <v>16</v>
      </c>
      <c r="K154" t="s">
        <v>46</v>
      </c>
      <c r="L154">
        <f>SUM(Clean_Data[[#This Row],[Units_Sold]]*Clean_Data[[#This Row],[Unit_Price]])</f>
        <v>40000</v>
      </c>
      <c r="M154">
        <f>Clean_Data[[#This Row],[Units_Sold]]*Clean_Data[[#This Row],[Cost_Price]]</f>
        <v>26608</v>
      </c>
      <c r="N154">
        <f>Clean_Data[[#This Row],[Total_Sales]]-Clean_Data[[#This Row],[Total_Cost]]</f>
        <v>13392</v>
      </c>
      <c r="O154" s="2">
        <f>Clean_Data[[#This Row],[Profit]]/Clean_Data[[#This Row],[Total_Sales]]</f>
        <v>0.33479999999999999</v>
      </c>
      <c r="P154" t="str">
        <f>_xlfn.XLOOKUP(Clean_Data[[#This Row],[Product_Code]],Product_Catalog!A:A,Product_Catalog!C:C)</f>
        <v>Electronics</v>
      </c>
      <c r="Q154">
        <f>IF(Clean_Data[[#This Row],[Order_Date]]="","",YEAR(Clean_Data[[#This Row],[Order_Date]]))</f>
        <v>2025</v>
      </c>
      <c r="R154" t="str">
        <f>TEXT(Clean_Data[[#This Row],[Order_Date]],"mmm")</f>
        <v>Mar</v>
      </c>
      <c r="S154" t="str">
        <f>TEXT(Clean_Data[[#This Row],[Order_Date]],"mmm-yy")</f>
        <v>Mar-25</v>
      </c>
      <c r="V154"/>
    </row>
    <row r="155" spans="1:22" x14ac:dyDescent="0.25">
      <c r="A155" t="s">
        <v>207</v>
      </c>
      <c r="B155" s="1">
        <v>45917</v>
      </c>
      <c r="C155" t="s">
        <v>48</v>
      </c>
      <c r="D155" t="s">
        <v>36</v>
      </c>
      <c r="E155" t="s">
        <v>66</v>
      </c>
      <c r="F155" t="s">
        <v>67</v>
      </c>
      <c r="G155">
        <v>6</v>
      </c>
      <c r="H155">
        <v>2500</v>
      </c>
      <c r="I155">
        <v>1512</v>
      </c>
      <c r="J155" t="s">
        <v>29</v>
      </c>
      <c r="K155" t="s">
        <v>17</v>
      </c>
      <c r="L155">
        <f>SUM(Clean_Data[[#This Row],[Units_Sold]]*Clean_Data[[#This Row],[Unit_Price]])</f>
        <v>15000</v>
      </c>
      <c r="M155">
        <f>Clean_Data[[#This Row],[Units_Sold]]*Clean_Data[[#This Row],[Cost_Price]]</f>
        <v>9072</v>
      </c>
      <c r="N155">
        <f>Clean_Data[[#This Row],[Total_Sales]]-Clean_Data[[#This Row],[Total_Cost]]</f>
        <v>5928</v>
      </c>
      <c r="O155" s="2">
        <f>Clean_Data[[#This Row],[Profit]]/Clean_Data[[#This Row],[Total_Sales]]</f>
        <v>0.3952</v>
      </c>
      <c r="P155" t="str">
        <f>_xlfn.XLOOKUP(Clean_Data[[#This Row],[Product_Code]],Product_Catalog!A:A,Product_Catalog!C:C)</f>
        <v>Electronics</v>
      </c>
      <c r="Q155">
        <f>IF(Clean_Data[[#This Row],[Order_Date]]="","",YEAR(Clean_Data[[#This Row],[Order_Date]]))</f>
        <v>2025</v>
      </c>
      <c r="R155" t="str">
        <f>TEXT(Clean_Data[[#This Row],[Order_Date]],"mmm")</f>
        <v>Sep</v>
      </c>
      <c r="S155" t="str">
        <f>TEXT(Clean_Data[[#This Row],[Order_Date]],"mmm-yy")</f>
        <v>Sep-25</v>
      </c>
      <c r="V155"/>
    </row>
    <row r="156" spans="1:22" x14ac:dyDescent="0.25">
      <c r="A156" t="s">
        <v>208</v>
      </c>
      <c r="B156" s="1">
        <v>45922</v>
      </c>
      <c r="C156" t="s">
        <v>12</v>
      </c>
      <c r="D156" t="s">
        <v>33</v>
      </c>
      <c r="E156" t="s">
        <v>55</v>
      </c>
      <c r="F156" t="s">
        <v>34</v>
      </c>
      <c r="G156">
        <v>19</v>
      </c>
      <c r="H156">
        <v>35000</v>
      </c>
      <c r="I156">
        <v>23301</v>
      </c>
      <c r="J156" t="s">
        <v>16</v>
      </c>
      <c r="K156" t="s">
        <v>23</v>
      </c>
      <c r="L156">
        <f>SUM(Clean_Data[[#This Row],[Units_Sold]]*Clean_Data[[#This Row],[Unit_Price]])</f>
        <v>665000</v>
      </c>
      <c r="M156">
        <f>Clean_Data[[#This Row],[Units_Sold]]*Clean_Data[[#This Row],[Cost_Price]]</f>
        <v>442719</v>
      </c>
      <c r="N156">
        <f>Clean_Data[[#This Row],[Total_Sales]]-Clean_Data[[#This Row],[Total_Cost]]</f>
        <v>222281</v>
      </c>
      <c r="O156" s="2">
        <f>Clean_Data[[#This Row],[Profit]]/Clean_Data[[#This Row],[Total_Sales]]</f>
        <v>0.33425714285714286</v>
      </c>
      <c r="P156" t="str">
        <f>_xlfn.XLOOKUP(Clean_Data[[#This Row],[Product_Code]],Product_Catalog!A:A,Product_Catalog!C:C)</f>
        <v>Furniture</v>
      </c>
      <c r="Q156">
        <f>IF(Clean_Data[[#This Row],[Order_Date]]="","",YEAR(Clean_Data[[#This Row],[Order_Date]]))</f>
        <v>2025</v>
      </c>
      <c r="R156" t="str">
        <f>TEXT(Clean_Data[[#This Row],[Order_Date]],"mmm")</f>
        <v>Sep</v>
      </c>
      <c r="S156" t="str">
        <f>TEXT(Clean_Data[[#This Row],[Order_Date]],"mmm-yy")</f>
        <v>Sep-25</v>
      </c>
      <c r="V156"/>
    </row>
    <row r="157" spans="1:22" x14ac:dyDescent="0.25">
      <c r="A157" t="s">
        <v>209</v>
      </c>
      <c r="B157" s="1">
        <v>46177</v>
      </c>
      <c r="C157" t="s">
        <v>19</v>
      </c>
      <c r="D157" t="s">
        <v>13</v>
      </c>
      <c r="E157" t="s">
        <v>14</v>
      </c>
      <c r="F157" t="s">
        <v>15</v>
      </c>
      <c r="G157">
        <v>13</v>
      </c>
      <c r="H157">
        <v>12500</v>
      </c>
      <c r="I157">
        <v>8785</v>
      </c>
      <c r="J157" t="s">
        <v>29</v>
      </c>
      <c r="K157" t="s">
        <v>46</v>
      </c>
      <c r="L157">
        <f>SUM(Clean_Data[[#This Row],[Units_Sold]]*Clean_Data[[#This Row],[Unit_Price]])</f>
        <v>162500</v>
      </c>
      <c r="M157">
        <f>Clean_Data[[#This Row],[Units_Sold]]*Clean_Data[[#This Row],[Cost_Price]]</f>
        <v>114205</v>
      </c>
      <c r="N157">
        <f>Clean_Data[[#This Row],[Total_Sales]]-Clean_Data[[#This Row],[Total_Cost]]</f>
        <v>48295</v>
      </c>
      <c r="O157" s="2">
        <f>Clean_Data[[#This Row],[Profit]]/Clean_Data[[#This Row],[Total_Sales]]</f>
        <v>0.29720000000000002</v>
      </c>
      <c r="P157" t="str">
        <f>_xlfn.XLOOKUP(Clean_Data[[#This Row],[Product_Code]],Product_Catalog!A:A,Product_Catalog!C:C)</f>
        <v>Accessories</v>
      </c>
      <c r="Q157">
        <f>IF(Clean_Data[[#This Row],[Order_Date]]="","",YEAR(Clean_Data[[#This Row],[Order_Date]]))</f>
        <v>2026</v>
      </c>
      <c r="R157" t="str">
        <f>TEXT(Clean_Data[[#This Row],[Order_Date]],"mmm")</f>
        <v>Jun</v>
      </c>
      <c r="S157" t="str">
        <f>TEXT(Clean_Data[[#This Row],[Order_Date]],"mmm-yy")</f>
        <v>Jun-26</v>
      </c>
      <c r="V157"/>
    </row>
    <row r="158" spans="1:22" x14ac:dyDescent="0.25">
      <c r="A158" t="s">
        <v>210</v>
      </c>
      <c r="B158" s="1">
        <v>45852</v>
      </c>
      <c r="C158" t="s">
        <v>25</v>
      </c>
      <c r="D158" t="s">
        <v>40</v>
      </c>
      <c r="E158" t="s">
        <v>63</v>
      </c>
      <c r="F158" t="s">
        <v>59</v>
      </c>
      <c r="G158">
        <v>4</v>
      </c>
      <c r="H158">
        <v>4500</v>
      </c>
      <c r="I158">
        <v>3427</v>
      </c>
      <c r="J158" t="s">
        <v>22</v>
      </c>
      <c r="K158" t="s">
        <v>23</v>
      </c>
      <c r="L158">
        <f>SUM(Clean_Data[[#This Row],[Units_Sold]]*Clean_Data[[#This Row],[Unit_Price]])</f>
        <v>18000</v>
      </c>
      <c r="M158">
        <f>Clean_Data[[#This Row],[Units_Sold]]*Clean_Data[[#This Row],[Cost_Price]]</f>
        <v>13708</v>
      </c>
      <c r="N158">
        <f>Clean_Data[[#This Row],[Total_Sales]]-Clean_Data[[#This Row],[Total_Cost]]</f>
        <v>4292</v>
      </c>
      <c r="O158" s="2">
        <f>Clean_Data[[#This Row],[Profit]]/Clean_Data[[#This Row],[Total_Sales]]</f>
        <v>0.23844444444444443</v>
      </c>
      <c r="P158" t="str">
        <f>_xlfn.XLOOKUP(Clean_Data[[#This Row],[Product_Code]],Product_Catalog!A:A,Product_Catalog!C:C)</f>
        <v>Electronics</v>
      </c>
      <c r="Q158">
        <f>IF(Clean_Data[[#This Row],[Order_Date]]="","",YEAR(Clean_Data[[#This Row],[Order_Date]]))</f>
        <v>2025</v>
      </c>
      <c r="R158" t="str">
        <f>TEXT(Clean_Data[[#This Row],[Order_Date]],"mmm")</f>
        <v>Jul</v>
      </c>
      <c r="S158" t="str">
        <f>TEXT(Clean_Data[[#This Row],[Order_Date]],"mmm-yy")</f>
        <v>Jul-25</v>
      </c>
      <c r="V158"/>
    </row>
    <row r="159" spans="1:22" x14ac:dyDescent="0.25">
      <c r="A159" t="s">
        <v>211</v>
      </c>
      <c r="B159" s="1">
        <v>46018</v>
      </c>
      <c r="C159" t="s">
        <v>48</v>
      </c>
      <c r="D159" t="s">
        <v>36</v>
      </c>
      <c r="E159" t="s">
        <v>49</v>
      </c>
      <c r="F159" t="s">
        <v>50</v>
      </c>
      <c r="G159">
        <v>3</v>
      </c>
      <c r="H159">
        <v>75000</v>
      </c>
      <c r="I159">
        <v>48921</v>
      </c>
      <c r="J159" t="s">
        <v>16</v>
      </c>
      <c r="K159" t="s">
        <v>17</v>
      </c>
      <c r="L159">
        <f>SUM(Clean_Data[[#This Row],[Units_Sold]]*Clean_Data[[#This Row],[Unit_Price]])</f>
        <v>225000</v>
      </c>
      <c r="M159">
        <f>Clean_Data[[#This Row],[Units_Sold]]*Clean_Data[[#This Row],[Cost_Price]]</f>
        <v>146763</v>
      </c>
      <c r="N159">
        <f>Clean_Data[[#This Row],[Total_Sales]]-Clean_Data[[#This Row],[Total_Cost]]</f>
        <v>78237</v>
      </c>
      <c r="O159" s="2">
        <f>Clean_Data[[#This Row],[Profit]]/Clean_Data[[#This Row],[Total_Sales]]</f>
        <v>0.34771999999999997</v>
      </c>
      <c r="P159" t="str">
        <f>_xlfn.XLOOKUP(Clean_Data[[#This Row],[Product_Code]],Product_Catalog!A:A,Product_Catalog!C:C)</f>
        <v>Electronics</v>
      </c>
      <c r="Q159">
        <f>IF(Clean_Data[[#This Row],[Order_Date]]="","",YEAR(Clean_Data[[#This Row],[Order_Date]]))</f>
        <v>2025</v>
      </c>
      <c r="R159" t="str">
        <f>TEXT(Clean_Data[[#This Row],[Order_Date]],"mmm")</f>
        <v>Dec</v>
      </c>
      <c r="S159" t="str">
        <f>TEXT(Clean_Data[[#This Row],[Order_Date]],"mmm-yy")</f>
        <v>Dec-25</v>
      </c>
      <c r="V159"/>
    </row>
    <row r="160" spans="1:22" x14ac:dyDescent="0.25">
      <c r="A160" t="s">
        <v>212</v>
      </c>
      <c r="B160" s="1">
        <v>46131</v>
      </c>
      <c r="C160" t="s">
        <v>62</v>
      </c>
      <c r="D160" t="s">
        <v>13</v>
      </c>
      <c r="E160" t="s">
        <v>49</v>
      </c>
      <c r="F160" t="s">
        <v>50</v>
      </c>
      <c r="G160">
        <v>17</v>
      </c>
      <c r="H160">
        <v>75000</v>
      </c>
      <c r="I160">
        <v>46478</v>
      </c>
      <c r="J160" t="s">
        <v>16</v>
      </c>
      <c r="K160" t="s">
        <v>46</v>
      </c>
      <c r="L160">
        <f>SUM(Clean_Data[[#This Row],[Units_Sold]]*Clean_Data[[#This Row],[Unit_Price]])</f>
        <v>1275000</v>
      </c>
      <c r="M160">
        <f>Clean_Data[[#This Row],[Units_Sold]]*Clean_Data[[#This Row],[Cost_Price]]</f>
        <v>790126</v>
      </c>
      <c r="N160">
        <f>Clean_Data[[#This Row],[Total_Sales]]-Clean_Data[[#This Row],[Total_Cost]]</f>
        <v>484874</v>
      </c>
      <c r="O160" s="2">
        <f>Clean_Data[[#This Row],[Profit]]/Clean_Data[[#This Row],[Total_Sales]]</f>
        <v>0.38029333333333332</v>
      </c>
      <c r="P160" t="str">
        <f>_xlfn.XLOOKUP(Clean_Data[[#This Row],[Product_Code]],Product_Catalog!A:A,Product_Catalog!C:C)</f>
        <v>Electronics</v>
      </c>
      <c r="Q160">
        <f>IF(Clean_Data[[#This Row],[Order_Date]]="","",YEAR(Clean_Data[[#This Row],[Order_Date]]))</f>
        <v>2026</v>
      </c>
      <c r="R160" t="str">
        <f>TEXT(Clean_Data[[#This Row],[Order_Date]],"mmm")</f>
        <v>Apr</v>
      </c>
      <c r="S160" t="str">
        <f>TEXT(Clean_Data[[#This Row],[Order_Date]],"mmm-yy")</f>
        <v>Apr-26</v>
      </c>
      <c r="V160"/>
    </row>
    <row r="161" spans="1:22" x14ac:dyDescent="0.25">
      <c r="A161" t="s">
        <v>213</v>
      </c>
      <c r="B161" s="1">
        <v>46124</v>
      </c>
      <c r="C161" t="s">
        <v>48</v>
      </c>
      <c r="D161" t="s">
        <v>36</v>
      </c>
      <c r="E161" t="s">
        <v>27</v>
      </c>
      <c r="F161" t="s">
        <v>28</v>
      </c>
      <c r="G161">
        <v>13</v>
      </c>
      <c r="H161">
        <v>14000</v>
      </c>
      <c r="I161">
        <v>9168</v>
      </c>
      <c r="J161" t="s">
        <v>29</v>
      </c>
      <c r="K161" t="s">
        <v>23</v>
      </c>
      <c r="L161">
        <f>SUM(Clean_Data[[#This Row],[Units_Sold]]*Clean_Data[[#This Row],[Unit_Price]])</f>
        <v>182000</v>
      </c>
      <c r="M161">
        <f>Clean_Data[[#This Row],[Units_Sold]]*Clean_Data[[#This Row],[Cost_Price]]</f>
        <v>119184</v>
      </c>
      <c r="N161">
        <f>Clean_Data[[#This Row],[Total_Sales]]-Clean_Data[[#This Row],[Total_Cost]]</f>
        <v>62816</v>
      </c>
      <c r="O161" s="2">
        <f>Clean_Data[[#This Row],[Profit]]/Clean_Data[[#This Row],[Total_Sales]]</f>
        <v>0.34514285714285714</v>
      </c>
      <c r="P161" t="str">
        <f>_xlfn.XLOOKUP(Clean_Data[[#This Row],[Product_Code]],Product_Catalog!A:A,Product_Catalog!C:C)</f>
        <v>Furniture</v>
      </c>
      <c r="Q161">
        <f>IF(Clean_Data[[#This Row],[Order_Date]]="","",YEAR(Clean_Data[[#This Row],[Order_Date]]))</f>
        <v>2026</v>
      </c>
      <c r="R161" t="str">
        <f>TEXT(Clean_Data[[#This Row],[Order_Date]],"mmm")</f>
        <v>Apr</v>
      </c>
      <c r="S161" t="str">
        <f>TEXT(Clean_Data[[#This Row],[Order_Date]],"mmm-yy")</f>
        <v>Apr-26</v>
      </c>
      <c r="V161"/>
    </row>
    <row r="162" spans="1:22" x14ac:dyDescent="0.25">
      <c r="A162" t="s">
        <v>214</v>
      </c>
      <c r="B162" s="1">
        <v>45804</v>
      </c>
      <c r="C162" t="s">
        <v>31</v>
      </c>
      <c r="D162" t="s">
        <v>36</v>
      </c>
      <c r="E162" t="s">
        <v>63</v>
      </c>
      <c r="F162" t="s">
        <v>59</v>
      </c>
      <c r="G162">
        <v>13</v>
      </c>
      <c r="H162">
        <v>4500</v>
      </c>
      <c r="I162">
        <v>3392</v>
      </c>
      <c r="J162" t="s">
        <v>29</v>
      </c>
      <c r="K162" t="s">
        <v>23</v>
      </c>
      <c r="L162">
        <f>SUM(Clean_Data[[#This Row],[Units_Sold]]*Clean_Data[[#This Row],[Unit_Price]])</f>
        <v>58500</v>
      </c>
      <c r="M162">
        <f>Clean_Data[[#This Row],[Units_Sold]]*Clean_Data[[#This Row],[Cost_Price]]</f>
        <v>44096</v>
      </c>
      <c r="N162">
        <f>Clean_Data[[#This Row],[Total_Sales]]-Clean_Data[[#This Row],[Total_Cost]]</f>
        <v>14404</v>
      </c>
      <c r="O162" s="2">
        <f>Clean_Data[[#This Row],[Profit]]/Clean_Data[[#This Row],[Total_Sales]]</f>
        <v>0.24622222222222223</v>
      </c>
      <c r="P162" t="str">
        <f>_xlfn.XLOOKUP(Clean_Data[[#This Row],[Product_Code]],Product_Catalog!A:A,Product_Catalog!C:C)</f>
        <v>Electronics</v>
      </c>
      <c r="Q162">
        <f>IF(Clean_Data[[#This Row],[Order_Date]]="","",YEAR(Clean_Data[[#This Row],[Order_Date]]))</f>
        <v>2025</v>
      </c>
      <c r="R162" t="str">
        <f>TEXT(Clean_Data[[#This Row],[Order_Date]],"mmm")</f>
        <v>May</v>
      </c>
      <c r="S162" t="str">
        <f>TEXT(Clean_Data[[#This Row],[Order_Date]],"mmm-yy")</f>
        <v>May-25</v>
      </c>
      <c r="V162"/>
    </row>
    <row r="163" spans="1:22" x14ac:dyDescent="0.25">
      <c r="A163" t="s">
        <v>215</v>
      </c>
      <c r="B163" s="1">
        <v>45956</v>
      </c>
      <c r="C163" t="s">
        <v>31</v>
      </c>
      <c r="D163" t="s">
        <v>13</v>
      </c>
      <c r="E163" t="s">
        <v>37</v>
      </c>
      <c r="F163" t="s">
        <v>38</v>
      </c>
      <c r="G163">
        <v>11</v>
      </c>
      <c r="H163">
        <v>55000</v>
      </c>
      <c r="I163">
        <v>38640</v>
      </c>
      <c r="J163" t="s">
        <v>22</v>
      </c>
      <c r="K163" t="s">
        <v>23</v>
      </c>
      <c r="L163">
        <f>SUM(Clean_Data[[#This Row],[Units_Sold]]*Clean_Data[[#This Row],[Unit_Price]])</f>
        <v>605000</v>
      </c>
      <c r="M163">
        <f>Clean_Data[[#This Row],[Units_Sold]]*Clean_Data[[#This Row],[Cost_Price]]</f>
        <v>425040</v>
      </c>
      <c r="N163">
        <f>Clean_Data[[#This Row],[Total_Sales]]-Clean_Data[[#This Row],[Total_Cost]]</f>
        <v>179960</v>
      </c>
      <c r="O163" s="2">
        <f>Clean_Data[[#This Row],[Profit]]/Clean_Data[[#This Row],[Total_Sales]]</f>
        <v>0.29745454545454547</v>
      </c>
      <c r="P163" t="str">
        <f>_xlfn.XLOOKUP(Clean_Data[[#This Row],[Product_Code]],Product_Catalog!A:A,Product_Catalog!C:C)</f>
        <v>Electronics</v>
      </c>
      <c r="Q163">
        <f>IF(Clean_Data[[#This Row],[Order_Date]]="","",YEAR(Clean_Data[[#This Row],[Order_Date]]))</f>
        <v>2025</v>
      </c>
      <c r="R163" t="str">
        <f>TEXT(Clean_Data[[#This Row],[Order_Date]],"mmm")</f>
        <v>Oct</v>
      </c>
      <c r="S163" t="str">
        <f>TEXT(Clean_Data[[#This Row],[Order_Date]],"mmm-yy")</f>
        <v>Oct-25</v>
      </c>
      <c r="V163"/>
    </row>
    <row r="164" spans="1:22" x14ac:dyDescent="0.25">
      <c r="A164" t="s">
        <v>216</v>
      </c>
      <c r="B164" s="1">
        <v>46062</v>
      </c>
      <c r="C164" t="s">
        <v>48</v>
      </c>
      <c r="D164" t="s">
        <v>33</v>
      </c>
      <c r="E164" t="s">
        <v>55</v>
      </c>
      <c r="F164" t="s">
        <v>34</v>
      </c>
      <c r="G164">
        <v>9</v>
      </c>
      <c r="H164">
        <v>35000</v>
      </c>
      <c r="I164">
        <v>24671</v>
      </c>
      <c r="J164" t="s">
        <v>16</v>
      </c>
      <c r="K164" t="s">
        <v>17</v>
      </c>
      <c r="L164">
        <f>SUM(Clean_Data[[#This Row],[Units_Sold]]*Clean_Data[[#This Row],[Unit_Price]])</f>
        <v>315000</v>
      </c>
      <c r="M164">
        <f>Clean_Data[[#This Row],[Units_Sold]]*Clean_Data[[#This Row],[Cost_Price]]</f>
        <v>222039</v>
      </c>
      <c r="N164">
        <f>Clean_Data[[#This Row],[Total_Sales]]-Clean_Data[[#This Row],[Total_Cost]]</f>
        <v>92961</v>
      </c>
      <c r="O164" s="2">
        <f>Clean_Data[[#This Row],[Profit]]/Clean_Data[[#This Row],[Total_Sales]]</f>
        <v>0.29511428571428572</v>
      </c>
      <c r="P164" t="str">
        <f>_xlfn.XLOOKUP(Clean_Data[[#This Row],[Product_Code]],Product_Catalog!A:A,Product_Catalog!C:C)</f>
        <v>Furniture</v>
      </c>
      <c r="Q164">
        <f>IF(Clean_Data[[#This Row],[Order_Date]]="","",YEAR(Clean_Data[[#This Row],[Order_Date]]))</f>
        <v>2026</v>
      </c>
      <c r="R164" t="str">
        <f>TEXT(Clean_Data[[#This Row],[Order_Date]],"mmm")</f>
        <v>Feb</v>
      </c>
      <c r="S164" t="str">
        <f>TEXT(Clean_Data[[#This Row],[Order_Date]],"mmm-yy")</f>
        <v>Feb-26</v>
      </c>
      <c r="V164"/>
    </row>
    <row r="165" spans="1:22" x14ac:dyDescent="0.25">
      <c r="A165" t="s">
        <v>217</v>
      </c>
      <c r="B165" s="1">
        <v>45839</v>
      </c>
      <c r="C165" t="s">
        <v>53</v>
      </c>
      <c r="D165" t="s">
        <v>40</v>
      </c>
      <c r="E165" t="s">
        <v>20</v>
      </c>
      <c r="F165" t="s">
        <v>21</v>
      </c>
      <c r="G165">
        <v>19</v>
      </c>
      <c r="H165">
        <v>8500</v>
      </c>
      <c r="I165">
        <v>6561</v>
      </c>
      <c r="J165" t="s">
        <v>45</v>
      </c>
      <c r="K165" t="s">
        <v>17</v>
      </c>
      <c r="L165">
        <f>SUM(Clean_Data[[#This Row],[Units_Sold]]*Clean_Data[[#This Row],[Unit_Price]])</f>
        <v>161500</v>
      </c>
      <c r="M165">
        <f>Clean_Data[[#This Row],[Units_Sold]]*Clean_Data[[#This Row],[Cost_Price]]</f>
        <v>124659</v>
      </c>
      <c r="N165">
        <f>Clean_Data[[#This Row],[Total_Sales]]-Clean_Data[[#This Row],[Total_Cost]]</f>
        <v>36841</v>
      </c>
      <c r="O165" s="2">
        <f>Clean_Data[[#This Row],[Profit]]/Clean_Data[[#This Row],[Total_Sales]]</f>
        <v>0.22811764705882354</v>
      </c>
      <c r="P165" t="str">
        <f>_xlfn.XLOOKUP(Clean_Data[[#This Row],[Product_Code]],Product_Catalog!A:A,Product_Catalog!C:C)</f>
        <v>Accessories</v>
      </c>
      <c r="Q165">
        <f>IF(Clean_Data[[#This Row],[Order_Date]]="","",YEAR(Clean_Data[[#This Row],[Order_Date]]))</f>
        <v>2025</v>
      </c>
      <c r="R165" t="str">
        <f>TEXT(Clean_Data[[#This Row],[Order_Date]],"mmm")</f>
        <v>Jul</v>
      </c>
      <c r="S165" t="str">
        <f>TEXT(Clean_Data[[#This Row],[Order_Date]],"mmm-yy")</f>
        <v>Jul-25</v>
      </c>
      <c r="V165"/>
    </row>
    <row r="166" spans="1:22" x14ac:dyDescent="0.25">
      <c r="A166" t="s">
        <v>218</v>
      </c>
      <c r="B166" s="1">
        <v>45674</v>
      </c>
      <c r="C166" t="s">
        <v>12</v>
      </c>
      <c r="D166" t="s">
        <v>40</v>
      </c>
      <c r="E166" t="s">
        <v>27</v>
      </c>
      <c r="F166" t="s">
        <v>28</v>
      </c>
      <c r="G166">
        <v>17</v>
      </c>
      <c r="H166">
        <v>14000</v>
      </c>
      <c r="I166">
        <v>8652</v>
      </c>
      <c r="J166" t="s">
        <v>16</v>
      </c>
      <c r="K166" t="s">
        <v>46</v>
      </c>
      <c r="L166">
        <f>SUM(Clean_Data[[#This Row],[Units_Sold]]*Clean_Data[[#This Row],[Unit_Price]])</f>
        <v>238000</v>
      </c>
      <c r="M166">
        <f>Clean_Data[[#This Row],[Units_Sold]]*Clean_Data[[#This Row],[Cost_Price]]</f>
        <v>147084</v>
      </c>
      <c r="N166">
        <f>Clean_Data[[#This Row],[Total_Sales]]-Clean_Data[[#This Row],[Total_Cost]]</f>
        <v>90916</v>
      </c>
      <c r="O166" s="2">
        <f>Clean_Data[[#This Row],[Profit]]/Clean_Data[[#This Row],[Total_Sales]]</f>
        <v>0.38200000000000001</v>
      </c>
      <c r="P166" t="str">
        <f>_xlfn.XLOOKUP(Clean_Data[[#This Row],[Product_Code]],Product_Catalog!A:A,Product_Catalog!C:C)</f>
        <v>Furniture</v>
      </c>
      <c r="Q166">
        <f>IF(Clean_Data[[#This Row],[Order_Date]]="","",YEAR(Clean_Data[[#This Row],[Order_Date]]))</f>
        <v>2025</v>
      </c>
      <c r="R166" t="str">
        <f>TEXT(Clean_Data[[#This Row],[Order_Date]],"mmm")</f>
        <v>Jan</v>
      </c>
      <c r="S166" t="str">
        <f>TEXT(Clean_Data[[#This Row],[Order_Date]],"mmm-yy")</f>
        <v>Jan-25</v>
      </c>
      <c r="V166"/>
    </row>
    <row r="167" spans="1:22" x14ac:dyDescent="0.25">
      <c r="A167" t="s">
        <v>219</v>
      </c>
      <c r="B167" s="1">
        <v>45888</v>
      </c>
      <c r="C167" t="s">
        <v>53</v>
      </c>
      <c r="D167" t="s">
        <v>26</v>
      </c>
      <c r="E167" t="s">
        <v>66</v>
      </c>
      <c r="F167" t="s">
        <v>67</v>
      </c>
      <c r="G167">
        <v>12</v>
      </c>
      <c r="H167">
        <v>2500</v>
      </c>
      <c r="I167">
        <v>1973</v>
      </c>
      <c r="J167" t="s">
        <v>45</v>
      </c>
      <c r="K167" t="s">
        <v>17</v>
      </c>
      <c r="L167">
        <f>SUM(Clean_Data[[#This Row],[Units_Sold]]*Clean_Data[[#This Row],[Unit_Price]])</f>
        <v>30000</v>
      </c>
      <c r="M167">
        <f>Clean_Data[[#This Row],[Units_Sold]]*Clean_Data[[#This Row],[Cost_Price]]</f>
        <v>23676</v>
      </c>
      <c r="N167">
        <f>Clean_Data[[#This Row],[Total_Sales]]-Clean_Data[[#This Row],[Total_Cost]]</f>
        <v>6324</v>
      </c>
      <c r="O167" s="2">
        <f>Clean_Data[[#This Row],[Profit]]/Clean_Data[[#This Row],[Total_Sales]]</f>
        <v>0.21079999999999999</v>
      </c>
      <c r="P167" t="str">
        <f>_xlfn.XLOOKUP(Clean_Data[[#This Row],[Product_Code]],Product_Catalog!A:A,Product_Catalog!C:C)</f>
        <v>Electronics</v>
      </c>
      <c r="Q167">
        <f>IF(Clean_Data[[#This Row],[Order_Date]]="","",YEAR(Clean_Data[[#This Row],[Order_Date]]))</f>
        <v>2025</v>
      </c>
      <c r="R167" t="str">
        <f>TEXT(Clean_Data[[#This Row],[Order_Date]],"mmm")</f>
        <v>Aug</v>
      </c>
      <c r="S167" t="str">
        <f>TEXT(Clean_Data[[#This Row],[Order_Date]],"mmm-yy")</f>
        <v>Aug-25</v>
      </c>
      <c r="V167"/>
    </row>
    <row r="168" spans="1:22" x14ac:dyDescent="0.25">
      <c r="A168" t="s">
        <v>220</v>
      </c>
      <c r="B168" s="1">
        <v>45768</v>
      </c>
      <c r="C168" t="s">
        <v>73</v>
      </c>
      <c r="D168" t="s">
        <v>40</v>
      </c>
      <c r="E168" t="s">
        <v>27</v>
      </c>
      <c r="F168" t="s">
        <v>28</v>
      </c>
      <c r="G168">
        <v>14</v>
      </c>
      <c r="H168">
        <v>14000</v>
      </c>
      <c r="I168">
        <v>10906</v>
      </c>
      <c r="J168" t="s">
        <v>16</v>
      </c>
      <c r="K168" t="s">
        <v>23</v>
      </c>
      <c r="L168">
        <f>SUM(Clean_Data[[#This Row],[Units_Sold]]*Clean_Data[[#This Row],[Unit_Price]])</f>
        <v>196000</v>
      </c>
      <c r="M168">
        <f>Clean_Data[[#This Row],[Units_Sold]]*Clean_Data[[#This Row],[Cost_Price]]</f>
        <v>152684</v>
      </c>
      <c r="N168">
        <f>Clean_Data[[#This Row],[Total_Sales]]-Clean_Data[[#This Row],[Total_Cost]]</f>
        <v>43316</v>
      </c>
      <c r="O168" s="2">
        <f>Clean_Data[[#This Row],[Profit]]/Clean_Data[[#This Row],[Total_Sales]]</f>
        <v>0.221</v>
      </c>
      <c r="P168" t="str">
        <f>_xlfn.XLOOKUP(Clean_Data[[#This Row],[Product_Code]],Product_Catalog!A:A,Product_Catalog!C:C)</f>
        <v>Furniture</v>
      </c>
      <c r="Q168">
        <f>IF(Clean_Data[[#This Row],[Order_Date]]="","",YEAR(Clean_Data[[#This Row],[Order_Date]]))</f>
        <v>2025</v>
      </c>
      <c r="R168" t="str">
        <f>TEXT(Clean_Data[[#This Row],[Order_Date]],"mmm")</f>
        <v>Apr</v>
      </c>
      <c r="S168" t="str">
        <f>TEXT(Clean_Data[[#This Row],[Order_Date]],"mmm-yy")</f>
        <v>Apr-25</v>
      </c>
      <c r="V168"/>
    </row>
    <row r="169" spans="1:22" x14ac:dyDescent="0.25">
      <c r="A169" t="s">
        <v>222</v>
      </c>
      <c r="B169" s="1">
        <v>46249</v>
      </c>
      <c r="C169" t="s">
        <v>44</v>
      </c>
      <c r="D169" t="s">
        <v>40</v>
      </c>
      <c r="E169" t="s">
        <v>66</v>
      </c>
      <c r="F169" t="s">
        <v>67</v>
      </c>
      <c r="G169">
        <v>1</v>
      </c>
      <c r="H169">
        <v>2500</v>
      </c>
      <c r="I169">
        <v>1912</v>
      </c>
      <c r="J169" t="s">
        <v>29</v>
      </c>
      <c r="K169" t="s">
        <v>23</v>
      </c>
      <c r="L169">
        <f>SUM(Clean_Data[[#This Row],[Units_Sold]]*Clean_Data[[#This Row],[Unit_Price]])</f>
        <v>2500</v>
      </c>
      <c r="M169">
        <f>Clean_Data[[#This Row],[Units_Sold]]*Clean_Data[[#This Row],[Cost_Price]]</f>
        <v>1912</v>
      </c>
      <c r="N169">
        <f>Clean_Data[[#This Row],[Total_Sales]]-Clean_Data[[#This Row],[Total_Cost]]</f>
        <v>588</v>
      </c>
      <c r="O169" s="2">
        <f>Clean_Data[[#This Row],[Profit]]/Clean_Data[[#This Row],[Total_Sales]]</f>
        <v>0.23519999999999999</v>
      </c>
      <c r="P169" t="str">
        <f>_xlfn.XLOOKUP(Clean_Data[[#This Row],[Product_Code]],Product_Catalog!A:A,Product_Catalog!C:C)</f>
        <v>Electronics</v>
      </c>
      <c r="Q169">
        <f>IF(Clean_Data[[#This Row],[Order_Date]]="","",YEAR(Clean_Data[[#This Row],[Order_Date]]))</f>
        <v>2026</v>
      </c>
      <c r="R169" t="str">
        <f>TEXT(Clean_Data[[#This Row],[Order_Date]],"mmm")</f>
        <v>Aug</v>
      </c>
      <c r="S169" t="str">
        <f>TEXT(Clean_Data[[#This Row],[Order_Date]],"mmm-yy")</f>
        <v>Aug-26</v>
      </c>
      <c r="V169"/>
    </row>
    <row r="170" spans="1:22" x14ac:dyDescent="0.25">
      <c r="A170" t="s">
        <v>223</v>
      </c>
      <c r="B170" s="1">
        <v>45790</v>
      </c>
      <c r="C170" t="s">
        <v>19</v>
      </c>
      <c r="D170" t="s">
        <v>26</v>
      </c>
      <c r="E170" t="s">
        <v>66</v>
      </c>
      <c r="F170" t="s">
        <v>67</v>
      </c>
      <c r="G170">
        <v>14</v>
      </c>
      <c r="H170">
        <v>2500</v>
      </c>
      <c r="I170">
        <v>1732</v>
      </c>
      <c r="J170" t="s">
        <v>22</v>
      </c>
      <c r="K170" t="s">
        <v>23</v>
      </c>
      <c r="L170">
        <f>SUM(Clean_Data[[#This Row],[Units_Sold]]*Clean_Data[[#This Row],[Unit_Price]])</f>
        <v>35000</v>
      </c>
      <c r="M170">
        <f>Clean_Data[[#This Row],[Units_Sold]]*Clean_Data[[#This Row],[Cost_Price]]</f>
        <v>24248</v>
      </c>
      <c r="N170">
        <f>Clean_Data[[#This Row],[Total_Sales]]-Clean_Data[[#This Row],[Total_Cost]]</f>
        <v>10752</v>
      </c>
      <c r="O170" s="2">
        <f>Clean_Data[[#This Row],[Profit]]/Clean_Data[[#This Row],[Total_Sales]]</f>
        <v>0.30719999999999997</v>
      </c>
      <c r="P170" t="str">
        <f>_xlfn.XLOOKUP(Clean_Data[[#This Row],[Product_Code]],Product_Catalog!A:A,Product_Catalog!C:C)</f>
        <v>Electronics</v>
      </c>
      <c r="Q170">
        <f>IF(Clean_Data[[#This Row],[Order_Date]]="","",YEAR(Clean_Data[[#This Row],[Order_Date]]))</f>
        <v>2025</v>
      </c>
      <c r="R170" t="str">
        <f>TEXT(Clean_Data[[#This Row],[Order_Date]],"mmm")</f>
        <v>May</v>
      </c>
      <c r="S170" t="str">
        <f>TEXT(Clean_Data[[#This Row],[Order_Date]],"mmm-yy")</f>
        <v>May-25</v>
      </c>
      <c r="V170"/>
    </row>
    <row r="171" spans="1:22" x14ac:dyDescent="0.25">
      <c r="A171" t="s">
        <v>224</v>
      </c>
      <c r="B171" s="1">
        <v>46069</v>
      </c>
      <c r="C171" t="s">
        <v>25</v>
      </c>
      <c r="D171" t="s">
        <v>36</v>
      </c>
      <c r="E171" t="s">
        <v>14</v>
      </c>
      <c r="F171" t="s">
        <v>15</v>
      </c>
      <c r="G171">
        <v>18</v>
      </c>
      <c r="H171">
        <v>12500</v>
      </c>
      <c r="I171">
        <v>9347</v>
      </c>
      <c r="J171" t="s">
        <v>16</v>
      </c>
      <c r="K171" t="s">
        <v>17</v>
      </c>
      <c r="L171">
        <f>SUM(Clean_Data[[#This Row],[Units_Sold]]*Clean_Data[[#This Row],[Unit_Price]])</f>
        <v>225000</v>
      </c>
      <c r="M171">
        <f>Clean_Data[[#This Row],[Units_Sold]]*Clean_Data[[#This Row],[Cost_Price]]</f>
        <v>168246</v>
      </c>
      <c r="N171">
        <f>Clean_Data[[#This Row],[Total_Sales]]-Clean_Data[[#This Row],[Total_Cost]]</f>
        <v>56754</v>
      </c>
      <c r="O171" s="2">
        <f>Clean_Data[[#This Row],[Profit]]/Clean_Data[[#This Row],[Total_Sales]]</f>
        <v>0.25224000000000002</v>
      </c>
      <c r="P171" t="str">
        <f>_xlfn.XLOOKUP(Clean_Data[[#This Row],[Product_Code]],Product_Catalog!A:A,Product_Catalog!C:C)</f>
        <v>Accessories</v>
      </c>
      <c r="Q171">
        <f>IF(Clean_Data[[#This Row],[Order_Date]]="","",YEAR(Clean_Data[[#This Row],[Order_Date]]))</f>
        <v>2026</v>
      </c>
      <c r="R171" t="str">
        <f>TEXT(Clean_Data[[#This Row],[Order_Date]],"mmm")</f>
        <v>Feb</v>
      </c>
      <c r="S171" t="str">
        <f>TEXT(Clean_Data[[#This Row],[Order_Date]],"mmm-yy")</f>
        <v>Feb-26</v>
      </c>
      <c r="V171"/>
    </row>
    <row r="172" spans="1:22" x14ac:dyDescent="0.25">
      <c r="A172" t="s">
        <v>225</v>
      </c>
      <c r="B172" s="1">
        <v>45866</v>
      </c>
      <c r="C172" t="s">
        <v>19</v>
      </c>
      <c r="D172" t="s">
        <v>36</v>
      </c>
      <c r="E172" t="s">
        <v>37</v>
      </c>
      <c r="F172" t="s">
        <v>38</v>
      </c>
      <c r="G172">
        <v>18</v>
      </c>
      <c r="H172">
        <v>55000</v>
      </c>
      <c r="I172">
        <v>35068</v>
      </c>
      <c r="J172" t="s">
        <v>29</v>
      </c>
      <c r="K172" t="s">
        <v>17</v>
      </c>
      <c r="L172">
        <f>SUM(Clean_Data[[#This Row],[Units_Sold]]*Clean_Data[[#This Row],[Unit_Price]])</f>
        <v>990000</v>
      </c>
      <c r="M172">
        <f>Clean_Data[[#This Row],[Units_Sold]]*Clean_Data[[#This Row],[Cost_Price]]</f>
        <v>631224</v>
      </c>
      <c r="N172">
        <f>Clean_Data[[#This Row],[Total_Sales]]-Clean_Data[[#This Row],[Total_Cost]]</f>
        <v>358776</v>
      </c>
      <c r="O172" s="2">
        <f>Clean_Data[[#This Row],[Profit]]/Clean_Data[[#This Row],[Total_Sales]]</f>
        <v>0.3624</v>
      </c>
      <c r="P172" t="str">
        <f>_xlfn.XLOOKUP(Clean_Data[[#This Row],[Product_Code]],Product_Catalog!A:A,Product_Catalog!C:C)</f>
        <v>Electronics</v>
      </c>
      <c r="Q172">
        <f>IF(Clean_Data[[#This Row],[Order_Date]]="","",YEAR(Clean_Data[[#This Row],[Order_Date]]))</f>
        <v>2025</v>
      </c>
      <c r="R172" t="str">
        <f>TEXT(Clean_Data[[#This Row],[Order_Date]],"mmm")</f>
        <v>Jul</v>
      </c>
      <c r="S172" t="str">
        <f>TEXT(Clean_Data[[#This Row],[Order_Date]],"mmm-yy")</f>
        <v>Jul-25</v>
      </c>
      <c r="V172"/>
    </row>
    <row r="173" spans="1:22" x14ac:dyDescent="0.25">
      <c r="A173" t="s">
        <v>226</v>
      </c>
      <c r="B173" s="1">
        <v>45849</v>
      </c>
      <c r="C173" t="s">
        <v>53</v>
      </c>
      <c r="D173" t="s">
        <v>13</v>
      </c>
      <c r="E173" t="s">
        <v>41</v>
      </c>
      <c r="F173" t="s">
        <v>42</v>
      </c>
      <c r="G173">
        <v>6</v>
      </c>
      <c r="H173">
        <v>28000</v>
      </c>
      <c r="I173">
        <v>18399</v>
      </c>
      <c r="J173" t="s">
        <v>29</v>
      </c>
      <c r="K173" t="s">
        <v>84</v>
      </c>
      <c r="L173">
        <f>SUM(Clean_Data[[#This Row],[Units_Sold]]*Clean_Data[[#This Row],[Unit_Price]])</f>
        <v>168000</v>
      </c>
      <c r="M173">
        <f>Clean_Data[[#This Row],[Units_Sold]]*Clean_Data[[#This Row],[Cost_Price]]</f>
        <v>110394</v>
      </c>
      <c r="N173">
        <f>Clean_Data[[#This Row],[Total_Sales]]-Clean_Data[[#This Row],[Total_Cost]]</f>
        <v>57606</v>
      </c>
      <c r="O173" s="2">
        <f>Clean_Data[[#This Row],[Profit]]/Clean_Data[[#This Row],[Total_Sales]]</f>
        <v>0.34289285714285717</v>
      </c>
      <c r="P173" t="str">
        <f>_xlfn.XLOOKUP(Clean_Data[[#This Row],[Product_Code]],Product_Catalog!A:A,Product_Catalog!C:C)</f>
        <v>Electronics</v>
      </c>
      <c r="Q173">
        <f>IF(Clean_Data[[#This Row],[Order_Date]]="","",YEAR(Clean_Data[[#This Row],[Order_Date]]))</f>
        <v>2025</v>
      </c>
      <c r="R173" t="str">
        <f>TEXT(Clean_Data[[#This Row],[Order_Date]],"mmm")</f>
        <v>Jul</v>
      </c>
      <c r="S173" t="str">
        <f>TEXT(Clean_Data[[#This Row],[Order_Date]],"mmm-yy")</f>
        <v>Jul-25</v>
      </c>
      <c r="V173"/>
    </row>
    <row r="174" spans="1:22" x14ac:dyDescent="0.25">
      <c r="A174" t="s">
        <v>227</v>
      </c>
      <c r="B174" s="1">
        <v>45721</v>
      </c>
      <c r="C174" t="s">
        <v>53</v>
      </c>
      <c r="D174" t="s">
        <v>40</v>
      </c>
      <c r="E174" t="s">
        <v>27</v>
      </c>
      <c r="F174" t="s">
        <v>28</v>
      </c>
      <c r="G174">
        <v>14</v>
      </c>
      <c r="H174">
        <v>14000</v>
      </c>
      <c r="I174">
        <v>8896</v>
      </c>
      <c r="J174" t="s">
        <v>29</v>
      </c>
      <c r="K174" t="s">
        <v>17</v>
      </c>
      <c r="L174">
        <f>SUM(Clean_Data[[#This Row],[Units_Sold]]*Clean_Data[[#This Row],[Unit_Price]])</f>
        <v>196000</v>
      </c>
      <c r="M174">
        <f>Clean_Data[[#This Row],[Units_Sold]]*Clean_Data[[#This Row],[Cost_Price]]</f>
        <v>124544</v>
      </c>
      <c r="N174">
        <f>Clean_Data[[#This Row],[Total_Sales]]-Clean_Data[[#This Row],[Total_Cost]]</f>
        <v>71456</v>
      </c>
      <c r="O174" s="2">
        <f>Clean_Data[[#This Row],[Profit]]/Clean_Data[[#This Row],[Total_Sales]]</f>
        <v>0.36457142857142855</v>
      </c>
      <c r="P174" t="str">
        <f>_xlfn.XLOOKUP(Clean_Data[[#This Row],[Product_Code]],Product_Catalog!A:A,Product_Catalog!C:C)</f>
        <v>Furniture</v>
      </c>
      <c r="Q174">
        <f>IF(Clean_Data[[#This Row],[Order_Date]]="","",YEAR(Clean_Data[[#This Row],[Order_Date]]))</f>
        <v>2025</v>
      </c>
      <c r="R174" t="str">
        <f>TEXT(Clean_Data[[#This Row],[Order_Date]],"mmm")</f>
        <v>Mar</v>
      </c>
      <c r="S174" t="str">
        <f>TEXT(Clean_Data[[#This Row],[Order_Date]],"mmm-yy")</f>
        <v>Mar-25</v>
      </c>
      <c r="V174"/>
    </row>
    <row r="175" spans="1:22" x14ac:dyDescent="0.25">
      <c r="A175" t="s">
        <v>228</v>
      </c>
      <c r="B175" s="1">
        <v>45972</v>
      </c>
      <c r="C175" t="s">
        <v>44</v>
      </c>
      <c r="D175" t="s">
        <v>36</v>
      </c>
      <c r="E175" t="s">
        <v>63</v>
      </c>
      <c r="F175" t="s">
        <v>59</v>
      </c>
      <c r="G175">
        <v>14</v>
      </c>
      <c r="H175">
        <v>4500</v>
      </c>
      <c r="I175">
        <v>3341</v>
      </c>
      <c r="J175" t="s">
        <v>45</v>
      </c>
      <c r="K175" t="s">
        <v>23</v>
      </c>
      <c r="L175">
        <f>SUM(Clean_Data[[#This Row],[Units_Sold]]*Clean_Data[[#This Row],[Unit_Price]])</f>
        <v>63000</v>
      </c>
      <c r="M175">
        <f>Clean_Data[[#This Row],[Units_Sold]]*Clean_Data[[#This Row],[Cost_Price]]</f>
        <v>46774</v>
      </c>
      <c r="N175">
        <f>Clean_Data[[#This Row],[Total_Sales]]-Clean_Data[[#This Row],[Total_Cost]]</f>
        <v>16226</v>
      </c>
      <c r="O175" s="2">
        <f>Clean_Data[[#This Row],[Profit]]/Clean_Data[[#This Row],[Total_Sales]]</f>
        <v>0.25755555555555554</v>
      </c>
      <c r="P175" t="str">
        <f>_xlfn.XLOOKUP(Clean_Data[[#This Row],[Product_Code]],Product_Catalog!A:A,Product_Catalog!C:C)</f>
        <v>Electronics</v>
      </c>
      <c r="Q175">
        <f>IF(Clean_Data[[#This Row],[Order_Date]]="","",YEAR(Clean_Data[[#This Row],[Order_Date]]))</f>
        <v>2025</v>
      </c>
      <c r="R175" t="str">
        <f>TEXT(Clean_Data[[#This Row],[Order_Date]],"mmm")</f>
        <v>Nov</v>
      </c>
      <c r="S175" t="str">
        <f>TEXT(Clean_Data[[#This Row],[Order_Date]],"mmm-yy")</f>
        <v>Nov-25</v>
      </c>
      <c r="V175"/>
    </row>
    <row r="176" spans="1:22" x14ac:dyDescent="0.25">
      <c r="A176" t="s">
        <v>229</v>
      </c>
      <c r="B176" s="1">
        <v>46072</v>
      </c>
      <c r="C176" t="s">
        <v>25</v>
      </c>
      <c r="D176" t="s">
        <v>26</v>
      </c>
      <c r="E176" t="s">
        <v>41</v>
      </c>
      <c r="F176" t="s">
        <v>42</v>
      </c>
      <c r="G176">
        <v>15</v>
      </c>
      <c r="H176">
        <v>28000</v>
      </c>
      <c r="I176">
        <v>18089</v>
      </c>
      <c r="J176" t="s">
        <v>45</v>
      </c>
      <c r="K176" t="s">
        <v>46</v>
      </c>
      <c r="L176">
        <f>SUM(Clean_Data[[#This Row],[Units_Sold]]*Clean_Data[[#This Row],[Unit_Price]])</f>
        <v>420000</v>
      </c>
      <c r="M176">
        <f>Clean_Data[[#This Row],[Units_Sold]]*Clean_Data[[#This Row],[Cost_Price]]</f>
        <v>271335</v>
      </c>
      <c r="N176">
        <f>Clean_Data[[#This Row],[Total_Sales]]-Clean_Data[[#This Row],[Total_Cost]]</f>
        <v>148665</v>
      </c>
      <c r="O176" s="2">
        <f>Clean_Data[[#This Row],[Profit]]/Clean_Data[[#This Row],[Total_Sales]]</f>
        <v>0.35396428571428573</v>
      </c>
      <c r="P176" t="str">
        <f>_xlfn.XLOOKUP(Clean_Data[[#This Row],[Product_Code]],Product_Catalog!A:A,Product_Catalog!C:C)</f>
        <v>Electronics</v>
      </c>
      <c r="Q176">
        <f>IF(Clean_Data[[#This Row],[Order_Date]]="","",YEAR(Clean_Data[[#This Row],[Order_Date]]))</f>
        <v>2026</v>
      </c>
      <c r="R176" t="str">
        <f>TEXT(Clean_Data[[#This Row],[Order_Date]],"mmm")</f>
        <v>Feb</v>
      </c>
      <c r="S176" t="str">
        <f>TEXT(Clean_Data[[#This Row],[Order_Date]],"mmm-yy")</f>
        <v>Feb-26</v>
      </c>
      <c r="V176"/>
    </row>
    <row r="177" spans="1:22" x14ac:dyDescent="0.25">
      <c r="A177" t="s">
        <v>230</v>
      </c>
      <c r="B177" s="1">
        <v>45959</v>
      </c>
      <c r="C177" t="s">
        <v>31</v>
      </c>
      <c r="D177" t="s">
        <v>40</v>
      </c>
      <c r="E177" t="s">
        <v>41</v>
      </c>
      <c r="F177" t="s">
        <v>42</v>
      </c>
      <c r="G177">
        <v>11</v>
      </c>
      <c r="H177">
        <v>28000</v>
      </c>
      <c r="I177">
        <v>21485</v>
      </c>
      <c r="J177" t="s">
        <v>29</v>
      </c>
      <c r="K177" t="s">
        <v>23</v>
      </c>
      <c r="L177">
        <f>SUM(Clean_Data[[#This Row],[Units_Sold]]*Clean_Data[[#This Row],[Unit_Price]])</f>
        <v>308000</v>
      </c>
      <c r="M177">
        <f>Clean_Data[[#This Row],[Units_Sold]]*Clean_Data[[#This Row],[Cost_Price]]</f>
        <v>236335</v>
      </c>
      <c r="N177">
        <f>Clean_Data[[#This Row],[Total_Sales]]-Clean_Data[[#This Row],[Total_Cost]]</f>
        <v>71665</v>
      </c>
      <c r="O177" s="2">
        <f>Clean_Data[[#This Row],[Profit]]/Clean_Data[[#This Row],[Total_Sales]]</f>
        <v>0.23267857142857143</v>
      </c>
      <c r="P177" t="str">
        <f>_xlfn.XLOOKUP(Clean_Data[[#This Row],[Product_Code]],Product_Catalog!A:A,Product_Catalog!C:C)</f>
        <v>Electronics</v>
      </c>
      <c r="Q177">
        <f>IF(Clean_Data[[#This Row],[Order_Date]]="","",YEAR(Clean_Data[[#This Row],[Order_Date]]))</f>
        <v>2025</v>
      </c>
      <c r="R177" t="str">
        <f>TEXT(Clean_Data[[#This Row],[Order_Date]],"mmm")</f>
        <v>Oct</v>
      </c>
      <c r="S177" t="str">
        <f>TEXT(Clean_Data[[#This Row],[Order_Date]],"mmm-yy")</f>
        <v>Oct-25</v>
      </c>
      <c r="V177"/>
    </row>
    <row r="178" spans="1:22" x14ac:dyDescent="0.25">
      <c r="A178" t="s">
        <v>231</v>
      </c>
      <c r="B178" s="1">
        <v>46145</v>
      </c>
      <c r="C178" t="s">
        <v>25</v>
      </c>
      <c r="D178" t="s">
        <v>33</v>
      </c>
      <c r="E178" t="s">
        <v>20</v>
      </c>
      <c r="F178" t="s">
        <v>21</v>
      </c>
      <c r="G178">
        <v>17</v>
      </c>
      <c r="H178">
        <v>8500</v>
      </c>
      <c r="I178">
        <v>5664</v>
      </c>
      <c r="J178" t="s">
        <v>22</v>
      </c>
      <c r="K178" t="s">
        <v>17</v>
      </c>
      <c r="L178">
        <f>SUM(Clean_Data[[#This Row],[Units_Sold]]*Clean_Data[[#This Row],[Unit_Price]])</f>
        <v>144500</v>
      </c>
      <c r="M178">
        <f>Clean_Data[[#This Row],[Units_Sold]]*Clean_Data[[#This Row],[Cost_Price]]</f>
        <v>96288</v>
      </c>
      <c r="N178">
        <f>Clean_Data[[#This Row],[Total_Sales]]-Clean_Data[[#This Row],[Total_Cost]]</f>
        <v>48212</v>
      </c>
      <c r="O178" s="2">
        <f>Clean_Data[[#This Row],[Profit]]/Clean_Data[[#This Row],[Total_Sales]]</f>
        <v>0.33364705882352941</v>
      </c>
      <c r="P178" t="str">
        <f>_xlfn.XLOOKUP(Clean_Data[[#This Row],[Product_Code]],Product_Catalog!A:A,Product_Catalog!C:C)</f>
        <v>Accessories</v>
      </c>
      <c r="Q178">
        <f>IF(Clean_Data[[#This Row],[Order_Date]]="","",YEAR(Clean_Data[[#This Row],[Order_Date]]))</f>
        <v>2026</v>
      </c>
      <c r="R178" t="str">
        <f>TEXT(Clean_Data[[#This Row],[Order_Date]],"mmm")</f>
        <v>May</v>
      </c>
      <c r="S178" t="str">
        <f>TEXT(Clean_Data[[#This Row],[Order_Date]],"mmm-yy")</f>
        <v>May-26</v>
      </c>
      <c r="V178"/>
    </row>
    <row r="179" spans="1:22" x14ac:dyDescent="0.25">
      <c r="A179" t="s">
        <v>232</v>
      </c>
      <c r="B179" s="1">
        <v>45725</v>
      </c>
      <c r="C179" t="s">
        <v>73</v>
      </c>
      <c r="D179" t="s">
        <v>13</v>
      </c>
      <c r="E179" t="s">
        <v>55</v>
      </c>
      <c r="F179" t="s">
        <v>34</v>
      </c>
      <c r="G179">
        <v>17</v>
      </c>
      <c r="H179">
        <v>35000</v>
      </c>
      <c r="I179">
        <v>21870</v>
      </c>
      <c r="J179" t="s">
        <v>16</v>
      </c>
      <c r="K179" t="s">
        <v>23</v>
      </c>
      <c r="L179">
        <f>SUM(Clean_Data[[#This Row],[Units_Sold]]*Clean_Data[[#This Row],[Unit_Price]])</f>
        <v>595000</v>
      </c>
      <c r="M179">
        <f>Clean_Data[[#This Row],[Units_Sold]]*Clean_Data[[#This Row],[Cost_Price]]</f>
        <v>371790</v>
      </c>
      <c r="N179">
        <f>Clean_Data[[#This Row],[Total_Sales]]-Clean_Data[[#This Row],[Total_Cost]]</f>
        <v>223210</v>
      </c>
      <c r="O179" s="2">
        <f>Clean_Data[[#This Row],[Profit]]/Clean_Data[[#This Row],[Total_Sales]]</f>
        <v>0.37514285714285717</v>
      </c>
      <c r="P179" t="str">
        <f>_xlfn.XLOOKUP(Clean_Data[[#This Row],[Product_Code]],Product_Catalog!A:A,Product_Catalog!C:C)</f>
        <v>Furniture</v>
      </c>
      <c r="Q179">
        <f>IF(Clean_Data[[#This Row],[Order_Date]]="","",YEAR(Clean_Data[[#This Row],[Order_Date]]))</f>
        <v>2025</v>
      </c>
      <c r="R179" t="str">
        <f>TEXT(Clean_Data[[#This Row],[Order_Date]],"mmm")</f>
        <v>Mar</v>
      </c>
      <c r="S179" t="str">
        <f>TEXT(Clean_Data[[#This Row],[Order_Date]],"mmm-yy")</f>
        <v>Mar-25</v>
      </c>
      <c r="V179"/>
    </row>
    <row r="180" spans="1:22" x14ac:dyDescent="0.25">
      <c r="A180" t="s">
        <v>233</v>
      </c>
      <c r="B180" s="1">
        <v>46215</v>
      </c>
      <c r="C180" t="s">
        <v>44</v>
      </c>
      <c r="D180" t="s">
        <v>13</v>
      </c>
      <c r="E180" t="s">
        <v>49</v>
      </c>
      <c r="F180" t="s">
        <v>50</v>
      </c>
      <c r="G180">
        <v>2</v>
      </c>
      <c r="H180">
        <v>75000</v>
      </c>
      <c r="I180">
        <v>45115</v>
      </c>
      <c r="J180" t="s">
        <v>29</v>
      </c>
      <c r="K180" t="s">
        <v>23</v>
      </c>
      <c r="L180">
        <f>SUM(Clean_Data[[#This Row],[Units_Sold]]*Clean_Data[[#This Row],[Unit_Price]])</f>
        <v>150000</v>
      </c>
      <c r="M180">
        <f>Clean_Data[[#This Row],[Units_Sold]]*Clean_Data[[#This Row],[Cost_Price]]</f>
        <v>90230</v>
      </c>
      <c r="N180">
        <f>Clean_Data[[#This Row],[Total_Sales]]-Clean_Data[[#This Row],[Total_Cost]]</f>
        <v>59770</v>
      </c>
      <c r="O180" s="2">
        <f>Clean_Data[[#This Row],[Profit]]/Clean_Data[[#This Row],[Total_Sales]]</f>
        <v>0.39846666666666669</v>
      </c>
      <c r="P180" t="str">
        <f>_xlfn.XLOOKUP(Clean_Data[[#This Row],[Product_Code]],Product_Catalog!A:A,Product_Catalog!C:C)</f>
        <v>Electronics</v>
      </c>
      <c r="Q180">
        <f>IF(Clean_Data[[#This Row],[Order_Date]]="","",YEAR(Clean_Data[[#This Row],[Order_Date]]))</f>
        <v>2026</v>
      </c>
      <c r="R180" t="str">
        <f>TEXT(Clean_Data[[#This Row],[Order_Date]],"mmm")</f>
        <v>Jul</v>
      </c>
      <c r="S180" t="str">
        <f>TEXT(Clean_Data[[#This Row],[Order_Date]],"mmm-yy")</f>
        <v>Jul-26</v>
      </c>
      <c r="V180"/>
    </row>
    <row r="181" spans="1:22" x14ac:dyDescent="0.25">
      <c r="A181" t="s">
        <v>234</v>
      </c>
      <c r="B181" s="1">
        <v>45729</v>
      </c>
      <c r="C181" t="s">
        <v>73</v>
      </c>
      <c r="D181" t="s">
        <v>13</v>
      </c>
      <c r="E181" t="s">
        <v>49</v>
      </c>
      <c r="F181" t="s">
        <v>50</v>
      </c>
      <c r="G181">
        <v>18</v>
      </c>
      <c r="H181">
        <v>75000</v>
      </c>
      <c r="I181">
        <v>51496</v>
      </c>
      <c r="J181" t="s">
        <v>29</v>
      </c>
      <c r="K181" t="s">
        <v>46</v>
      </c>
      <c r="L181">
        <f>SUM(Clean_Data[[#This Row],[Units_Sold]]*Clean_Data[[#This Row],[Unit_Price]])</f>
        <v>1350000</v>
      </c>
      <c r="M181">
        <f>Clean_Data[[#This Row],[Units_Sold]]*Clean_Data[[#This Row],[Cost_Price]]</f>
        <v>926928</v>
      </c>
      <c r="N181">
        <f>Clean_Data[[#This Row],[Total_Sales]]-Clean_Data[[#This Row],[Total_Cost]]</f>
        <v>423072</v>
      </c>
      <c r="O181" s="2">
        <f>Clean_Data[[#This Row],[Profit]]/Clean_Data[[#This Row],[Total_Sales]]</f>
        <v>0.31338666666666665</v>
      </c>
      <c r="P181" t="str">
        <f>_xlfn.XLOOKUP(Clean_Data[[#This Row],[Product_Code]],Product_Catalog!A:A,Product_Catalog!C:C)</f>
        <v>Electronics</v>
      </c>
      <c r="Q181">
        <f>IF(Clean_Data[[#This Row],[Order_Date]]="","",YEAR(Clean_Data[[#This Row],[Order_Date]]))</f>
        <v>2025</v>
      </c>
      <c r="R181" t="str">
        <f>TEXT(Clean_Data[[#This Row],[Order_Date]],"mmm")</f>
        <v>Mar</v>
      </c>
      <c r="S181" t="str">
        <f>TEXT(Clean_Data[[#This Row],[Order_Date]],"mmm-yy")</f>
        <v>Mar-25</v>
      </c>
      <c r="V181"/>
    </row>
    <row r="182" spans="1:22" x14ac:dyDescent="0.25">
      <c r="A182" t="s">
        <v>235</v>
      </c>
      <c r="B182" s="1">
        <v>45699</v>
      </c>
      <c r="C182" t="s">
        <v>12</v>
      </c>
      <c r="D182" t="s">
        <v>13</v>
      </c>
      <c r="E182" t="s">
        <v>37</v>
      </c>
      <c r="F182" t="s">
        <v>38</v>
      </c>
      <c r="G182">
        <v>8</v>
      </c>
      <c r="H182">
        <v>55000</v>
      </c>
      <c r="I182">
        <v>37338</v>
      </c>
      <c r="J182" t="s">
        <v>22</v>
      </c>
      <c r="K182" t="s">
        <v>23</v>
      </c>
      <c r="L182">
        <f>SUM(Clean_Data[[#This Row],[Units_Sold]]*Clean_Data[[#This Row],[Unit_Price]])</f>
        <v>440000</v>
      </c>
      <c r="M182">
        <f>Clean_Data[[#This Row],[Units_Sold]]*Clean_Data[[#This Row],[Cost_Price]]</f>
        <v>298704</v>
      </c>
      <c r="N182">
        <f>Clean_Data[[#This Row],[Total_Sales]]-Clean_Data[[#This Row],[Total_Cost]]</f>
        <v>141296</v>
      </c>
      <c r="O182" s="2">
        <f>Clean_Data[[#This Row],[Profit]]/Clean_Data[[#This Row],[Total_Sales]]</f>
        <v>0.32112727272727271</v>
      </c>
      <c r="P182" t="str">
        <f>_xlfn.XLOOKUP(Clean_Data[[#This Row],[Product_Code]],Product_Catalog!A:A,Product_Catalog!C:C)</f>
        <v>Electronics</v>
      </c>
      <c r="Q182">
        <f>IF(Clean_Data[[#This Row],[Order_Date]]="","",YEAR(Clean_Data[[#This Row],[Order_Date]]))</f>
        <v>2025</v>
      </c>
      <c r="R182" t="str">
        <f>TEXT(Clean_Data[[#This Row],[Order_Date]],"mmm")</f>
        <v>Feb</v>
      </c>
      <c r="S182" t="str">
        <f>TEXT(Clean_Data[[#This Row],[Order_Date]],"mmm-yy")</f>
        <v>Feb-25</v>
      </c>
      <c r="V182"/>
    </row>
    <row r="183" spans="1:22" x14ac:dyDescent="0.25">
      <c r="A183" t="s">
        <v>236</v>
      </c>
      <c r="B183" s="1">
        <v>45683</v>
      </c>
      <c r="C183" t="s">
        <v>25</v>
      </c>
      <c r="D183" t="s">
        <v>40</v>
      </c>
      <c r="E183" t="s">
        <v>14</v>
      </c>
      <c r="F183" t="s">
        <v>15</v>
      </c>
      <c r="G183">
        <v>17</v>
      </c>
      <c r="H183">
        <v>12500</v>
      </c>
      <c r="I183">
        <v>9603</v>
      </c>
      <c r="J183" t="s">
        <v>45</v>
      </c>
      <c r="K183" t="s">
        <v>17</v>
      </c>
      <c r="L183">
        <f>SUM(Clean_Data[[#This Row],[Units_Sold]]*Clean_Data[[#This Row],[Unit_Price]])</f>
        <v>212500</v>
      </c>
      <c r="M183">
        <f>Clean_Data[[#This Row],[Units_Sold]]*Clean_Data[[#This Row],[Cost_Price]]</f>
        <v>163251</v>
      </c>
      <c r="N183">
        <f>Clean_Data[[#This Row],[Total_Sales]]-Clean_Data[[#This Row],[Total_Cost]]</f>
        <v>49249</v>
      </c>
      <c r="O183" s="2">
        <f>Clean_Data[[#This Row],[Profit]]/Clean_Data[[#This Row],[Total_Sales]]</f>
        <v>0.23175999999999999</v>
      </c>
      <c r="P183" t="str">
        <f>_xlfn.XLOOKUP(Clean_Data[[#This Row],[Product_Code]],Product_Catalog!A:A,Product_Catalog!C:C)</f>
        <v>Accessories</v>
      </c>
      <c r="Q183">
        <f>IF(Clean_Data[[#This Row],[Order_Date]]="","",YEAR(Clean_Data[[#This Row],[Order_Date]]))</f>
        <v>2025</v>
      </c>
      <c r="R183" t="str">
        <f>TEXT(Clean_Data[[#This Row],[Order_Date]],"mmm")</f>
        <v>Jan</v>
      </c>
      <c r="S183" t="str">
        <f>TEXT(Clean_Data[[#This Row],[Order_Date]],"mmm-yy")</f>
        <v>Jan-25</v>
      </c>
      <c r="V183"/>
    </row>
    <row r="184" spans="1:22" x14ac:dyDescent="0.25">
      <c r="A184" t="s">
        <v>237</v>
      </c>
      <c r="B184" s="1">
        <v>45860</v>
      </c>
      <c r="C184" t="s">
        <v>48</v>
      </c>
      <c r="D184" t="s">
        <v>40</v>
      </c>
      <c r="E184" t="s">
        <v>20</v>
      </c>
      <c r="F184" t="s">
        <v>21</v>
      </c>
      <c r="G184">
        <v>14</v>
      </c>
      <c r="H184">
        <v>8500</v>
      </c>
      <c r="I184">
        <v>5865</v>
      </c>
      <c r="J184" t="s">
        <v>29</v>
      </c>
      <c r="K184" t="s">
        <v>17</v>
      </c>
      <c r="L184">
        <f>SUM(Clean_Data[[#This Row],[Units_Sold]]*Clean_Data[[#This Row],[Unit_Price]])</f>
        <v>119000</v>
      </c>
      <c r="M184">
        <f>Clean_Data[[#This Row],[Units_Sold]]*Clean_Data[[#This Row],[Cost_Price]]</f>
        <v>82110</v>
      </c>
      <c r="N184">
        <f>Clean_Data[[#This Row],[Total_Sales]]-Clean_Data[[#This Row],[Total_Cost]]</f>
        <v>36890</v>
      </c>
      <c r="O184" s="2">
        <f>Clean_Data[[#This Row],[Profit]]/Clean_Data[[#This Row],[Total_Sales]]</f>
        <v>0.31</v>
      </c>
      <c r="P184" t="str">
        <f>_xlfn.XLOOKUP(Clean_Data[[#This Row],[Product_Code]],Product_Catalog!A:A,Product_Catalog!C:C)</f>
        <v>Accessories</v>
      </c>
      <c r="Q184">
        <f>IF(Clean_Data[[#This Row],[Order_Date]]="","",YEAR(Clean_Data[[#This Row],[Order_Date]]))</f>
        <v>2025</v>
      </c>
      <c r="R184" t="str">
        <f>TEXT(Clean_Data[[#This Row],[Order_Date]],"mmm")</f>
        <v>Jul</v>
      </c>
      <c r="S184" t="str">
        <f>TEXT(Clean_Data[[#This Row],[Order_Date]],"mmm-yy")</f>
        <v>Jul-25</v>
      </c>
      <c r="V184"/>
    </row>
    <row r="185" spans="1:22" x14ac:dyDescent="0.25">
      <c r="A185" t="s">
        <v>238</v>
      </c>
      <c r="B185" s="1">
        <v>46003</v>
      </c>
      <c r="C185" t="s">
        <v>62</v>
      </c>
      <c r="D185" t="s">
        <v>13</v>
      </c>
      <c r="E185" t="s">
        <v>14</v>
      </c>
      <c r="F185" t="s">
        <v>15</v>
      </c>
      <c r="G185">
        <v>15</v>
      </c>
      <c r="H185">
        <v>12500</v>
      </c>
      <c r="I185">
        <v>8093</v>
      </c>
      <c r="J185" t="s">
        <v>29</v>
      </c>
      <c r="K185" t="s">
        <v>17</v>
      </c>
      <c r="L185">
        <f>SUM(Clean_Data[[#This Row],[Units_Sold]]*Clean_Data[[#This Row],[Unit_Price]])</f>
        <v>187500</v>
      </c>
      <c r="M185">
        <f>Clean_Data[[#This Row],[Units_Sold]]*Clean_Data[[#This Row],[Cost_Price]]</f>
        <v>121395</v>
      </c>
      <c r="N185">
        <f>Clean_Data[[#This Row],[Total_Sales]]-Clean_Data[[#This Row],[Total_Cost]]</f>
        <v>66105</v>
      </c>
      <c r="O185" s="2">
        <f>Clean_Data[[#This Row],[Profit]]/Clean_Data[[#This Row],[Total_Sales]]</f>
        <v>0.35255999999999998</v>
      </c>
      <c r="P185" t="str">
        <f>_xlfn.XLOOKUP(Clean_Data[[#This Row],[Product_Code]],Product_Catalog!A:A,Product_Catalog!C:C)</f>
        <v>Accessories</v>
      </c>
      <c r="Q185">
        <f>IF(Clean_Data[[#This Row],[Order_Date]]="","",YEAR(Clean_Data[[#This Row],[Order_Date]]))</f>
        <v>2025</v>
      </c>
      <c r="R185" t="str">
        <f>TEXT(Clean_Data[[#This Row],[Order_Date]],"mmm")</f>
        <v>Dec</v>
      </c>
      <c r="S185" t="str">
        <f>TEXT(Clean_Data[[#This Row],[Order_Date]],"mmm-yy")</f>
        <v>Dec-25</v>
      </c>
      <c r="V185"/>
    </row>
    <row r="186" spans="1:22" x14ac:dyDescent="0.25">
      <c r="A186" t="s">
        <v>239</v>
      </c>
      <c r="B186" s="1">
        <v>46252</v>
      </c>
      <c r="C186" t="s">
        <v>19</v>
      </c>
      <c r="D186" t="s">
        <v>33</v>
      </c>
      <c r="E186" t="s">
        <v>27</v>
      </c>
      <c r="F186" t="s">
        <v>28</v>
      </c>
      <c r="G186">
        <v>12</v>
      </c>
      <c r="H186">
        <v>14000</v>
      </c>
      <c r="I186">
        <v>10069</v>
      </c>
      <c r="J186" t="s">
        <v>22</v>
      </c>
      <c r="K186" t="s">
        <v>23</v>
      </c>
      <c r="L186">
        <f>SUM(Clean_Data[[#This Row],[Units_Sold]]*Clean_Data[[#This Row],[Unit_Price]])</f>
        <v>168000</v>
      </c>
      <c r="M186">
        <f>Clean_Data[[#This Row],[Units_Sold]]*Clean_Data[[#This Row],[Cost_Price]]</f>
        <v>120828</v>
      </c>
      <c r="N186">
        <f>Clean_Data[[#This Row],[Total_Sales]]-Clean_Data[[#This Row],[Total_Cost]]</f>
        <v>47172</v>
      </c>
      <c r="O186" s="2">
        <f>Clean_Data[[#This Row],[Profit]]/Clean_Data[[#This Row],[Total_Sales]]</f>
        <v>0.28078571428571431</v>
      </c>
      <c r="P186" t="str">
        <f>_xlfn.XLOOKUP(Clean_Data[[#This Row],[Product_Code]],Product_Catalog!A:A,Product_Catalog!C:C)</f>
        <v>Furniture</v>
      </c>
      <c r="Q186">
        <f>IF(Clean_Data[[#This Row],[Order_Date]]="","",YEAR(Clean_Data[[#This Row],[Order_Date]]))</f>
        <v>2026</v>
      </c>
      <c r="R186" t="str">
        <f>TEXT(Clean_Data[[#This Row],[Order_Date]],"mmm")</f>
        <v>Aug</v>
      </c>
      <c r="S186" t="str">
        <f>TEXT(Clean_Data[[#This Row],[Order_Date]],"mmm-yy")</f>
        <v>Aug-26</v>
      </c>
      <c r="V186"/>
    </row>
    <row r="187" spans="1:22" x14ac:dyDescent="0.25">
      <c r="A187" t="s">
        <v>240</v>
      </c>
      <c r="B187" s="1">
        <v>45907</v>
      </c>
      <c r="C187" t="s">
        <v>62</v>
      </c>
      <c r="D187" t="s">
        <v>13</v>
      </c>
      <c r="E187" t="s">
        <v>55</v>
      </c>
      <c r="F187" t="s">
        <v>34</v>
      </c>
      <c r="G187">
        <v>7</v>
      </c>
      <c r="H187">
        <v>35000</v>
      </c>
      <c r="I187">
        <v>22757</v>
      </c>
      <c r="J187" t="s">
        <v>45</v>
      </c>
      <c r="K187" t="s">
        <v>23</v>
      </c>
      <c r="L187">
        <f>SUM(Clean_Data[[#This Row],[Units_Sold]]*Clean_Data[[#This Row],[Unit_Price]])</f>
        <v>245000</v>
      </c>
      <c r="M187">
        <f>Clean_Data[[#This Row],[Units_Sold]]*Clean_Data[[#This Row],[Cost_Price]]</f>
        <v>159299</v>
      </c>
      <c r="N187">
        <f>Clean_Data[[#This Row],[Total_Sales]]-Clean_Data[[#This Row],[Total_Cost]]</f>
        <v>85701</v>
      </c>
      <c r="O187" s="2">
        <f>Clean_Data[[#This Row],[Profit]]/Clean_Data[[#This Row],[Total_Sales]]</f>
        <v>0.3498</v>
      </c>
      <c r="P187" t="str">
        <f>_xlfn.XLOOKUP(Clean_Data[[#This Row],[Product_Code]],Product_Catalog!A:A,Product_Catalog!C:C)</f>
        <v>Furniture</v>
      </c>
      <c r="Q187">
        <f>IF(Clean_Data[[#This Row],[Order_Date]]="","",YEAR(Clean_Data[[#This Row],[Order_Date]]))</f>
        <v>2025</v>
      </c>
      <c r="R187" t="str">
        <f>TEXT(Clean_Data[[#This Row],[Order_Date]],"mmm")</f>
        <v>Sep</v>
      </c>
      <c r="S187" t="str">
        <f>TEXT(Clean_Data[[#This Row],[Order_Date]],"mmm-yy")</f>
        <v>Sep-25</v>
      </c>
      <c r="V187"/>
    </row>
    <row r="188" spans="1:22" x14ac:dyDescent="0.25">
      <c r="A188" t="s">
        <v>241</v>
      </c>
      <c r="B188" s="1">
        <v>45899</v>
      </c>
      <c r="C188" t="s">
        <v>44</v>
      </c>
      <c r="D188" t="s">
        <v>13</v>
      </c>
      <c r="E188" t="s">
        <v>66</v>
      </c>
      <c r="F188" t="s">
        <v>67</v>
      </c>
      <c r="G188">
        <v>13</v>
      </c>
      <c r="H188">
        <v>2500</v>
      </c>
      <c r="I188">
        <v>1927</v>
      </c>
      <c r="J188" t="s">
        <v>16</v>
      </c>
      <c r="K188" t="s">
        <v>23</v>
      </c>
      <c r="L188">
        <f>SUM(Clean_Data[[#This Row],[Units_Sold]]*Clean_Data[[#This Row],[Unit_Price]])</f>
        <v>32500</v>
      </c>
      <c r="M188">
        <f>Clean_Data[[#This Row],[Units_Sold]]*Clean_Data[[#This Row],[Cost_Price]]</f>
        <v>25051</v>
      </c>
      <c r="N188">
        <f>Clean_Data[[#This Row],[Total_Sales]]-Clean_Data[[#This Row],[Total_Cost]]</f>
        <v>7449</v>
      </c>
      <c r="O188" s="2">
        <f>Clean_Data[[#This Row],[Profit]]/Clean_Data[[#This Row],[Total_Sales]]</f>
        <v>0.22919999999999999</v>
      </c>
      <c r="P188" t="str">
        <f>_xlfn.XLOOKUP(Clean_Data[[#This Row],[Product_Code]],Product_Catalog!A:A,Product_Catalog!C:C)</f>
        <v>Electronics</v>
      </c>
      <c r="Q188">
        <f>IF(Clean_Data[[#This Row],[Order_Date]]="","",YEAR(Clean_Data[[#This Row],[Order_Date]]))</f>
        <v>2025</v>
      </c>
      <c r="R188" t="str">
        <f>TEXT(Clean_Data[[#This Row],[Order_Date]],"mmm")</f>
        <v>Aug</v>
      </c>
      <c r="S188" t="str">
        <f>TEXT(Clean_Data[[#This Row],[Order_Date]],"mmm-yy")</f>
        <v>Aug-25</v>
      </c>
      <c r="V188"/>
    </row>
    <row r="189" spans="1:22" x14ac:dyDescent="0.25">
      <c r="A189" t="s">
        <v>242</v>
      </c>
      <c r="B189" s="1">
        <v>45746</v>
      </c>
      <c r="C189" t="s">
        <v>19</v>
      </c>
      <c r="D189" t="s">
        <v>13</v>
      </c>
      <c r="E189" t="s">
        <v>55</v>
      </c>
      <c r="F189" t="s">
        <v>34</v>
      </c>
      <c r="G189">
        <v>7</v>
      </c>
      <c r="H189">
        <v>35000</v>
      </c>
      <c r="I189">
        <v>26414</v>
      </c>
      <c r="J189" t="s">
        <v>45</v>
      </c>
      <c r="K189" t="s">
        <v>17</v>
      </c>
      <c r="L189">
        <f>SUM(Clean_Data[[#This Row],[Units_Sold]]*Clean_Data[[#This Row],[Unit_Price]])</f>
        <v>245000</v>
      </c>
      <c r="M189">
        <f>Clean_Data[[#This Row],[Units_Sold]]*Clean_Data[[#This Row],[Cost_Price]]</f>
        <v>184898</v>
      </c>
      <c r="N189">
        <f>Clean_Data[[#This Row],[Total_Sales]]-Clean_Data[[#This Row],[Total_Cost]]</f>
        <v>60102</v>
      </c>
      <c r="O189" s="2">
        <f>Clean_Data[[#This Row],[Profit]]/Clean_Data[[#This Row],[Total_Sales]]</f>
        <v>0.24531428571428571</v>
      </c>
      <c r="P189" t="str">
        <f>_xlfn.XLOOKUP(Clean_Data[[#This Row],[Product_Code]],Product_Catalog!A:A,Product_Catalog!C:C)</f>
        <v>Furniture</v>
      </c>
      <c r="Q189">
        <f>IF(Clean_Data[[#This Row],[Order_Date]]="","",YEAR(Clean_Data[[#This Row],[Order_Date]]))</f>
        <v>2025</v>
      </c>
      <c r="R189" t="str">
        <f>TEXT(Clean_Data[[#This Row],[Order_Date]],"mmm")</f>
        <v>Mar</v>
      </c>
      <c r="S189" t="str">
        <f>TEXT(Clean_Data[[#This Row],[Order_Date]],"mmm-yy")</f>
        <v>Mar-25</v>
      </c>
      <c r="V189"/>
    </row>
    <row r="190" spans="1:22" x14ac:dyDescent="0.25">
      <c r="A190" t="s">
        <v>243</v>
      </c>
      <c r="B190" s="1">
        <v>46170</v>
      </c>
      <c r="C190" t="s">
        <v>44</v>
      </c>
      <c r="D190" t="s">
        <v>40</v>
      </c>
      <c r="E190" t="s">
        <v>41</v>
      </c>
      <c r="F190" t="s">
        <v>42</v>
      </c>
      <c r="G190">
        <v>5</v>
      </c>
      <c r="H190">
        <v>28000</v>
      </c>
      <c r="I190">
        <v>18400</v>
      </c>
      <c r="J190" t="s">
        <v>29</v>
      </c>
      <c r="K190" t="s">
        <v>17</v>
      </c>
      <c r="L190">
        <f>SUM(Clean_Data[[#This Row],[Units_Sold]]*Clean_Data[[#This Row],[Unit_Price]])</f>
        <v>140000</v>
      </c>
      <c r="M190">
        <f>Clean_Data[[#This Row],[Units_Sold]]*Clean_Data[[#This Row],[Cost_Price]]</f>
        <v>92000</v>
      </c>
      <c r="N190">
        <f>Clean_Data[[#This Row],[Total_Sales]]-Clean_Data[[#This Row],[Total_Cost]]</f>
        <v>48000</v>
      </c>
      <c r="O190" s="2">
        <f>Clean_Data[[#This Row],[Profit]]/Clean_Data[[#This Row],[Total_Sales]]</f>
        <v>0.34285714285714286</v>
      </c>
      <c r="P190" t="str">
        <f>_xlfn.XLOOKUP(Clean_Data[[#This Row],[Product_Code]],Product_Catalog!A:A,Product_Catalog!C:C)</f>
        <v>Electronics</v>
      </c>
      <c r="Q190">
        <f>IF(Clean_Data[[#This Row],[Order_Date]]="","",YEAR(Clean_Data[[#This Row],[Order_Date]]))</f>
        <v>2026</v>
      </c>
      <c r="R190" t="str">
        <f>TEXT(Clean_Data[[#This Row],[Order_Date]],"mmm")</f>
        <v>May</v>
      </c>
      <c r="S190" t="str">
        <f>TEXT(Clean_Data[[#This Row],[Order_Date]],"mmm-yy")</f>
        <v>May-26</v>
      </c>
      <c r="V190"/>
    </row>
    <row r="191" spans="1:22" x14ac:dyDescent="0.25">
      <c r="A191" t="s">
        <v>244</v>
      </c>
      <c r="B191" s="1">
        <v>45771</v>
      </c>
      <c r="C191" t="s">
        <v>44</v>
      </c>
      <c r="D191" t="s">
        <v>26</v>
      </c>
      <c r="E191" t="s">
        <v>49</v>
      </c>
      <c r="F191" t="s">
        <v>50</v>
      </c>
      <c r="G191">
        <v>19</v>
      </c>
      <c r="H191">
        <v>75000</v>
      </c>
      <c r="I191">
        <v>52562</v>
      </c>
      <c r="J191" t="s">
        <v>45</v>
      </c>
      <c r="K191" t="s">
        <v>46</v>
      </c>
      <c r="L191">
        <f>SUM(Clean_Data[[#This Row],[Units_Sold]]*Clean_Data[[#This Row],[Unit_Price]])</f>
        <v>1425000</v>
      </c>
      <c r="M191">
        <f>Clean_Data[[#This Row],[Units_Sold]]*Clean_Data[[#This Row],[Cost_Price]]</f>
        <v>998678</v>
      </c>
      <c r="N191">
        <f>Clean_Data[[#This Row],[Total_Sales]]-Clean_Data[[#This Row],[Total_Cost]]</f>
        <v>426322</v>
      </c>
      <c r="O191" s="2">
        <f>Clean_Data[[#This Row],[Profit]]/Clean_Data[[#This Row],[Total_Sales]]</f>
        <v>0.29917333333333335</v>
      </c>
      <c r="P191" t="str">
        <f>_xlfn.XLOOKUP(Clean_Data[[#This Row],[Product_Code]],Product_Catalog!A:A,Product_Catalog!C:C)</f>
        <v>Electronics</v>
      </c>
      <c r="Q191">
        <f>IF(Clean_Data[[#This Row],[Order_Date]]="","",YEAR(Clean_Data[[#This Row],[Order_Date]]))</f>
        <v>2025</v>
      </c>
      <c r="R191" t="str">
        <f>TEXT(Clean_Data[[#This Row],[Order_Date]],"mmm")</f>
        <v>Apr</v>
      </c>
      <c r="S191" t="str">
        <f>TEXT(Clean_Data[[#This Row],[Order_Date]],"mmm-yy")</f>
        <v>Apr-25</v>
      </c>
      <c r="V191"/>
    </row>
    <row r="192" spans="1:22" x14ac:dyDescent="0.25">
      <c r="A192" t="s">
        <v>245</v>
      </c>
      <c r="B192" s="1">
        <v>45845</v>
      </c>
      <c r="C192" t="s">
        <v>19</v>
      </c>
      <c r="D192" t="s">
        <v>33</v>
      </c>
      <c r="E192" t="s">
        <v>49</v>
      </c>
      <c r="F192" t="s">
        <v>50</v>
      </c>
      <c r="G192">
        <v>8</v>
      </c>
      <c r="H192">
        <v>75000</v>
      </c>
      <c r="I192">
        <v>58860</v>
      </c>
      <c r="J192" t="s">
        <v>29</v>
      </c>
      <c r="K192" t="s">
        <v>46</v>
      </c>
      <c r="L192">
        <f>SUM(Clean_Data[[#This Row],[Units_Sold]]*Clean_Data[[#This Row],[Unit_Price]])</f>
        <v>600000</v>
      </c>
      <c r="M192">
        <f>Clean_Data[[#This Row],[Units_Sold]]*Clean_Data[[#This Row],[Cost_Price]]</f>
        <v>470880</v>
      </c>
      <c r="N192">
        <f>Clean_Data[[#This Row],[Total_Sales]]-Clean_Data[[#This Row],[Total_Cost]]</f>
        <v>129120</v>
      </c>
      <c r="O192" s="2">
        <f>Clean_Data[[#This Row],[Profit]]/Clean_Data[[#This Row],[Total_Sales]]</f>
        <v>0.2152</v>
      </c>
      <c r="P192" t="str">
        <f>_xlfn.XLOOKUP(Clean_Data[[#This Row],[Product_Code]],Product_Catalog!A:A,Product_Catalog!C:C)</f>
        <v>Electronics</v>
      </c>
      <c r="Q192">
        <f>IF(Clean_Data[[#This Row],[Order_Date]]="","",YEAR(Clean_Data[[#This Row],[Order_Date]]))</f>
        <v>2025</v>
      </c>
      <c r="R192" t="str">
        <f>TEXT(Clean_Data[[#This Row],[Order_Date]],"mmm")</f>
        <v>Jul</v>
      </c>
      <c r="S192" t="str">
        <f>TEXT(Clean_Data[[#This Row],[Order_Date]],"mmm-yy")</f>
        <v>Jul-25</v>
      </c>
      <c r="V192"/>
    </row>
    <row r="193" spans="1:22" x14ac:dyDescent="0.25">
      <c r="A193" t="s">
        <v>246</v>
      </c>
      <c r="B193" s="1">
        <v>45834</v>
      </c>
      <c r="C193" t="s">
        <v>62</v>
      </c>
      <c r="D193" t="s">
        <v>40</v>
      </c>
      <c r="E193" t="s">
        <v>66</v>
      </c>
      <c r="F193" t="s">
        <v>67</v>
      </c>
      <c r="G193">
        <v>11</v>
      </c>
      <c r="H193">
        <v>2500</v>
      </c>
      <c r="I193">
        <v>1746</v>
      </c>
      <c r="J193" t="s">
        <v>22</v>
      </c>
      <c r="K193" t="s">
        <v>23</v>
      </c>
      <c r="L193">
        <f>SUM(Clean_Data[[#This Row],[Units_Sold]]*Clean_Data[[#This Row],[Unit_Price]])</f>
        <v>27500</v>
      </c>
      <c r="M193">
        <f>Clean_Data[[#This Row],[Units_Sold]]*Clean_Data[[#This Row],[Cost_Price]]</f>
        <v>19206</v>
      </c>
      <c r="N193">
        <f>Clean_Data[[#This Row],[Total_Sales]]-Clean_Data[[#This Row],[Total_Cost]]</f>
        <v>8294</v>
      </c>
      <c r="O193" s="2">
        <f>Clean_Data[[#This Row],[Profit]]/Clean_Data[[#This Row],[Total_Sales]]</f>
        <v>0.30159999999999998</v>
      </c>
      <c r="P193" t="str">
        <f>_xlfn.XLOOKUP(Clean_Data[[#This Row],[Product_Code]],Product_Catalog!A:A,Product_Catalog!C:C)</f>
        <v>Electronics</v>
      </c>
      <c r="Q193">
        <f>IF(Clean_Data[[#This Row],[Order_Date]]="","",YEAR(Clean_Data[[#This Row],[Order_Date]]))</f>
        <v>2025</v>
      </c>
      <c r="R193" t="str">
        <f>TEXT(Clean_Data[[#This Row],[Order_Date]],"mmm")</f>
        <v>Jun</v>
      </c>
      <c r="S193" t="str">
        <f>TEXT(Clean_Data[[#This Row],[Order_Date]],"mmm-yy")</f>
        <v>Jun-25</v>
      </c>
      <c r="V193"/>
    </row>
    <row r="194" spans="1:22" x14ac:dyDescent="0.25">
      <c r="A194" t="s">
        <v>247</v>
      </c>
      <c r="B194" s="1">
        <v>45875</v>
      </c>
      <c r="C194" t="s">
        <v>73</v>
      </c>
      <c r="D194" t="s">
        <v>40</v>
      </c>
      <c r="E194" t="s">
        <v>20</v>
      </c>
      <c r="F194" t="s">
        <v>21</v>
      </c>
      <c r="G194">
        <v>7</v>
      </c>
      <c r="H194">
        <v>8500</v>
      </c>
      <c r="I194">
        <v>5508</v>
      </c>
      <c r="J194" t="s">
        <v>45</v>
      </c>
      <c r="K194" t="s">
        <v>23</v>
      </c>
      <c r="L194">
        <f>SUM(Clean_Data[[#This Row],[Units_Sold]]*Clean_Data[[#This Row],[Unit_Price]])</f>
        <v>59500</v>
      </c>
      <c r="M194">
        <f>Clean_Data[[#This Row],[Units_Sold]]*Clean_Data[[#This Row],[Cost_Price]]</f>
        <v>38556</v>
      </c>
      <c r="N194">
        <f>Clean_Data[[#This Row],[Total_Sales]]-Clean_Data[[#This Row],[Total_Cost]]</f>
        <v>20944</v>
      </c>
      <c r="O194" s="2">
        <f>Clean_Data[[#This Row],[Profit]]/Clean_Data[[#This Row],[Total_Sales]]</f>
        <v>0.35199999999999998</v>
      </c>
      <c r="P194" t="str">
        <f>_xlfn.XLOOKUP(Clean_Data[[#This Row],[Product_Code]],Product_Catalog!A:A,Product_Catalog!C:C)</f>
        <v>Accessories</v>
      </c>
      <c r="Q194">
        <f>IF(Clean_Data[[#This Row],[Order_Date]]="","",YEAR(Clean_Data[[#This Row],[Order_Date]]))</f>
        <v>2025</v>
      </c>
      <c r="R194" t="str">
        <f>TEXT(Clean_Data[[#This Row],[Order_Date]],"mmm")</f>
        <v>Aug</v>
      </c>
      <c r="S194" t="str">
        <f>TEXT(Clean_Data[[#This Row],[Order_Date]],"mmm-yy")</f>
        <v>Aug-25</v>
      </c>
      <c r="V194"/>
    </row>
    <row r="195" spans="1:22" x14ac:dyDescent="0.25">
      <c r="A195" t="s">
        <v>248</v>
      </c>
      <c r="B195" s="1">
        <v>45835</v>
      </c>
      <c r="C195" t="s">
        <v>73</v>
      </c>
      <c r="D195" t="s">
        <v>26</v>
      </c>
      <c r="E195" t="s">
        <v>20</v>
      </c>
      <c r="F195" t="s">
        <v>21</v>
      </c>
      <c r="G195">
        <v>19</v>
      </c>
      <c r="H195">
        <v>8500</v>
      </c>
      <c r="I195">
        <v>6651</v>
      </c>
      <c r="J195" t="s">
        <v>29</v>
      </c>
      <c r="K195" t="s">
        <v>23</v>
      </c>
      <c r="L195">
        <f>SUM(Clean_Data[[#This Row],[Units_Sold]]*Clean_Data[[#This Row],[Unit_Price]])</f>
        <v>161500</v>
      </c>
      <c r="M195">
        <f>Clean_Data[[#This Row],[Units_Sold]]*Clean_Data[[#This Row],[Cost_Price]]</f>
        <v>126369</v>
      </c>
      <c r="N195">
        <f>Clean_Data[[#This Row],[Total_Sales]]-Clean_Data[[#This Row],[Total_Cost]]</f>
        <v>35131</v>
      </c>
      <c r="O195" s="2">
        <f>Clean_Data[[#This Row],[Profit]]/Clean_Data[[#This Row],[Total_Sales]]</f>
        <v>0.21752941176470589</v>
      </c>
      <c r="P195" t="str">
        <f>_xlfn.XLOOKUP(Clean_Data[[#This Row],[Product_Code]],Product_Catalog!A:A,Product_Catalog!C:C)</f>
        <v>Accessories</v>
      </c>
      <c r="Q195">
        <f>IF(Clean_Data[[#This Row],[Order_Date]]="","",YEAR(Clean_Data[[#This Row],[Order_Date]]))</f>
        <v>2025</v>
      </c>
      <c r="R195" t="str">
        <f>TEXT(Clean_Data[[#This Row],[Order_Date]],"mmm")</f>
        <v>Jun</v>
      </c>
      <c r="S195" t="str">
        <f>TEXT(Clean_Data[[#This Row],[Order_Date]],"mmm-yy")</f>
        <v>Jun-25</v>
      </c>
      <c r="V195"/>
    </row>
    <row r="196" spans="1:22" x14ac:dyDescent="0.25">
      <c r="A196" t="s">
        <v>249</v>
      </c>
      <c r="B196" s="1">
        <v>46175</v>
      </c>
      <c r="C196" t="s">
        <v>73</v>
      </c>
      <c r="D196" t="s">
        <v>26</v>
      </c>
      <c r="E196" t="s">
        <v>49</v>
      </c>
      <c r="F196" t="s">
        <v>50</v>
      </c>
      <c r="G196">
        <v>10</v>
      </c>
      <c r="H196">
        <v>75000</v>
      </c>
      <c r="I196">
        <v>47100</v>
      </c>
      <c r="J196" t="s">
        <v>45</v>
      </c>
      <c r="K196" t="s">
        <v>17</v>
      </c>
      <c r="L196">
        <f>SUM(Clean_Data[[#This Row],[Units_Sold]]*Clean_Data[[#This Row],[Unit_Price]])</f>
        <v>750000</v>
      </c>
      <c r="M196">
        <f>Clean_Data[[#This Row],[Units_Sold]]*Clean_Data[[#This Row],[Cost_Price]]</f>
        <v>471000</v>
      </c>
      <c r="N196">
        <f>Clean_Data[[#This Row],[Total_Sales]]-Clean_Data[[#This Row],[Total_Cost]]</f>
        <v>279000</v>
      </c>
      <c r="O196" s="2">
        <f>Clean_Data[[#This Row],[Profit]]/Clean_Data[[#This Row],[Total_Sales]]</f>
        <v>0.372</v>
      </c>
      <c r="P196" t="str">
        <f>_xlfn.XLOOKUP(Clean_Data[[#This Row],[Product_Code]],Product_Catalog!A:A,Product_Catalog!C:C)</f>
        <v>Electronics</v>
      </c>
      <c r="Q196">
        <f>IF(Clean_Data[[#This Row],[Order_Date]]="","",YEAR(Clean_Data[[#This Row],[Order_Date]]))</f>
        <v>2026</v>
      </c>
      <c r="R196" t="str">
        <f>TEXT(Clean_Data[[#This Row],[Order_Date]],"mmm")</f>
        <v>Jun</v>
      </c>
      <c r="S196" t="str">
        <f>TEXT(Clean_Data[[#This Row],[Order_Date]],"mmm-yy")</f>
        <v>Jun-26</v>
      </c>
      <c r="V196"/>
    </row>
    <row r="197" spans="1:22" x14ac:dyDescent="0.25">
      <c r="A197" t="s">
        <v>250</v>
      </c>
      <c r="B197" s="1">
        <v>46114</v>
      </c>
      <c r="C197" t="s">
        <v>19</v>
      </c>
      <c r="D197" t="s">
        <v>13</v>
      </c>
      <c r="E197" t="s">
        <v>41</v>
      </c>
      <c r="F197" t="s">
        <v>42</v>
      </c>
      <c r="G197">
        <v>16</v>
      </c>
      <c r="H197">
        <v>28000</v>
      </c>
      <c r="I197">
        <v>18973</v>
      </c>
      <c r="J197" t="s">
        <v>29</v>
      </c>
      <c r="K197" t="s">
        <v>17</v>
      </c>
      <c r="L197">
        <f>SUM(Clean_Data[[#This Row],[Units_Sold]]*Clean_Data[[#This Row],[Unit_Price]])</f>
        <v>448000</v>
      </c>
      <c r="M197">
        <f>Clean_Data[[#This Row],[Units_Sold]]*Clean_Data[[#This Row],[Cost_Price]]</f>
        <v>303568</v>
      </c>
      <c r="N197">
        <f>Clean_Data[[#This Row],[Total_Sales]]-Clean_Data[[#This Row],[Total_Cost]]</f>
        <v>144432</v>
      </c>
      <c r="O197" s="2">
        <f>Clean_Data[[#This Row],[Profit]]/Clean_Data[[#This Row],[Total_Sales]]</f>
        <v>0.32239285714285715</v>
      </c>
      <c r="P197" t="str">
        <f>_xlfn.XLOOKUP(Clean_Data[[#This Row],[Product_Code]],Product_Catalog!A:A,Product_Catalog!C:C)</f>
        <v>Electronics</v>
      </c>
      <c r="Q197">
        <f>IF(Clean_Data[[#This Row],[Order_Date]]="","",YEAR(Clean_Data[[#This Row],[Order_Date]]))</f>
        <v>2026</v>
      </c>
      <c r="R197" t="str">
        <f>TEXT(Clean_Data[[#This Row],[Order_Date]],"mmm")</f>
        <v>Apr</v>
      </c>
      <c r="S197" t="str">
        <f>TEXT(Clean_Data[[#This Row],[Order_Date]],"mmm-yy")</f>
        <v>Apr-26</v>
      </c>
      <c r="V197"/>
    </row>
    <row r="198" spans="1:22" x14ac:dyDescent="0.25">
      <c r="A198" t="s">
        <v>251</v>
      </c>
      <c r="B198" s="1">
        <v>46038</v>
      </c>
      <c r="C198" t="s">
        <v>62</v>
      </c>
      <c r="D198" t="s">
        <v>33</v>
      </c>
      <c r="E198" t="s">
        <v>66</v>
      </c>
      <c r="F198" t="s">
        <v>67</v>
      </c>
      <c r="G198">
        <v>18</v>
      </c>
      <c r="H198">
        <v>2500</v>
      </c>
      <c r="I198">
        <v>1605</v>
      </c>
      <c r="J198" t="s">
        <v>22</v>
      </c>
      <c r="K198" t="s">
        <v>23</v>
      </c>
      <c r="L198">
        <f>SUM(Clean_Data[[#This Row],[Units_Sold]]*Clean_Data[[#This Row],[Unit_Price]])</f>
        <v>45000</v>
      </c>
      <c r="M198">
        <f>Clean_Data[[#This Row],[Units_Sold]]*Clean_Data[[#This Row],[Cost_Price]]</f>
        <v>28890</v>
      </c>
      <c r="N198">
        <f>Clean_Data[[#This Row],[Total_Sales]]-Clean_Data[[#This Row],[Total_Cost]]</f>
        <v>16110</v>
      </c>
      <c r="O198" s="2">
        <f>Clean_Data[[#This Row],[Profit]]/Clean_Data[[#This Row],[Total_Sales]]</f>
        <v>0.35799999999999998</v>
      </c>
      <c r="P198" t="str">
        <f>_xlfn.XLOOKUP(Clean_Data[[#This Row],[Product_Code]],Product_Catalog!A:A,Product_Catalog!C:C)</f>
        <v>Electronics</v>
      </c>
      <c r="Q198">
        <f>IF(Clean_Data[[#This Row],[Order_Date]]="","",YEAR(Clean_Data[[#This Row],[Order_Date]]))</f>
        <v>2026</v>
      </c>
      <c r="R198" t="str">
        <f>TEXT(Clean_Data[[#This Row],[Order_Date]],"mmm")</f>
        <v>Jan</v>
      </c>
      <c r="S198" t="str">
        <f>TEXT(Clean_Data[[#This Row],[Order_Date]],"mmm-yy")</f>
        <v>Jan-26</v>
      </c>
      <c r="V198"/>
    </row>
    <row r="199" spans="1:22" x14ac:dyDescent="0.25">
      <c r="A199" t="s">
        <v>252</v>
      </c>
      <c r="B199" s="1">
        <v>45704</v>
      </c>
      <c r="C199" t="s">
        <v>44</v>
      </c>
      <c r="D199" t="s">
        <v>40</v>
      </c>
      <c r="E199" t="s">
        <v>27</v>
      </c>
      <c r="F199" t="s">
        <v>28</v>
      </c>
      <c r="G199">
        <v>15</v>
      </c>
      <c r="H199">
        <v>14000</v>
      </c>
      <c r="I199">
        <v>9078</v>
      </c>
      <c r="J199" t="s">
        <v>16</v>
      </c>
      <c r="K199" t="s">
        <v>17</v>
      </c>
      <c r="L199">
        <f>SUM(Clean_Data[[#This Row],[Units_Sold]]*Clean_Data[[#This Row],[Unit_Price]])</f>
        <v>210000</v>
      </c>
      <c r="M199">
        <f>Clean_Data[[#This Row],[Units_Sold]]*Clean_Data[[#This Row],[Cost_Price]]</f>
        <v>136170</v>
      </c>
      <c r="N199">
        <f>Clean_Data[[#This Row],[Total_Sales]]-Clean_Data[[#This Row],[Total_Cost]]</f>
        <v>73830</v>
      </c>
      <c r="O199" s="2">
        <f>Clean_Data[[#This Row],[Profit]]/Clean_Data[[#This Row],[Total_Sales]]</f>
        <v>0.35157142857142859</v>
      </c>
      <c r="P199" t="str">
        <f>_xlfn.XLOOKUP(Clean_Data[[#This Row],[Product_Code]],Product_Catalog!A:A,Product_Catalog!C:C)</f>
        <v>Furniture</v>
      </c>
      <c r="Q199">
        <f>IF(Clean_Data[[#This Row],[Order_Date]]="","",YEAR(Clean_Data[[#This Row],[Order_Date]]))</f>
        <v>2025</v>
      </c>
      <c r="R199" t="str">
        <f>TEXT(Clean_Data[[#This Row],[Order_Date]],"mmm")</f>
        <v>Feb</v>
      </c>
      <c r="S199" t="str">
        <f>TEXT(Clean_Data[[#This Row],[Order_Date]],"mmm-yy")</f>
        <v>Feb-25</v>
      </c>
      <c r="V199"/>
    </row>
    <row r="200" spans="1:22" x14ac:dyDescent="0.25">
      <c r="A200" t="s">
        <v>253</v>
      </c>
      <c r="B200" s="1">
        <v>46179</v>
      </c>
      <c r="C200" t="s">
        <v>19</v>
      </c>
      <c r="D200" t="s">
        <v>13</v>
      </c>
      <c r="E200" t="s">
        <v>27</v>
      </c>
      <c r="F200" t="s">
        <v>28</v>
      </c>
      <c r="G200">
        <v>12</v>
      </c>
      <c r="H200">
        <v>14000</v>
      </c>
      <c r="I200">
        <v>8916</v>
      </c>
      <c r="J200" t="s">
        <v>16</v>
      </c>
      <c r="K200" t="s">
        <v>23</v>
      </c>
      <c r="L200">
        <f>SUM(Clean_Data[[#This Row],[Units_Sold]]*Clean_Data[[#This Row],[Unit_Price]])</f>
        <v>168000</v>
      </c>
      <c r="M200">
        <f>Clean_Data[[#This Row],[Units_Sold]]*Clean_Data[[#This Row],[Cost_Price]]</f>
        <v>106992</v>
      </c>
      <c r="N200">
        <f>Clean_Data[[#This Row],[Total_Sales]]-Clean_Data[[#This Row],[Total_Cost]]</f>
        <v>61008</v>
      </c>
      <c r="O200" s="2">
        <f>Clean_Data[[#This Row],[Profit]]/Clean_Data[[#This Row],[Total_Sales]]</f>
        <v>0.36314285714285716</v>
      </c>
      <c r="P200" t="str">
        <f>_xlfn.XLOOKUP(Clean_Data[[#This Row],[Product_Code]],Product_Catalog!A:A,Product_Catalog!C:C)</f>
        <v>Furniture</v>
      </c>
      <c r="Q200">
        <f>IF(Clean_Data[[#This Row],[Order_Date]]="","",YEAR(Clean_Data[[#This Row],[Order_Date]]))</f>
        <v>2026</v>
      </c>
      <c r="R200" t="str">
        <f>TEXT(Clean_Data[[#This Row],[Order_Date]],"mmm")</f>
        <v>Jun</v>
      </c>
      <c r="S200" t="str">
        <f>TEXT(Clean_Data[[#This Row],[Order_Date]],"mmm-yy")</f>
        <v>Jun-26</v>
      </c>
      <c r="V200"/>
    </row>
    <row r="201" spans="1:22" x14ac:dyDescent="0.25">
      <c r="A201" t="s">
        <v>254</v>
      </c>
      <c r="B201" s="1">
        <v>46161</v>
      </c>
      <c r="C201" t="s">
        <v>73</v>
      </c>
      <c r="D201" t="s">
        <v>13</v>
      </c>
      <c r="E201" t="s">
        <v>63</v>
      </c>
      <c r="F201" t="s">
        <v>59</v>
      </c>
      <c r="G201">
        <v>4</v>
      </c>
      <c r="H201">
        <v>4500</v>
      </c>
      <c r="I201">
        <v>3519</v>
      </c>
      <c r="J201" t="s">
        <v>16</v>
      </c>
      <c r="K201" t="s">
        <v>46</v>
      </c>
      <c r="L201">
        <f>SUM(Clean_Data[[#This Row],[Units_Sold]]*Clean_Data[[#This Row],[Unit_Price]])</f>
        <v>18000</v>
      </c>
      <c r="M201">
        <f>Clean_Data[[#This Row],[Units_Sold]]*Clean_Data[[#This Row],[Cost_Price]]</f>
        <v>14076</v>
      </c>
      <c r="N201">
        <f>Clean_Data[[#This Row],[Total_Sales]]-Clean_Data[[#This Row],[Total_Cost]]</f>
        <v>3924</v>
      </c>
      <c r="O201" s="2">
        <f>Clean_Data[[#This Row],[Profit]]/Clean_Data[[#This Row],[Total_Sales]]</f>
        <v>0.218</v>
      </c>
      <c r="P201" t="str">
        <f>_xlfn.XLOOKUP(Clean_Data[[#This Row],[Product_Code]],Product_Catalog!A:A,Product_Catalog!C:C)</f>
        <v>Electronics</v>
      </c>
      <c r="Q201">
        <f>IF(Clean_Data[[#This Row],[Order_Date]]="","",YEAR(Clean_Data[[#This Row],[Order_Date]]))</f>
        <v>2026</v>
      </c>
      <c r="R201" t="str">
        <f>TEXT(Clean_Data[[#This Row],[Order_Date]],"mmm")</f>
        <v>May</v>
      </c>
      <c r="S201" t="str">
        <f>TEXT(Clean_Data[[#This Row],[Order_Date]],"mmm-yy")</f>
        <v>May-26</v>
      </c>
      <c r="V201"/>
    </row>
    <row r="202" spans="1:22" x14ac:dyDescent="0.25">
      <c r="A202" t="s">
        <v>255</v>
      </c>
      <c r="B202" s="1">
        <v>45907</v>
      </c>
      <c r="C202" t="s">
        <v>31</v>
      </c>
      <c r="D202" t="s">
        <v>13</v>
      </c>
      <c r="E202" t="s">
        <v>63</v>
      </c>
      <c r="F202" t="s">
        <v>59</v>
      </c>
      <c r="G202">
        <v>19</v>
      </c>
      <c r="H202">
        <v>4500</v>
      </c>
      <c r="I202">
        <v>3336</v>
      </c>
      <c r="J202" t="s">
        <v>45</v>
      </c>
      <c r="K202" t="s">
        <v>23</v>
      </c>
      <c r="L202">
        <f>SUM(Clean_Data[[#This Row],[Units_Sold]]*Clean_Data[[#This Row],[Unit_Price]])</f>
        <v>85500</v>
      </c>
      <c r="M202">
        <f>Clean_Data[[#This Row],[Units_Sold]]*Clean_Data[[#This Row],[Cost_Price]]</f>
        <v>63384</v>
      </c>
      <c r="N202">
        <f>Clean_Data[[#This Row],[Total_Sales]]-Clean_Data[[#This Row],[Total_Cost]]</f>
        <v>22116</v>
      </c>
      <c r="O202" s="2">
        <f>Clean_Data[[#This Row],[Profit]]/Clean_Data[[#This Row],[Total_Sales]]</f>
        <v>0.25866666666666666</v>
      </c>
      <c r="P202" t="str">
        <f>_xlfn.XLOOKUP(Clean_Data[[#This Row],[Product_Code]],Product_Catalog!A:A,Product_Catalog!C:C)</f>
        <v>Electronics</v>
      </c>
      <c r="Q202">
        <f>IF(Clean_Data[[#This Row],[Order_Date]]="","",YEAR(Clean_Data[[#This Row],[Order_Date]]))</f>
        <v>2025</v>
      </c>
      <c r="R202" t="str">
        <f>TEXT(Clean_Data[[#This Row],[Order_Date]],"mmm")</f>
        <v>Sep</v>
      </c>
      <c r="S202" t="str">
        <f>TEXT(Clean_Data[[#This Row],[Order_Date]],"mmm-yy")</f>
        <v>Sep-25</v>
      </c>
      <c r="V202"/>
    </row>
    <row r="203" spans="1:22" x14ac:dyDescent="0.25">
      <c r="A203" t="s">
        <v>257</v>
      </c>
      <c r="B203" s="1">
        <v>45834</v>
      </c>
      <c r="C203" t="s">
        <v>62</v>
      </c>
      <c r="D203" t="s">
        <v>40</v>
      </c>
      <c r="E203" t="s">
        <v>63</v>
      </c>
      <c r="F203" t="s">
        <v>59</v>
      </c>
      <c r="G203">
        <v>18</v>
      </c>
      <c r="H203">
        <v>4500</v>
      </c>
      <c r="I203">
        <v>3082</v>
      </c>
      <c r="J203" t="s">
        <v>29</v>
      </c>
      <c r="K203" t="s">
        <v>23</v>
      </c>
      <c r="L203">
        <f>SUM(Clean_Data[[#This Row],[Units_Sold]]*Clean_Data[[#This Row],[Unit_Price]])</f>
        <v>81000</v>
      </c>
      <c r="M203">
        <f>Clean_Data[[#This Row],[Units_Sold]]*Clean_Data[[#This Row],[Cost_Price]]</f>
        <v>55476</v>
      </c>
      <c r="N203">
        <f>Clean_Data[[#This Row],[Total_Sales]]-Clean_Data[[#This Row],[Total_Cost]]</f>
        <v>25524</v>
      </c>
      <c r="O203" s="2">
        <f>Clean_Data[[#This Row],[Profit]]/Clean_Data[[#This Row],[Total_Sales]]</f>
        <v>0.31511111111111112</v>
      </c>
      <c r="P203" t="str">
        <f>_xlfn.XLOOKUP(Clean_Data[[#This Row],[Product_Code]],Product_Catalog!A:A,Product_Catalog!C:C)</f>
        <v>Electronics</v>
      </c>
      <c r="Q203">
        <f>IF(Clean_Data[[#This Row],[Order_Date]]="","",YEAR(Clean_Data[[#This Row],[Order_Date]]))</f>
        <v>2025</v>
      </c>
      <c r="R203" t="str">
        <f>TEXT(Clean_Data[[#This Row],[Order_Date]],"mmm")</f>
        <v>Jun</v>
      </c>
      <c r="S203" t="str">
        <f>TEXT(Clean_Data[[#This Row],[Order_Date]],"mmm-yy")</f>
        <v>Jun-25</v>
      </c>
      <c r="V203"/>
    </row>
    <row r="204" spans="1:22" x14ac:dyDescent="0.25">
      <c r="A204" t="s">
        <v>258</v>
      </c>
      <c r="B204" s="1">
        <v>46226</v>
      </c>
      <c r="C204" t="s">
        <v>44</v>
      </c>
      <c r="D204" t="s">
        <v>36</v>
      </c>
      <c r="E204" t="s">
        <v>14</v>
      </c>
      <c r="F204" t="s">
        <v>15</v>
      </c>
      <c r="G204">
        <v>9</v>
      </c>
      <c r="H204">
        <v>12500</v>
      </c>
      <c r="I204">
        <v>7801</v>
      </c>
      <c r="J204" t="s">
        <v>29</v>
      </c>
      <c r="K204" t="s">
        <v>46</v>
      </c>
      <c r="L204">
        <f>SUM(Clean_Data[[#This Row],[Units_Sold]]*Clean_Data[[#This Row],[Unit_Price]])</f>
        <v>112500</v>
      </c>
      <c r="M204">
        <f>Clean_Data[[#This Row],[Units_Sold]]*Clean_Data[[#This Row],[Cost_Price]]</f>
        <v>70209</v>
      </c>
      <c r="N204">
        <f>Clean_Data[[#This Row],[Total_Sales]]-Clean_Data[[#This Row],[Total_Cost]]</f>
        <v>42291</v>
      </c>
      <c r="O204" s="2">
        <f>Clean_Data[[#This Row],[Profit]]/Clean_Data[[#This Row],[Total_Sales]]</f>
        <v>0.37591999999999998</v>
      </c>
      <c r="P204" t="str">
        <f>_xlfn.XLOOKUP(Clean_Data[[#This Row],[Product_Code]],Product_Catalog!A:A,Product_Catalog!C:C)</f>
        <v>Accessories</v>
      </c>
      <c r="Q204">
        <f>IF(Clean_Data[[#This Row],[Order_Date]]="","",YEAR(Clean_Data[[#This Row],[Order_Date]]))</f>
        <v>2026</v>
      </c>
      <c r="R204" t="str">
        <f>TEXT(Clean_Data[[#This Row],[Order_Date]],"mmm")</f>
        <v>Jul</v>
      </c>
      <c r="S204" t="str">
        <f>TEXT(Clean_Data[[#This Row],[Order_Date]],"mmm-yy")</f>
        <v>Jul-26</v>
      </c>
      <c r="V204"/>
    </row>
    <row r="205" spans="1:22" x14ac:dyDescent="0.25">
      <c r="A205" t="s">
        <v>259</v>
      </c>
      <c r="B205" s="1">
        <v>45674</v>
      </c>
      <c r="C205" t="s">
        <v>19</v>
      </c>
      <c r="D205" t="s">
        <v>33</v>
      </c>
      <c r="E205" t="s">
        <v>49</v>
      </c>
      <c r="F205" t="s">
        <v>50</v>
      </c>
      <c r="G205">
        <v>9</v>
      </c>
      <c r="H205">
        <v>75000</v>
      </c>
      <c r="I205">
        <v>49840</v>
      </c>
      <c r="J205" t="s">
        <v>16</v>
      </c>
      <c r="K205" t="s">
        <v>23</v>
      </c>
      <c r="L205">
        <f>SUM(Clean_Data[[#This Row],[Units_Sold]]*Clean_Data[[#This Row],[Unit_Price]])</f>
        <v>675000</v>
      </c>
      <c r="M205">
        <f>Clean_Data[[#This Row],[Units_Sold]]*Clean_Data[[#This Row],[Cost_Price]]</f>
        <v>448560</v>
      </c>
      <c r="N205">
        <f>Clean_Data[[#This Row],[Total_Sales]]-Clean_Data[[#This Row],[Total_Cost]]</f>
        <v>226440</v>
      </c>
      <c r="O205" s="2">
        <f>Clean_Data[[#This Row],[Profit]]/Clean_Data[[#This Row],[Total_Sales]]</f>
        <v>0.33546666666666669</v>
      </c>
      <c r="P205" t="str">
        <f>_xlfn.XLOOKUP(Clean_Data[[#This Row],[Product_Code]],Product_Catalog!A:A,Product_Catalog!C:C)</f>
        <v>Electronics</v>
      </c>
      <c r="Q205">
        <f>IF(Clean_Data[[#This Row],[Order_Date]]="","",YEAR(Clean_Data[[#This Row],[Order_Date]]))</f>
        <v>2025</v>
      </c>
      <c r="R205" t="str">
        <f>TEXT(Clean_Data[[#This Row],[Order_Date]],"mmm")</f>
        <v>Jan</v>
      </c>
      <c r="S205" t="str">
        <f>TEXT(Clean_Data[[#This Row],[Order_Date]],"mmm-yy")</f>
        <v>Jan-25</v>
      </c>
      <c r="V205"/>
    </row>
    <row r="206" spans="1:22" x14ac:dyDescent="0.25">
      <c r="A206" t="s">
        <v>260</v>
      </c>
      <c r="B206" s="1">
        <v>45949</v>
      </c>
      <c r="C206" t="s">
        <v>53</v>
      </c>
      <c r="D206" t="s">
        <v>13</v>
      </c>
      <c r="E206" t="s">
        <v>55</v>
      </c>
      <c r="F206" t="s">
        <v>34</v>
      </c>
      <c r="G206">
        <v>17</v>
      </c>
      <c r="H206">
        <v>35000</v>
      </c>
      <c r="I206">
        <v>26684</v>
      </c>
      <c r="J206" t="s">
        <v>29</v>
      </c>
      <c r="K206" t="s">
        <v>23</v>
      </c>
      <c r="L206">
        <f>SUM(Clean_Data[[#This Row],[Units_Sold]]*Clean_Data[[#This Row],[Unit_Price]])</f>
        <v>595000</v>
      </c>
      <c r="M206">
        <f>Clean_Data[[#This Row],[Units_Sold]]*Clean_Data[[#This Row],[Cost_Price]]</f>
        <v>453628</v>
      </c>
      <c r="N206">
        <f>Clean_Data[[#This Row],[Total_Sales]]-Clean_Data[[#This Row],[Total_Cost]]</f>
        <v>141372</v>
      </c>
      <c r="O206" s="2">
        <f>Clean_Data[[#This Row],[Profit]]/Clean_Data[[#This Row],[Total_Sales]]</f>
        <v>0.23760000000000001</v>
      </c>
      <c r="P206" t="str">
        <f>_xlfn.XLOOKUP(Clean_Data[[#This Row],[Product_Code]],Product_Catalog!A:A,Product_Catalog!C:C)</f>
        <v>Furniture</v>
      </c>
      <c r="Q206">
        <f>IF(Clean_Data[[#This Row],[Order_Date]]="","",YEAR(Clean_Data[[#This Row],[Order_Date]]))</f>
        <v>2025</v>
      </c>
      <c r="R206" t="str">
        <f>TEXT(Clean_Data[[#This Row],[Order_Date]],"mmm")</f>
        <v>Oct</v>
      </c>
      <c r="S206" t="str">
        <f>TEXT(Clean_Data[[#This Row],[Order_Date]],"mmm-yy")</f>
        <v>Oct-25</v>
      </c>
      <c r="V206"/>
    </row>
    <row r="207" spans="1:22" x14ac:dyDescent="0.25">
      <c r="A207" t="s">
        <v>261</v>
      </c>
      <c r="B207" s="1">
        <v>46108</v>
      </c>
      <c r="C207" t="s">
        <v>73</v>
      </c>
      <c r="D207" t="s">
        <v>40</v>
      </c>
      <c r="E207" t="s">
        <v>66</v>
      </c>
      <c r="F207" t="s">
        <v>67</v>
      </c>
      <c r="G207">
        <v>7</v>
      </c>
      <c r="H207">
        <v>2500</v>
      </c>
      <c r="I207">
        <v>1534</v>
      </c>
      <c r="J207" t="s">
        <v>29</v>
      </c>
      <c r="K207" t="s">
        <v>23</v>
      </c>
      <c r="L207">
        <f>SUM(Clean_Data[[#This Row],[Units_Sold]]*Clean_Data[[#This Row],[Unit_Price]])</f>
        <v>17500</v>
      </c>
      <c r="M207">
        <f>Clean_Data[[#This Row],[Units_Sold]]*Clean_Data[[#This Row],[Cost_Price]]</f>
        <v>10738</v>
      </c>
      <c r="N207">
        <f>Clean_Data[[#This Row],[Total_Sales]]-Clean_Data[[#This Row],[Total_Cost]]</f>
        <v>6762</v>
      </c>
      <c r="O207" s="2">
        <f>Clean_Data[[#This Row],[Profit]]/Clean_Data[[#This Row],[Total_Sales]]</f>
        <v>0.38640000000000002</v>
      </c>
      <c r="P207" t="str">
        <f>_xlfn.XLOOKUP(Clean_Data[[#This Row],[Product_Code]],Product_Catalog!A:A,Product_Catalog!C:C)</f>
        <v>Electronics</v>
      </c>
      <c r="Q207">
        <f>IF(Clean_Data[[#This Row],[Order_Date]]="","",YEAR(Clean_Data[[#This Row],[Order_Date]]))</f>
        <v>2026</v>
      </c>
      <c r="R207" t="str">
        <f>TEXT(Clean_Data[[#This Row],[Order_Date]],"mmm")</f>
        <v>Mar</v>
      </c>
      <c r="S207" t="str">
        <f>TEXT(Clean_Data[[#This Row],[Order_Date]],"mmm-yy")</f>
        <v>Mar-26</v>
      </c>
      <c r="V207"/>
    </row>
    <row r="208" spans="1:22" x14ac:dyDescent="0.25">
      <c r="A208" t="s">
        <v>262</v>
      </c>
      <c r="B208" s="1">
        <v>45934</v>
      </c>
      <c r="C208" t="s">
        <v>62</v>
      </c>
      <c r="D208" t="s">
        <v>40</v>
      </c>
      <c r="E208" t="s">
        <v>14</v>
      </c>
      <c r="F208" t="s">
        <v>15</v>
      </c>
      <c r="G208">
        <v>3</v>
      </c>
      <c r="H208">
        <v>12500</v>
      </c>
      <c r="I208">
        <v>9401</v>
      </c>
      <c r="J208" t="s">
        <v>29</v>
      </c>
      <c r="K208" t="s">
        <v>23</v>
      </c>
      <c r="L208">
        <f>SUM(Clean_Data[[#This Row],[Units_Sold]]*Clean_Data[[#This Row],[Unit_Price]])</f>
        <v>37500</v>
      </c>
      <c r="M208">
        <f>Clean_Data[[#This Row],[Units_Sold]]*Clean_Data[[#This Row],[Cost_Price]]</f>
        <v>28203</v>
      </c>
      <c r="N208">
        <f>Clean_Data[[#This Row],[Total_Sales]]-Clean_Data[[#This Row],[Total_Cost]]</f>
        <v>9297</v>
      </c>
      <c r="O208" s="2">
        <f>Clean_Data[[#This Row],[Profit]]/Clean_Data[[#This Row],[Total_Sales]]</f>
        <v>0.24792</v>
      </c>
      <c r="P208" t="str">
        <f>_xlfn.XLOOKUP(Clean_Data[[#This Row],[Product_Code]],Product_Catalog!A:A,Product_Catalog!C:C)</f>
        <v>Accessories</v>
      </c>
      <c r="Q208">
        <f>IF(Clean_Data[[#This Row],[Order_Date]]="","",YEAR(Clean_Data[[#This Row],[Order_Date]]))</f>
        <v>2025</v>
      </c>
      <c r="R208" t="str">
        <f>TEXT(Clean_Data[[#This Row],[Order_Date]],"mmm")</f>
        <v>Oct</v>
      </c>
      <c r="S208" t="str">
        <f>TEXT(Clean_Data[[#This Row],[Order_Date]],"mmm-yy")</f>
        <v>Oct-25</v>
      </c>
      <c r="V208"/>
    </row>
    <row r="209" spans="1:22" x14ac:dyDescent="0.25">
      <c r="A209" t="s">
        <v>263</v>
      </c>
      <c r="B209" s="1">
        <v>46049</v>
      </c>
      <c r="C209" t="s">
        <v>73</v>
      </c>
      <c r="D209" t="s">
        <v>40</v>
      </c>
      <c r="E209" t="s">
        <v>20</v>
      </c>
      <c r="F209" t="s">
        <v>21</v>
      </c>
      <c r="G209">
        <v>5</v>
      </c>
      <c r="H209">
        <v>8500</v>
      </c>
      <c r="I209">
        <v>6373</v>
      </c>
      <c r="J209" t="s">
        <v>29</v>
      </c>
      <c r="K209" t="s">
        <v>17</v>
      </c>
      <c r="L209">
        <f>SUM(Clean_Data[[#This Row],[Units_Sold]]*Clean_Data[[#This Row],[Unit_Price]])</f>
        <v>42500</v>
      </c>
      <c r="M209">
        <f>Clean_Data[[#This Row],[Units_Sold]]*Clean_Data[[#This Row],[Cost_Price]]</f>
        <v>31865</v>
      </c>
      <c r="N209">
        <f>Clean_Data[[#This Row],[Total_Sales]]-Clean_Data[[#This Row],[Total_Cost]]</f>
        <v>10635</v>
      </c>
      <c r="O209" s="2">
        <f>Clean_Data[[#This Row],[Profit]]/Clean_Data[[#This Row],[Total_Sales]]</f>
        <v>0.25023529411764706</v>
      </c>
      <c r="P209" t="str">
        <f>_xlfn.XLOOKUP(Clean_Data[[#This Row],[Product_Code]],Product_Catalog!A:A,Product_Catalog!C:C)</f>
        <v>Accessories</v>
      </c>
      <c r="Q209">
        <f>IF(Clean_Data[[#This Row],[Order_Date]]="","",YEAR(Clean_Data[[#This Row],[Order_Date]]))</f>
        <v>2026</v>
      </c>
      <c r="R209" t="str">
        <f>TEXT(Clean_Data[[#This Row],[Order_Date]],"mmm")</f>
        <v>Jan</v>
      </c>
      <c r="S209" t="str">
        <f>TEXT(Clean_Data[[#This Row],[Order_Date]],"mmm-yy")</f>
        <v>Jan-26</v>
      </c>
      <c r="V209"/>
    </row>
    <row r="210" spans="1:22" x14ac:dyDescent="0.25">
      <c r="A210" t="s">
        <v>264</v>
      </c>
      <c r="B210" s="1">
        <v>45828</v>
      </c>
      <c r="C210" t="s">
        <v>53</v>
      </c>
      <c r="D210" t="s">
        <v>40</v>
      </c>
      <c r="E210" t="s">
        <v>37</v>
      </c>
      <c r="F210" t="s">
        <v>38</v>
      </c>
      <c r="G210">
        <v>15</v>
      </c>
      <c r="H210">
        <v>55000</v>
      </c>
      <c r="I210">
        <v>42229</v>
      </c>
      <c r="J210" t="s">
        <v>16</v>
      </c>
      <c r="K210" t="s">
        <v>46</v>
      </c>
      <c r="L210">
        <f>SUM(Clean_Data[[#This Row],[Units_Sold]]*Clean_Data[[#This Row],[Unit_Price]])</f>
        <v>825000</v>
      </c>
      <c r="M210">
        <f>Clean_Data[[#This Row],[Units_Sold]]*Clean_Data[[#This Row],[Cost_Price]]</f>
        <v>633435</v>
      </c>
      <c r="N210">
        <f>Clean_Data[[#This Row],[Total_Sales]]-Clean_Data[[#This Row],[Total_Cost]]</f>
        <v>191565</v>
      </c>
      <c r="O210" s="2">
        <f>Clean_Data[[#This Row],[Profit]]/Clean_Data[[#This Row],[Total_Sales]]</f>
        <v>0.23219999999999999</v>
      </c>
      <c r="P210" t="str">
        <f>_xlfn.XLOOKUP(Clean_Data[[#This Row],[Product_Code]],Product_Catalog!A:A,Product_Catalog!C:C)</f>
        <v>Electronics</v>
      </c>
      <c r="Q210">
        <f>IF(Clean_Data[[#This Row],[Order_Date]]="","",YEAR(Clean_Data[[#This Row],[Order_Date]]))</f>
        <v>2025</v>
      </c>
      <c r="R210" t="str">
        <f>TEXT(Clean_Data[[#This Row],[Order_Date]],"mmm")</f>
        <v>Jun</v>
      </c>
      <c r="S210" t="str">
        <f>TEXT(Clean_Data[[#This Row],[Order_Date]],"mmm-yy")</f>
        <v>Jun-25</v>
      </c>
      <c r="V210"/>
    </row>
    <row r="211" spans="1:22" x14ac:dyDescent="0.25">
      <c r="A211" t="s">
        <v>265</v>
      </c>
      <c r="B211" s="1">
        <v>45995</v>
      </c>
      <c r="C211" t="s">
        <v>25</v>
      </c>
      <c r="D211" t="s">
        <v>13</v>
      </c>
      <c r="E211" t="s">
        <v>14</v>
      </c>
      <c r="F211" t="s">
        <v>15</v>
      </c>
      <c r="G211">
        <v>1</v>
      </c>
      <c r="H211">
        <v>12500</v>
      </c>
      <c r="I211">
        <v>9816</v>
      </c>
      <c r="J211" t="s">
        <v>16</v>
      </c>
      <c r="K211" t="s">
        <v>23</v>
      </c>
      <c r="L211">
        <f>SUM(Clean_Data[[#This Row],[Units_Sold]]*Clean_Data[[#This Row],[Unit_Price]])</f>
        <v>12500</v>
      </c>
      <c r="M211">
        <f>Clean_Data[[#This Row],[Units_Sold]]*Clean_Data[[#This Row],[Cost_Price]]</f>
        <v>9816</v>
      </c>
      <c r="N211">
        <f>Clean_Data[[#This Row],[Total_Sales]]-Clean_Data[[#This Row],[Total_Cost]]</f>
        <v>2684</v>
      </c>
      <c r="O211" s="2">
        <f>Clean_Data[[#This Row],[Profit]]/Clean_Data[[#This Row],[Total_Sales]]</f>
        <v>0.21471999999999999</v>
      </c>
      <c r="P211" t="str">
        <f>_xlfn.XLOOKUP(Clean_Data[[#This Row],[Product_Code]],Product_Catalog!A:A,Product_Catalog!C:C)</f>
        <v>Accessories</v>
      </c>
      <c r="Q211">
        <f>IF(Clean_Data[[#This Row],[Order_Date]]="","",YEAR(Clean_Data[[#This Row],[Order_Date]]))</f>
        <v>2025</v>
      </c>
      <c r="R211" t="str">
        <f>TEXT(Clean_Data[[#This Row],[Order_Date]],"mmm")</f>
        <v>Dec</v>
      </c>
      <c r="S211" t="str">
        <f>TEXT(Clean_Data[[#This Row],[Order_Date]],"mmm-yy")</f>
        <v>Dec-25</v>
      </c>
      <c r="V211"/>
    </row>
    <row r="212" spans="1:22" x14ac:dyDescent="0.25">
      <c r="A212" t="s">
        <v>266</v>
      </c>
      <c r="B212" s="1">
        <v>46060</v>
      </c>
      <c r="C212" t="s">
        <v>44</v>
      </c>
      <c r="D212" t="s">
        <v>26</v>
      </c>
      <c r="E212" t="s">
        <v>14</v>
      </c>
      <c r="F212" t="s">
        <v>15</v>
      </c>
      <c r="G212">
        <v>18</v>
      </c>
      <c r="H212">
        <v>12500</v>
      </c>
      <c r="I212">
        <v>8172</v>
      </c>
      <c r="J212" t="s">
        <v>45</v>
      </c>
      <c r="K212" t="s">
        <v>23</v>
      </c>
      <c r="L212">
        <f>SUM(Clean_Data[[#This Row],[Units_Sold]]*Clean_Data[[#This Row],[Unit_Price]])</f>
        <v>225000</v>
      </c>
      <c r="M212">
        <f>Clean_Data[[#This Row],[Units_Sold]]*Clean_Data[[#This Row],[Cost_Price]]</f>
        <v>147096</v>
      </c>
      <c r="N212">
        <f>Clean_Data[[#This Row],[Total_Sales]]-Clean_Data[[#This Row],[Total_Cost]]</f>
        <v>77904</v>
      </c>
      <c r="O212" s="2">
        <f>Clean_Data[[#This Row],[Profit]]/Clean_Data[[#This Row],[Total_Sales]]</f>
        <v>0.34623999999999999</v>
      </c>
      <c r="P212" t="str">
        <f>_xlfn.XLOOKUP(Clean_Data[[#This Row],[Product_Code]],Product_Catalog!A:A,Product_Catalog!C:C)</f>
        <v>Accessories</v>
      </c>
      <c r="Q212">
        <f>IF(Clean_Data[[#This Row],[Order_Date]]="","",YEAR(Clean_Data[[#This Row],[Order_Date]]))</f>
        <v>2026</v>
      </c>
      <c r="R212" t="str">
        <f>TEXT(Clean_Data[[#This Row],[Order_Date]],"mmm")</f>
        <v>Feb</v>
      </c>
      <c r="S212" t="str">
        <f>TEXT(Clean_Data[[#This Row],[Order_Date]],"mmm-yy")</f>
        <v>Feb-26</v>
      </c>
      <c r="V212"/>
    </row>
    <row r="213" spans="1:22" x14ac:dyDescent="0.25">
      <c r="A213" t="s">
        <v>267</v>
      </c>
      <c r="B213" s="1">
        <v>45866</v>
      </c>
      <c r="C213" t="s">
        <v>31</v>
      </c>
      <c r="D213" t="s">
        <v>13</v>
      </c>
      <c r="E213" t="s">
        <v>14</v>
      </c>
      <c r="F213" t="s">
        <v>15</v>
      </c>
      <c r="G213">
        <v>5</v>
      </c>
      <c r="H213">
        <v>12500</v>
      </c>
      <c r="I213">
        <v>8557</v>
      </c>
      <c r="J213" t="s">
        <v>45</v>
      </c>
      <c r="K213" t="s">
        <v>17</v>
      </c>
      <c r="L213">
        <f>SUM(Clean_Data[[#This Row],[Units_Sold]]*Clean_Data[[#This Row],[Unit_Price]])</f>
        <v>62500</v>
      </c>
      <c r="M213">
        <f>Clean_Data[[#This Row],[Units_Sold]]*Clean_Data[[#This Row],[Cost_Price]]</f>
        <v>42785</v>
      </c>
      <c r="N213">
        <f>Clean_Data[[#This Row],[Total_Sales]]-Clean_Data[[#This Row],[Total_Cost]]</f>
        <v>19715</v>
      </c>
      <c r="O213" s="2">
        <f>Clean_Data[[#This Row],[Profit]]/Clean_Data[[#This Row],[Total_Sales]]</f>
        <v>0.31544</v>
      </c>
      <c r="P213" t="str">
        <f>_xlfn.XLOOKUP(Clean_Data[[#This Row],[Product_Code]],Product_Catalog!A:A,Product_Catalog!C:C)</f>
        <v>Accessories</v>
      </c>
      <c r="Q213">
        <f>IF(Clean_Data[[#This Row],[Order_Date]]="","",YEAR(Clean_Data[[#This Row],[Order_Date]]))</f>
        <v>2025</v>
      </c>
      <c r="R213" t="str">
        <f>TEXT(Clean_Data[[#This Row],[Order_Date]],"mmm")</f>
        <v>Jul</v>
      </c>
      <c r="S213" t="str">
        <f>TEXT(Clean_Data[[#This Row],[Order_Date]],"mmm-yy")</f>
        <v>Jul-25</v>
      </c>
      <c r="V213"/>
    </row>
    <row r="214" spans="1:22" x14ac:dyDescent="0.25">
      <c r="A214" t="s">
        <v>268</v>
      </c>
      <c r="B214" s="1">
        <v>46235</v>
      </c>
      <c r="C214" t="s">
        <v>31</v>
      </c>
      <c r="D214" t="s">
        <v>26</v>
      </c>
      <c r="E214" t="s">
        <v>55</v>
      </c>
      <c r="F214" t="s">
        <v>34</v>
      </c>
      <c r="G214">
        <v>17</v>
      </c>
      <c r="H214">
        <v>35000</v>
      </c>
      <c r="I214">
        <v>24306</v>
      </c>
      <c r="J214" t="s">
        <v>16</v>
      </c>
      <c r="K214" t="s">
        <v>46</v>
      </c>
      <c r="L214">
        <f>SUM(Clean_Data[[#This Row],[Units_Sold]]*Clean_Data[[#This Row],[Unit_Price]])</f>
        <v>595000</v>
      </c>
      <c r="M214">
        <f>Clean_Data[[#This Row],[Units_Sold]]*Clean_Data[[#This Row],[Cost_Price]]</f>
        <v>413202</v>
      </c>
      <c r="N214">
        <f>Clean_Data[[#This Row],[Total_Sales]]-Clean_Data[[#This Row],[Total_Cost]]</f>
        <v>181798</v>
      </c>
      <c r="O214" s="2">
        <f>Clean_Data[[#This Row],[Profit]]/Clean_Data[[#This Row],[Total_Sales]]</f>
        <v>0.30554285714285712</v>
      </c>
      <c r="P214" t="str">
        <f>_xlfn.XLOOKUP(Clean_Data[[#This Row],[Product_Code]],Product_Catalog!A:A,Product_Catalog!C:C)</f>
        <v>Furniture</v>
      </c>
      <c r="Q214">
        <f>IF(Clean_Data[[#This Row],[Order_Date]]="","",YEAR(Clean_Data[[#This Row],[Order_Date]]))</f>
        <v>2026</v>
      </c>
      <c r="R214" t="str">
        <f>TEXT(Clean_Data[[#This Row],[Order_Date]],"mmm")</f>
        <v>Aug</v>
      </c>
      <c r="S214" t="str">
        <f>TEXT(Clean_Data[[#This Row],[Order_Date]],"mmm-yy")</f>
        <v>Aug-26</v>
      </c>
      <c r="V214"/>
    </row>
    <row r="215" spans="1:22" x14ac:dyDescent="0.25">
      <c r="A215" t="s">
        <v>269</v>
      </c>
      <c r="B215" s="1">
        <v>46077</v>
      </c>
      <c r="C215" t="s">
        <v>12</v>
      </c>
      <c r="D215" t="s">
        <v>40</v>
      </c>
      <c r="E215" t="s">
        <v>66</v>
      </c>
      <c r="F215" t="s">
        <v>67</v>
      </c>
      <c r="G215">
        <v>6</v>
      </c>
      <c r="H215">
        <v>2500</v>
      </c>
      <c r="I215">
        <v>1933</v>
      </c>
      <c r="J215" t="s">
        <v>29</v>
      </c>
      <c r="K215" t="s">
        <v>17</v>
      </c>
      <c r="L215">
        <f>SUM(Clean_Data[[#This Row],[Units_Sold]]*Clean_Data[[#This Row],[Unit_Price]])</f>
        <v>15000</v>
      </c>
      <c r="M215">
        <f>Clean_Data[[#This Row],[Units_Sold]]*Clean_Data[[#This Row],[Cost_Price]]</f>
        <v>11598</v>
      </c>
      <c r="N215">
        <f>Clean_Data[[#This Row],[Total_Sales]]-Clean_Data[[#This Row],[Total_Cost]]</f>
        <v>3402</v>
      </c>
      <c r="O215" s="2">
        <f>Clean_Data[[#This Row],[Profit]]/Clean_Data[[#This Row],[Total_Sales]]</f>
        <v>0.2268</v>
      </c>
      <c r="P215" t="str">
        <f>_xlfn.XLOOKUP(Clean_Data[[#This Row],[Product_Code]],Product_Catalog!A:A,Product_Catalog!C:C)</f>
        <v>Electronics</v>
      </c>
      <c r="Q215">
        <f>IF(Clean_Data[[#This Row],[Order_Date]]="","",YEAR(Clean_Data[[#This Row],[Order_Date]]))</f>
        <v>2026</v>
      </c>
      <c r="R215" t="str">
        <f>TEXT(Clean_Data[[#This Row],[Order_Date]],"mmm")</f>
        <v>Feb</v>
      </c>
      <c r="S215" t="str">
        <f>TEXT(Clean_Data[[#This Row],[Order_Date]],"mmm-yy")</f>
        <v>Feb-26</v>
      </c>
      <c r="V215"/>
    </row>
    <row r="216" spans="1:22" x14ac:dyDescent="0.25">
      <c r="A216" t="s">
        <v>270</v>
      </c>
      <c r="B216" s="1">
        <v>45968</v>
      </c>
      <c r="C216" t="s">
        <v>62</v>
      </c>
      <c r="D216" t="s">
        <v>26</v>
      </c>
      <c r="E216" t="s">
        <v>63</v>
      </c>
      <c r="F216" t="s">
        <v>59</v>
      </c>
      <c r="G216">
        <v>11</v>
      </c>
      <c r="H216">
        <v>4500</v>
      </c>
      <c r="I216">
        <v>3003</v>
      </c>
      <c r="J216" t="s">
        <v>16</v>
      </c>
      <c r="K216" t="s">
        <v>23</v>
      </c>
      <c r="L216">
        <f>SUM(Clean_Data[[#This Row],[Units_Sold]]*Clean_Data[[#This Row],[Unit_Price]])</f>
        <v>49500</v>
      </c>
      <c r="M216">
        <f>Clean_Data[[#This Row],[Units_Sold]]*Clean_Data[[#This Row],[Cost_Price]]</f>
        <v>33033</v>
      </c>
      <c r="N216">
        <f>Clean_Data[[#This Row],[Total_Sales]]-Clean_Data[[#This Row],[Total_Cost]]</f>
        <v>16467</v>
      </c>
      <c r="O216" s="2">
        <f>Clean_Data[[#This Row],[Profit]]/Clean_Data[[#This Row],[Total_Sales]]</f>
        <v>0.33266666666666667</v>
      </c>
      <c r="P216" t="str">
        <f>_xlfn.XLOOKUP(Clean_Data[[#This Row],[Product_Code]],Product_Catalog!A:A,Product_Catalog!C:C)</f>
        <v>Electronics</v>
      </c>
      <c r="Q216">
        <f>IF(Clean_Data[[#This Row],[Order_Date]]="","",YEAR(Clean_Data[[#This Row],[Order_Date]]))</f>
        <v>2025</v>
      </c>
      <c r="R216" t="str">
        <f>TEXT(Clean_Data[[#This Row],[Order_Date]],"mmm")</f>
        <v>Nov</v>
      </c>
      <c r="S216" t="str">
        <f>TEXT(Clean_Data[[#This Row],[Order_Date]],"mmm-yy")</f>
        <v>Nov-25</v>
      </c>
      <c r="V216"/>
    </row>
    <row r="217" spans="1:22" x14ac:dyDescent="0.25">
      <c r="A217" t="s">
        <v>271</v>
      </c>
      <c r="B217" s="1">
        <v>45698</v>
      </c>
      <c r="C217" t="s">
        <v>48</v>
      </c>
      <c r="D217" t="s">
        <v>13</v>
      </c>
      <c r="E217" t="s">
        <v>41</v>
      </c>
      <c r="F217" t="s">
        <v>42</v>
      </c>
      <c r="G217">
        <v>16</v>
      </c>
      <c r="H217">
        <v>28000</v>
      </c>
      <c r="I217">
        <v>20991</v>
      </c>
      <c r="J217" t="s">
        <v>16</v>
      </c>
      <c r="K217" t="s">
        <v>84</v>
      </c>
      <c r="L217">
        <f>SUM(Clean_Data[[#This Row],[Units_Sold]]*Clean_Data[[#This Row],[Unit_Price]])</f>
        <v>448000</v>
      </c>
      <c r="M217">
        <f>Clean_Data[[#This Row],[Units_Sold]]*Clean_Data[[#This Row],[Cost_Price]]</f>
        <v>335856</v>
      </c>
      <c r="N217">
        <f>Clean_Data[[#This Row],[Total_Sales]]-Clean_Data[[#This Row],[Total_Cost]]</f>
        <v>112144</v>
      </c>
      <c r="O217" s="2">
        <f>Clean_Data[[#This Row],[Profit]]/Clean_Data[[#This Row],[Total_Sales]]</f>
        <v>0.25032142857142858</v>
      </c>
      <c r="P217" t="str">
        <f>_xlfn.XLOOKUP(Clean_Data[[#This Row],[Product_Code]],Product_Catalog!A:A,Product_Catalog!C:C)</f>
        <v>Electronics</v>
      </c>
      <c r="Q217">
        <f>IF(Clean_Data[[#This Row],[Order_Date]]="","",YEAR(Clean_Data[[#This Row],[Order_Date]]))</f>
        <v>2025</v>
      </c>
      <c r="R217" t="str">
        <f>TEXT(Clean_Data[[#This Row],[Order_Date]],"mmm")</f>
        <v>Feb</v>
      </c>
      <c r="S217" t="str">
        <f>TEXT(Clean_Data[[#This Row],[Order_Date]],"mmm-yy")</f>
        <v>Feb-25</v>
      </c>
      <c r="V217"/>
    </row>
    <row r="218" spans="1:22" x14ac:dyDescent="0.25">
      <c r="A218" t="s">
        <v>272</v>
      </c>
      <c r="B218" s="1">
        <v>46163</v>
      </c>
      <c r="C218" t="s">
        <v>53</v>
      </c>
      <c r="D218" t="s">
        <v>40</v>
      </c>
      <c r="E218" t="s">
        <v>55</v>
      </c>
      <c r="F218" t="s">
        <v>34</v>
      </c>
      <c r="G218">
        <v>11</v>
      </c>
      <c r="H218">
        <v>35000</v>
      </c>
      <c r="I218">
        <v>22124</v>
      </c>
      <c r="J218" t="s">
        <v>29</v>
      </c>
      <c r="K218" t="s">
        <v>46</v>
      </c>
      <c r="L218">
        <f>SUM(Clean_Data[[#This Row],[Units_Sold]]*Clean_Data[[#This Row],[Unit_Price]])</f>
        <v>385000</v>
      </c>
      <c r="M218">
        <f>Clean_Data[[#This Row],[Units_Sold]]*Clean_Data[[#This Row],[Cost_Price]]</f>
        <v>243364</v>
      </c>
      <c r="N218">
        <f>Clean_Data[[#This Row],[Total_Sales]]-Clean_Data[[#This Row],[Total_Cost]]</f>
        <v>141636</v>
      </c>
      <c r="O218" s="2">
        <f>Clean_Data[[#This Row],[Profit]]/Clean_Data[[#This Row],[Total_Sales]]</f>
        <v>0.36788571428571426</v>
      </c>
      <c r="P218" t="str">
        <f>_xlfn.XLOOKUP(Clean_Data[[#This Row],[Product_Code]],Product_Catalog!A:A,Product_Catalog!C:C)</f>
        <v>Furniture</v>
      </c>
      <c r="Q218">
        <f>IF(Clean_Data[[#This Row],[Order_Date]]="","",YEAR(Clean_Data[[#This Row],[Order_Date]]))</f>
        <v>2026</v>
      </c>
      <c r="R218" t="str">
        <f>TEXT(Clean_Data[[#This Row],[Order_Date]],"mmm")</f>
        <v>May</v>
      </c>
      <c r="S218" t="str">
        <f>TEXT(Clean_Data[[#This Row],[Order_Date]],"mmm-yy")</f>
        <v>May-26</v>
      </c>
      <c r="V218"/>
    </row>
    <row r="219" spans="1:22" x14ac:dyDescent="0.25">
      <c r="A219" t="s">
        <v>273</v>
      </c>
      <c r="B219" s="1">
        <v>46222</v>
      </c>
      <c r="C219" t="s">
        <v>44</v>
      </c>
      <c r="D219" t="s">
        <v>40</v>
      </c>
      <c r="E219" t="s">
        <v>66</v>
      </c>
      <c r="F219" t="s">
        <v>67</v>
      </c>
      <c r="G219">
        <v>15</v>
      </c>
      <c r="H219">
        <v>2500</v>
      </c>
      <c r="I219">
        <v>1519</v>
      </c>
      <c r="J219" t="s">
        <v>29</v>
      </c>
      <c r="K219" t="s">
        <v>17</v>
      </c>
      <c r="L219">
        <f>SUM(Clean_Data[[#This Row],[Units_Sold]]*Clean_Data[[#This Row],[Unit_Price]])</f>
        <v>37500</v>
      </c>
      <c r="M219">
        <f>Clean_Data[[#This Row],[Units_Sold]]*Clean_Data[[#This Row],[Cost_Price]]</f>
        <v>22785</v>
      </c>
      <c r="N219">
        <f>Clean_Data[[#This Row],[Total_Sales]]-Clean_Data[[#This Row],[Total_Cost]]</f>
        <v>14715</v>
      </c>
      <c r="O219" s="2">
        <f>Clean_Data[[#This Row],[Profit]]/Clean_Data[[#This Row],[Total_Sales]]</f>
        <v>0.39240000000000003</v>
      </c>
      <c r="P219" t="str">
        <f>_xlfn.XLOOKUP(Clean_Data[[#This Row],[Product_Code]],Product_Catalog!A:A,Product_Catalog!C:C)</f>
        <v>Electronics</v>
      </c>
      <c r="Q219">
        <f>IF(Clean_Data[[#This Row],[Order_Date]]="","",YEAR(Clean_Data[[#This Row],[Order_Date]]))</f>
        <v>2026</v>
      </c>
      <c r="R219" t="str">
        <f>TEXT(Clean_Data[[#This Row],[Order_Date]],"mmm")</f>
        <v>Jul</v>
      </c>
      <c r="S219" t="str">
        <f>TEXT(Clean_Data[[#This Row],[Order_Date]],"mmm-yy")</f>
        <v>Jul-26</v>
      </c>
      <c r="V219"/>
    </row>
    <row r="220" spans="1:22" x14ac:dyDescent="0.25">
      <c r="A220" t="s">
        <v>274</v>
      </c>
      <c r="B220" s="1">
        <v>46064</v>
      </c>
      <c r="C220" t="s">
        <v>73</v>
      </c>
      <c r="D220" t="s">
        <v>33</v>
      </c>
      <c r="E220" t="s">
        <v>37</v>
      </c>
      <c r="F220" t="s">
        <v>38</v>
      </c>
      <c r="G220">
        <v>9</v>
      </c>
      <c r="H220">
        <v>55000</v>
      </c>
      <c r="I220">
        <v>34374</v>
      </c>
      <c r="J220" t="s">
        <v>29</v>
      </c>
      <c r="K220" t="s">
        <v>46</v>
      </c>
      <c r="L220">
        <f>SUM(Clean_Data[[#This Row],[Units_Sold]]*Clean_Data[[#This Row],[Unit_Price]])</f>
        <v>495000</v>
      </c>
      <c r="M220">
        <f>Clean_Data[[#This Row],[Units_Sold]]*Clean_Data[[#This Row],[Cost_Price]]</f>
        <v>309366</v>
      </c>
      <c r="N220">
        <f>Clean_Data[[#This Row],[Total_Sales]]-Clean_Data[[#This Row],[Total_Cost]]</f>
        <v>185634</v>
      </c>
      <c r="O220" s="2">
        <f>Clean_Data[[#This Row],[Profit]]/Clean_Data[[#This Row],[Total_Sales]]</f>
        <v>0.37501818181818181</v>
      </c>
      <c r="P220" t="str">
        <f>_xlfn.XLOOKUP(Clean_Data[[#This Row],[Product_Code]],Product_Catalog!A:A,Product_Catalog!C:C)</f>
        <v>Electronics</v>
      </c>
      <c r="Q220">
        <f>IF(Clean_Data[[#This Row],[Order_Date]]="","",YEAR(Clean_Data[[#This Row],[Order_Date]]))</f>
        <v>2026</v>
      </c>
      <c r="R220" t="str">
        <f>TEXT(Clean_Data[[#This Row],[Order_Date]],"mmm")</f>
        <v>Feb</v>
      </c>
      <c r="S220" t="str">
        <f>TEXT(Clean_Data[[#This Row],[Order_Date]],"mmm-yy")</f>
        <v>Feb-26</v>
      </c>
      <c r="V220"/>
    </row>
    <row r="221" spans="1:22" x14ac:dyDescent="0.25">
      <c r="A221" t="s">
        <v>275</v>
      </c>
      <c r="B221" s="1">
        <v>46063</v>
      </c>
      <c r="C221" t="s">
        <v>19</v>
      </c>
      <c r="D221" t="s">
        <v>36</v>
      </c>
      <c r="E221" t="s">
        <v>63</v>
      </c>
      <c r="F221" t="s">
        <v>59</v>
      </c>
      <c r="G221">
        <v>3</v>
      </c>
      <c r="H221">
        <v>4500</v>
      </c>
      <c r="I221">
        <v>2727</v>
      </c>
      <c r="J221" t="s">
        <v>29</v>
      </c>
      <c r="K221" t="s">
        <v>23</v>
      </c>
      <c r="L221">
        <f>SUM(Clean_Data[[#This Row],[Units_Sold]]*Clean_Data[[#This Row],[Unit_Price]])</f>
        <v>13500</v>
      </c>
      <c r="M221">
        <f>Clean_Data[[#This Row],[Units_Sold]]*Clean_Data[[#This Row],[Cost_Price]]</f>
        <v>8181</v>
      </c>
      <c r="N221">
        <f>Clean_Data[[#This Row],[Total_Sales]]-Clean_Data[[#This Row],[Total_Cost]]</f>
        <v>5319</v>
      </c>
      <c r="O221" s="2">
        <f>Clean_Data[[#This Row],[Profit]]/Clean_Data[[#This Row],[Total_Sales]]</f>
        <v>0.39400000000000002</v>
      </c>
      <c r="P221" t="str">
        <f>_xlfn.XLOOKUP(Clean_Data[[#This Row],[Product_Code]],Product_Catalog!A:A,Product_Catalog!C:C)</f>
        <v>Electronics</v>
      </c>
      <c r="Q221">
        <f>IF(Clean_Data[[#This Row],[Order_Date]]="","",YEAR(Clean_Data[[#This Row],[Order_Date]]))</f>
        <v>2026</v>
      </c>
      <c r="R221" t="str">
        <f>TEXT(Clean_Data[[#This Row],[Order_Date]],"mmm")</f>
        <v>Feb</v>
      </c>
      <c r="S221" t="str">
        <f>TEXT(Clean_Data[[#This Row],[Order_Date]],"mmm-yy")</f>
        <v>Feb-26</v>
      </c>
      <c r="V221"/>
    </row>
    <row r="222" spans="1:22" x14ac:dyDescent="0.25">
      <c r="A222" t="s">
        <v>276</v>
      </c>
      <c r="B222" s="1">
        <v>45957</v>
      </c>
      <c r="C222" t="s">
        <v>44</v>
      </c>
      <c r="D222" t="s">
        <v>40</v>
      </c>
      <c r="E222" t="s">
        <v>66</v>
      </c>
      <c r="F222" t="s">
        <v>67</v>
      </c>
      <c r="G222">
        <v>5</v>
      </c>
      <c r="H222">
        <v>2500</v>
      </c>
      <c r="I222">
        <v>1509</v>
      </c>
      <c r="J222" t="s">
        <v>16</v>
      </c>
      <c r="K222" t="s">
        <v>17</v>
      </c>
      <c r="L222">
        <f>SUM(Clean_Data[[#This Row],[Units_Sold]]*Clean_Data[[#This Row],[Unit_Price]])</f>
        <v>12500</v>
      </c>
      <c r="M222">
        <f>Clean_Data[[#This Row],[Units_Sold]]*Clean_Data[[#This Row],[Cost_Price]]</f>
        <v>7545</v>
      </c>
      <c r="N222">
        <f>Clean_Data[[#This Row],[Total_Sales]]-Clean_Data[[#This Row],[Total_Cost]]</f>
        <v>4955</v>
      </c>
      <c r="O222" s="2">
        <f>Clean_Data[[#This Row],[Profit]]/Clean_Data[[#This Row],[Total_Sales]]</f>
        <v>0.39639999999999997</v>
      </c>
      <c r="P222" t="str">
        <f>_xlfn.XLOOKUP(Clean_Data[[#This Row],[Product_Code]],Product_Catalog!A:A,Product_Catalog!C:C)</f>
        <v>Electronics</v>
      </c>
      <c r="Q222">
        <f>IF(Clean_Data[[#This Row],[Order_Date]]="","",YEAR(Clean_Data[[#This Row],[Order_Date]]))</f>
        <v>2025</v>
      </c>
      <c r="R222" t="str">
        <f>TEXT(Clean_Data[[#This Row],[Order_Date]],"mmm")</f>
        <v>Oct</v>
      </c>
      <c r="S222" t="str">
        <f>TEXT(Clean_Data[[#This Row],[Order_Date]],"mmm-yy")</f>
        <v>Oct-25</v>
      </c>
      <c r="V222"/>
    </row>
    <row r="223" spans="1:22" x14ac:dyDescent="0.25">
      <c r="A223" t="s">
        <v>277</v>
      </c>
      <c r="B223" s="1">
        <v>46027</v>
      </c>
      <c r="C223" t="s">
        <v>44</v>
      </c>
      <c r="D223" t="s">
        <v>13</v>
      </c>
      <c r="E223" t="s">
        <v>14</v>
      </c>
      <c r="F223" t="s">
        <v>15</v>
      </c>
      <c r="G223">
        <v>4</v>
      </c>
      <c r="H223">
        <v>12500</v>
      </c>
      <c r="I223">
        <v>7532</v>
      </c>
      <c r="J223" t="s">
        <v>29</v>
      </c>
      <c r="K223" t="s">
        <v>23</v>
      </c>
      <c r="L223">
        <f>SUM(Clean_Data[[#This Row],[Units_Sold]]*Clean_Data[[#This Row],[Unit_Price]])</f>
        <v>50000</v>
      </c>
      <c r="M223">
        <f>Clean_Data[[#This Row],[Units_Sold]]*Clean_Data[[#This Row],[Cost_Price]]</f>
        <v>30128</v>
      </c>
      <c r="N223">
        <f>Clean_Data[[#This Row],[Total_Sales]]-Clean_Data[[#This Row],[Total_Cost]]</f>
        <v>19872</v>
      </c>
      <c r="O223" s="2">
        <f>Clean_Data[[#This Row],[Profit]]/Clean_Data[[#This Row],[Total_Sales]]</f>
        <v>0.39744000000000002</v>
      </c>
      <c r="P223" t="str">
        <f>_xlfn.XLOOKUP(Clean_Data[[#This Row],[Product_Code]],Product_Catalog!A:A,Product_Catalog!C:C)</f>
        <v>Accessories</v>
      </c>
      <c r="Q223">
        <f>IF(Clean_Data[[#This Row],[Order_Date]]="","",YEAR(Clean_Data[[#This Row],[Order_Date]]))</f>
        <v>2026</v>
      </c>
      <c r="R223" t="str">
        <f>TEXT(Clean_Data[[#This Row],[Order_Date]],"mmm")</f>
        <v>Jan</v>
      </c>
      <c r="S223" t="str">
        <f>TEXT(Clean_Data[[#This Row],[Order_Date]],"mmm-yy")</f>
        <v>Jan-26</v>
      </c>
      <c r="V223"/>
    </row>
    <row r="224" spans="1:22" x14ac:dyDescent="0.25">
      <c r="A224" t="s">
        <v>278</v>
      </c>
      <c r="B224" s="1">
        <v>45883</v>
      </c>
      <c r="C224" t="s">
        <v>48</v>
      </c>
      <c r="D224" t="s">
        <v>36</v>
      </c>
      <c r="E224" t="s">
        <v>49</v>
      </c>
      <c r="F224" t="s">
        <v>50</v>
      </c>
      <c r="G224">
        <v>7</v>
      </c>
      <c r="H224">
        <v>75000</v>
      </c>
      <c r="I224">
        <v>51412</v>
      </c>
      <c r="J224" t="s">
        <v>29</v>
      </c>
      <c r="K224" t="s">
        <v>46</v>
      </c>
      <c r="L224">
        <f>SUM(Clean_Data[[#This Row],[Units_Sold]]*Clean_Data[[#This Row],[Unit_Price]])</f>
        <v>525000</v>
      </c>
      <c r="M224">
        <f>Clean_Data[[#This Row],[Units_Sold]]*Clean_Data[[#This Row],[Cost_Price]]</f>
        <v>359884</v>
      </c>
      <c r="N224">
        <f>Clean_Data[[#This Row],[Total_Sales]]-Clean_Data[[#This Row],[Total_Cost]]</f>
        <v>165116</v>
      </c>
      <c r="O224" s="2">
        <f>Clean_Data[[#This Row],[Profit]]/Clean_Data[[#This Row],[Total_Sales]]</f>
        <v>0.31450666666666666</v>
      </c>
      <c r="P224" t="str">
        <f>_xlfn.XLOOKUP(Clean_Data[[#This Row],[Product_Code]],Product_Catalog!A:A,Product_Catalog!C:C)</f>
        <v>Electronics</v>
      </c>
      <c r="Q224">
        <f>IF(Clean_Data[[#This Row],[Order_Date]]="","",YEAR(Clean_Data[[#This Row],[Order_Date]]))</f>
        <v>2025</v>
      </c>
      <c r="R224" t="str">
        <f>TEXT(Clean_Data[[#This Row],[Order_Date]],"mmm")</f>
        <v>Aug</v>
      </c>
      <c r="S224" t="str">
        <f>TEXT(Clean_Data[[#This Row],[Order_Date]],"mmm-yy")</f>
        <v>Aug-25</v>
      </c>
      <c r="V224"/>
    </row>
    <row r="225" spans="1:22" x14ac:dyDescent="0.25">
      <c r="A225" t="s">
        <v>279</v>
      </c>
      <c r="B225" s="1">
        <v>46248</v>
      </c>
      <c r="C225" t="s">
        <v>53</v>
      </c>
      <c r="D225" t="s">
        <v>40</v>
      </c>
      <c r="E225" t="s">
        <v>49</v>
      </c>
      <c r="F225" t="s">
        <v>50</v>
      </c>
      <c r="G225">
        <v>19</v>
      </c>
      <c r="H225">
        <v>75000</v>
      </c>
      <c r="I225">
        <v>52161</v>
      </c>
      <c r="J225" t="s">
        <v>16</v>
      </c>
      <c r="K225" t="s">
        <v>17</v>
      </c>
      <c r="L225">
        <f>SUM(Clean_Data[[#This Row],[Units_Sold]]*Clean_Data[[#This Row],[Unit_Price]])</f>
        <v>1425000</v>
      </c>
      <c r="M225">
        <f>Clean_Data[[#This Row],[Units_Sold]]*Clean_Data[[#This Row],[Cost_Price]]</f>
        <v>991059</v>
      </c>
      <c r="N225">
        <f>Clean_Data[[#This Row],[Total_Sales]]-Clean_Data[[#This Row],[Total_Cost]]</f>
        <v>433941</v>
      </c>
      <c r="O225" s="2">
        <f>Clean_Data[[#This Row],[Profit]]/Clean_Data[[#This Row],[Total_Sales]]</f>
        <v>0.30452000000000001</v>
      </c>
      <c r="P225" t="str">
        <f>_xlfn.XLOOKUP(Clean_Data[[#This Row],[Product_Code]],Product_Catalog!A:A,Product_Catalog!C:C)</f>
        <v>Electronics</v>
      </c>
      <c r="Q225">
        <f>IF(Clean_Data[[#This Row],[Order_Date]]="","",YEAR(Clean_Data[[#This Row],[Order_Date]]))</f>
        <v>2026</v>
      </c>
      <c r="R225" t="str">
        <f>TEXT(Clean_Data[[#This Row],[Order_Date]],"mmm")</f>
        <v>Aug</v>
      </c>
      <c r="S225" t="str">
        <f>TEXT(Clean_Data[[#This Row],[Order_Date]],"mmm-yy")</f>
        <v>Aug-26</v>
      </c>
      <c r="V225"/>
    </row>
    <row r="226" spans="1:22" x14ac:dyDescent="0.25">
      <c r="A226" t="s">
        <v>280</v>
      </c>
      <c r="B226" s="1">
        <v>45788</v>
      </c>
      <c r="C226" t="s">
        <v>31</v>
      </c>
      <c r="D226" t="s">
        <v>13</v>
      </c>
      <c r="E226" t="s">
        <v>20</v>
      </c>
      <c r="F226" t="s">
        <v>21</v>
      </c>
      <c r="G226">
        <v>18</v>
      </c>
      <c r="H226">
        <v>8500</v>
      </c>
      <c r="I226">
        <v>5623</v>
      </c>
      <c r="J226" t="s">
        <v>16</v>
      </c>
      <c r="K226" t="s">
        <v>23</v>
      </c>
      <c r="L226">
        <f>SUM(Clean_Data[[#This Row],[Units_Sold]]*Clean_Data[[#This Row],[Unit_Price]])</f>
        <v>153000</v>
      </c>
      <c r="M226">
        <f>Clean_Data[[#This Row],[Units_Sold]]*Clean_Data[[#This Row],[Cost_Price]]</f>
        <v>101214</v>
      </c>
      <c r="N226">
        <f>Clean_Data[[#This Row],[Total_Sales]]-Clean_Data[[#This Row],[Total_Cost]]</f>
        <v>51786</v>
      </c>
      <c r="O226" s="2">
        <f>Clean_Data[[#This Row],[Profit]]/Clean_Data[[#This Row],[Total_Sales]]</f>
        <v>0.33847058823529413</v>
      </c>
      <c r="P226" t="str">
        <f>_xlfn.XLOOKUP(Clean_Data[[#This Row],[Product_Code]],Product_Catalog!A:A,Product_Catalog!C:C)</f>
        <v>Accessories</v>
      </c>
      <c r="Q226">
        <f>IF(Clean_Data[[#This Row],[Order_Date]]="","",YEAR(Clean_Data[[#This Row],[Order_Date]]))</f>
        <v>2025</v>
      </c>
      <c r="R226" t="str">
        <f>TEXT(Clean_Data[[#This Row],[Order_Date]],"mmm")</f>
        <v>May</v>
      </c>
      <c r="S226" t="str">
        <f>TEXT(Clean_Data[[#This Row],[Order_Date]],"mmm-yy")</f>
        <v>May-25</v>
      </c>
      <c r="V226"/>
    </row>
    <row r="227" spans="1:22" x14ac:dyDescent="0.25">
      <c r="A227" t="s">
        <v>281</v>
      </c>
      <c r="B227" s="1">
        <v>46150</v>
      </c>
      <c r="C227" t="s">
        <v>12</v>
      </c>
      <c r="D227" t="s">
        <v>40</v>
      </c>
      <c r="E227" t="s">
        <v>41</v>
      </c>
      <c r="F227" t="s">
        <v>42</v>
      </c>
      <c r="G227">
        <v>12</v>
      </c>
      <c r="H227">
        <v>28000</v>
      </c>
      <c r="I227">
        <v>19843</v>
      </c>
      <c r="J227" t="s">
        <v>22</v>
      </c>
      <c r="K227" t="s">
        <v>23</v>
      </c>
      <c r="L227">
        <f>SUM(Clean_Data[[#This Row],[Units_Sold]]*Clean_Data[[#This Row],[Unit_Price]])</f>
        <v>336000</v>
      </c>
      <c r="M227">
        <f>Clean_Data[[#This Row],[Units_Sold]]*Clean_Data[[#This Row],[Cost_Price]]</f>
        <v>238116</v>
      </c>
      <c r="N227">
        <f>Clean_Data[[#This Row],[Total_Sales]]-Clean_Data[[#This Row],[Total_Cost]]</f>
        <v>97884</v>
      </c>
      <c r="O227" s="2">
        <f>Clean_Data[[#This Row],[Profit]]/Clean_Data[[#This Row],[Total_Sales]]</f>
        <v>0.29132142857142856</v>
      </c>
      <c r="P227" t="str">
        <f>_xlfn.XLOOKUP(Clean_Data[[#This Row],[Product_Code]],Product_Catalog!A:A,Product_Catalog!C:C)</f>
        <v>Electronics</v>
      </c>
      <c r="Q227">
        <f>IF(Clean_Data[[#This Row],[Order_Date]]="","",YEAR(Clean_Data[[#This Row],[Order_Date]]))</f>
        <v>2026</v>
      </c>
      <c r="R227" t="str">
        <f>TEXT(Clean_Data[[#This Row],[Order_Date]],"mmm")</f>
        <v>May</v>
      </c>
      <c r="S227" t="str">
        <f>TEXT(Clean_Data[[#This Row],[Order_Date]],"mmm-yy")</f>
        <v>May-26</v>
      </c>
      <c r="V227"/>
    </row>
    <row r="228" spans="1:22" x14ac:dyDescent="0.25">
      <c r="A228" t="s">
        <v>282</v>
      </c>
      <c r="B228" s="1">
        <v>45831</v>
      </c>
      <c r="C228" t="s">
        <v>12</v>
      </c>
      <c r="D228" t="s">
        <v>36</v>
      </c>
      <c r="E228" t="s">
        <v>37</v>
      </c>
      <c r="F228" t="s">
        <v>38</v>
      </c>
      <c r="G228">
        <v>13</v>
      </c>
      <c r="H228">
        <v>55000</v>
      </c>
      <c r="I228">
        <v>36207</v>
      </c>
      <c r="J228" t="s">
        <v>16</v>
      </c>
      <c r="K228" t="s">
        <v>23</v>
      </c>
      <c r="L228">
        <f>SUM(Clean_Data[[#This Row],[Units_Sold]]*Clean_Data[[#This Row],[Unit_Price]])</f>
        <v>715000</v>
      </c>
      <c r="M228">
        <f>Clean_Data[[#This Row],[Units_Sold]]*Clean_Data[[#This Row],[Cost_Price]]</f>
        <v>470691</v>
      </c>
      <c r="N228">
        <f>Clean_Data[[#This Row],[Total_Sales]]-Clean_Data[[#This Row],[Total_Cost]]</f>
        <v>244309</v>
      </c>
      <c r="O228" s="2">
        <f>Clean_Data[[#This Row],[Profit]]/Clean_Data[[#This Row],[Total_Sales]]</f>
        <v>0.3416909090909091</v>
      </c>
      <c r="P228" t="str">
        <f>_xlfn.XLOOKUP(Clean_Data[[#This Row],[Product_Code]],Product_Catalog!A:A,Product_Catalog!C:C)</f>
        <v>Electronics</v>
      </c>
      <c r="Q228">
        <f>IF(Clean_Data[[#This Row],[Order_Date]]="","",YEAR(Clean_Data[[#This Row],[Order_Date]]))</f>
        <v>2025</v>
      </c>
      <c r="R228" t="str">
        <f>TEXT(Clean_Data[[#This Row],[Order_Date]],"mmm")</f>
        <v>Jun</v>
      </c>
      <c r="S228" t="str">
        <f>TEXT(Clean_Data[[#This Row],[Order_Date]],"mmm-yy")</f>
        <v>Jun-25</v>
      </c>
      <c r="V228"/>
    </row>
    <row r="229" spans="1:22" x14ac:dyDescent="0.25">
      <c r="A229" t="s">
        <v>283</v>
      </c>
      <c r="B229" s="1">
        <v>46149</v>
      </c>
      <c r="C229" t="s">
        <v>53</v>
      </c>
      <c r="D229" t="s">
        <v>33</v>
      </c>
      <c r="E229" t="s">
        <v>63</v>
      </c>
      <c r="F229" t="s">
        <v>59</v>
      </c>
      <c r="G229">
        <v>9</v>
      </c>
      <c r="H229">
        <v>4500</v>
      </c>
      <c r="I229">
        <v>2700</v>
      </c>
      <c r="J229" t="s">
        <v>29</v>
      </c>
      <c r="K229" t="s">
        <v>23</v>
      </c>
      <c r="L229">
        <f>SUM(Clean_Data[[#This Row],[Units_Sold]]*Clean_Data[[#This Row],[Unit_Price]])</f>
        <v>40500</v>
      </c>
      <c r="M229">
        <f>Clean_Data[[#This Row],[Units_Sold]]*Clean_Data[[#This Row],[Cost_Price]]</f>
        <v>24300</v>
      </c>
      <c r="N229">
        <f>Clean_Data[[#This Row],[Total_Sales]]-Clean_Data[[#This Row],[Total_Cost]]</f>
        <v>16200</v>
      </c>
      <c r="O229" s="2">
        <f>Clean_Data[[#This Row],[Profit]]/Clean_Data[[#This Row],[Total_Sales]]</f>
        <v>0.4</v>
      </c>
      <c r="P229" t="str">
        <f>_xlfn.XLOOKUP(Clean_Data[[#This Row],[Product_Code]],Product_Catalog!A:A,Product_Catalog!C:C)</f>
        <v>Electronics</v>
      </c>
      <c r="Q229">
        <f>IF(Clean_Data[[#This Row],[Order_Date]]="","",YEAR(Clean_Data[[#This Row],[Order_Date]]))</f>
        <v>2026</v>
      </c>
      <c r="R229" t="str">
        <f>TEXT(Clean_Data[[#This Row],[Order_Date]],"mmm")</f>
        <v>May</v>
      </c>
      <c r="S229" t="str">
        <f>TEXT(Clean_Data[[#This Row],[Order_Date]],"mmm-yy")</f>
        <v>May-26</v>
      </c>
      <c r="V229"/>
    </row>
    <row r="230" spans="1:22" x14ac:dyDescent="0.25">
      <c r="A230" t="s">
        <v>284</v>
      </c>
      <c r="B230" s="1">
        <v>46083</v>
      </c>
      <c r="C230" t="s">
        <v>25</v>
      </c>
      <c r="D230" t="s">
        <v>40</v>
      </c>
      <c r="E230" t="s">
        <v>14</v>
      </c>
      <c r="F230" t="s">
        <v>15</v>
      </c>
      <c r="G230">
        <v>17</v>
      </c>
      <c r="H230">
        <v>12500</v>
      </c>
      <c r="I230">
        <v>9414</v>
      </c>
      <c r="J230" t="s">
        <v>45</v>
      </c>
      <c r="K230" t="s">
        <v>46</v>
      </c>
      <c r="L230">
        <f>SUM(Clean_Data[[#This Row],[Units_Sold]]*Clean_Data[[#This Row],[Unit_Price]])</f>
        <v>212500</v>
      </c>
      <c r="M230">
        <f>Clean_Data[[#This Row],[Units_Sold]]*Clean_Data[[#This Row],[Cost_Price]]</f>
        <v>160038</v>
      </c>
      <c r="N230">
        <f>Clean_Data[[#This Row],[Total_Sales]]-Clean_Data[[#This Row],[Total_Cost]]</f>
        <v>52462</v>
      </c>
      <c r="O230" s="2">
        <f>Clean_Data[[#This Row],[Profit]]/Clean_Data[[#This Row],[Total_Sales]]</f>
        <v>0.24687999999999999</v>
      </c>
      <c r="P230" t="str">
        <f>_xlfn.XLOOKUP(Clean_Data[[#This Row],[Product_Code]],Product_Catalog!A:A,Product_Catalog!C:C)</f>
        <v>Accessories</v>
      </c>
      <c r="Q230">
        <f>IF(Clean_Data[[#This Row],[Order_Date]]="","",YEAR(Clean_Data[[#This Row],[Order_Date]]))</f>
        <v>2026</v>
      </c>
      <c r="R230" t="str">
        <f>TEXT(Clean_Data[[#This Row],[Order_Date]],"mmm")</f>
        <v>Mar</v>
      </c>
      <c r="S230" t="str">
        <f>TEXT(Clean_Data[[#This Row],[Order_Date]],"mmm-yy")</f>
        <v>Mar-26</v>
      </c>
      <c r="V230"/>
    </row>
    <row r="231" spans="1:22" x14ac:dyDescent="0.25">
      <c r="A231" t="s">
        <v>285</v>
      </c>
      <c r="B231" s="1">
        <v>45700</v>
      </c>
      <c r="C231" t="s">
        <v>12</v>
      </c>
      <c r="D231" t="s">
        <v>13</v>
      </c>
      <c r="E231" t="s">
        <v>63</v>
      </c>
      <c r="F231" t="s">
        <v>59</v>
      </c>
      <c r="G231">
        <v>9</v>
      </c>
      <c r="H231">
        <v>4500</v>
      </c>
      <c r="I231">
        <v>3220</v>
      </c>
      <c r="J231" t="s">
        <v>29</v>
      </c>
      <c r="K231" t="s">
        <v>23</v>
      </c>
      <c r="L231">
        <f>SUM(Clean_Data[[#This Row],[Units_Sold]]*Clean_Data[[#This Row],[Unit_Price]])</f>
        <v>40500</v>
      </c>
      <c r="M231">
        <f>Clean_Data[[#This Row],[Units_Sold]]*Clean_Data[[#This Row],[Cost_Price]]</f>
        <v>28980</v>
      </c>
      <c r="N231">
        <f>Clean_Data[[#This Row],[Total_Sales]]-Clean_Data[[#This Row],[Total_Cost]]</f>
        <v>11520</v>
      </c>
      <c r="O231" s="2">
        <f>Clean_Data[[#This Row],[Profit]]/Clean_Data[[#This Row],[Total_Sales]]</f>
        <v>0.28444444444444444</v>
      </c>
      <c r="P231" t="str">
        <f>_xlfn.XLOOKUP(Clean_Data[[#This Row],[Product_Code]],Product_Catalog!A:A,Product_Catalog!C:C)</f>
        <v>Electronics</v>
      </c>
      <c r="Q231">
        <f>IF(Clean_Data[[#This Row],[Order_Date]]="","",YEAR(Clean_Data[[#This Row],[Order_Date]]))</f>
        <v>2025</v>
      </c>
      <c r="R231" t="str">
        <f>TEXT(Clean_Data[[#This Row],[Order_Date]],"mmm")</f>
        <v>Feb</v>
      </c>
      <c r="S231" t="str">
        <f>TEXT(Clean_Data[[#This Row],[Order_Date]],"mmm-yy")</f>
        <v>Feb-25</v>
      </c>
      <c r="V231"/>
    </row>
    <row r="232" spans="1:22" x14ac:dyDescent="0.25">
      <c r="A232" t="s">
        <v>286</v>
      </c>
      <c r="B232" s="1">
        <v>46134</v>
      </c>
      <c r="C232" t="s">
        <v>44</v>
      </c>
      <c r="D232" t="s">
        <v>33</v>
      </c>
      <c r="E232" t="s">
        <v>66</v>
      </c>
      <c r="F232" t="s">
        <v>67</v>
      </c>
      <c r="G232">
        <v>3</v>
      </c>
      <c r="H232">
        <v>2500</v>
      </c>
      <c r="I232">
        <v>1740</v>
      </c>
      <c r="J232" t="s">
        <v>16</v>
      </c>
      <c r="K232" t="s">
        <v>17</v>
      </c>
      <c r="L232">
        <f>SUM(Clean_Data[[#This Row],[Units_Sold]]*Clean_Data[[#This Row],[Unit_Price]])</f>
        <v>7500</v>
      </c>
      <c r="M232">
        <f>Clean_Data[[#This Row],[Units_Sold]]*Clean_Data[[#This Row],[Cost_Price]]</f>
        <v>5220</v>
      </c>
      <c r="N232">
        <f>Clean_Data[[#This Row],[Total_Sales]]-Clean_Data[[#This Row],[Total_Cost]]</f>
        <v>2280</v>
      </c>
      <c r="O232" s="2">
        <f>Clean_Data[[#This Row],[Profit]]/Clean_Data[[#This Row],[Total_Sales]]</f>
        <v>0.30399999999999999</v>
      </c>
      <c r="P232" t="str">
        <f>_xlfn.XLOOKUP(Clean_Data[[#This Row],[Product_Code]],Product_Catalog!A:A,Product_Catalog!C:C)</f>
        <v>Electronics</v>
      </c>
      <c r="Q232">
        <f>IF(Clean_Data[[#This Row],[Order_Date]]="","",YEAR(Clean_Data[[#This Row],[Order_Date]]))</f>
        <v>2026</v>
      </c>
      <c r="R232" t="str">
        <f>TEXT(Clean_Data[[#This Row],[Order_Date]],"mmm")</f>
        <v>Apr</v>
      </c>
      <c r="S232" t="str">
        <f>TEXT(Clean_Data[[#This Row],[Order_Date]],"mmm-yy")</f>
        <v>Apr-26</v>
      </c>
      <c r="V232"/>
    </row>
    <row r="233" spans="1:22" x14ac:dyDescent="0.25">
      <c r="A233" t="s">
        <v>287</v>
      </c>
      <c r="B233" s="1">
        <v>45845</v>
      </c>
      <c r="C233" t="s">
        <v>44</v>
      </c>
      <c r="D233" t="s">
        <v>26</v>
      </c>
      <c r="E233" t="s">
        <v>55</v>
      </c>
      <c r="F233" t="s">
        <v>34</v>
      </c>
      <c r="G233">
        <v>13</v>
      </c>
      <c r="H233">
        <v>35000</v>
      </c>
      <c r="I233">
        <v>26601</v>
      </c>
      <c r="J233" t="s">
        <v>16</v>
      </c>
      <c r="K233" t="s">
        <v>23</v>
      </c>
      <c r="L233">
        <f>SUM(Clean_Data[[#This Row],[Units_Sold]]*Clean_Data[[#This Row],[Unit_Price]])</f>
        <v>455000</v>
      </c>
      <c r="M233">
        <f>Clean_Data[[#This Row],[Units_Sold]]*Clean_Data[[#This Row],[Cost_Price]]</f>
        <v>345813</v>
      </c>
      <c r="N233">
        <f>Clean_Data[[#This Row],[Total_Sales]]-Clean_Data[[#This Row],[Total_Cost]]</f>
        <v>109187</v>
      </c>
      <c r="O233" s="2">
        <f>Clean_Data[[#This Row],[Profit]]/Clean_Data[[#This Row],[Total_Sales]]</f>
        <v>0.23997142857142856</v>
      </c>
      <c r="P233" t="str">
        <f>_xlfn.XLOOKUP(Clean_Data[[#This Row],[Product_Code]],Product_Catalog!A:A,Product_Catalog!C:C)</f>
        <v>Furniture</v>
      </c>
      <c r="Q233">
        <f>IF(Clean_Data[[#This Row],[Order_Date]]="","",YEAR(Clean_Data[[#This Row],[Order_Date]]))</f>
        <v>2025</v>
      </c>
      <c r="R233" t="str">
        <f>TEXT(Clean_Data[[#This Row],[Order_Date]],"mmm")</f>
        <v>Jul</v>
      </c>
      <c r="S233" t="str">
        <f>TEXT(Clean_Data[[#This Row],[Order_Date]],"mmm-yy")</f>
        <v>Jul-25</v>
      </c>
      <c r="V233"/>
    </row>
    <row r="234" spans="1:22" x14ac:dyDescent="0.25">
      <c r="A234" t="s">
        <v>288</v>
      </c>
      <c r="B234" s="1">
        <v>46025</v>
      </c>
      <c r="C234" t="s">
        <v>44</v>
      </c>
      <c r="D234" t="s">
        <v>13</v>
      </c>
      <c r="E234" t="s">
        <v>63</v>
      </c>
      <c r="F234" t="s">
        <v>59</v>
      </c>
      <c r="G234">
        <v>17</v>
      </c>
      <c r="H234">
        <v>4500</v>
      </c>
      <c r="I234">
        <v>2921</v>
      </c>
      <c r="J234" t="s">
        <v>22</v>
      </c>
      <c r="K234" t="s">
        <v>17</v>
      </c>
      <c r="L234">
        <f>SUM(Clean_Data[[#This Row],[Units_Sold]]*Clean_Data[[#This Row],[Unit_Price]])</f>
        <v>76500</v>
      </c>
      <c r="M234">
        <f>Clean_Data[[#This Row],[Units_Sold]]*Clean_Data[[#This Row],[Cost_Price]]</f>
        <v>49657</v>
      </c>
      <c r="N234">
        <f>Clean_Data[[#This Row],[Total_Sales]]-Clean_Data[[#This Row],[Total_Cost]]</f>
        <v>26843</v>
      </c>
      <c r="O234" s="2">
        <f>Clean_Data[[#This Row],[Profit]]/Clean_Data[[#This Row],[Total_Sales]]</f>
        <v>0.35088888888888886</v>
      </c>
      <c r="P234" t="str">
        <f>_xlfn.XLOOKUP(Clean_Data[[#This Row],[Product_Code]],Product_Catalog!A:A,Product_Catalog!C:C)</f>
        <v>Electronics</v>
      </c>
      <c r="Q234">
        <f>IF(Clean_Data[[#This Row],[Order_Date]]="","",YEAR(Clean_Data[[#This Row],[Order_Date]]))</f>
        <v>2026</v>
      </c>
      <c r="R234" t="str">
        <f>TEXT(Clean_Data[[#This Row],[Order_Date]],"mmm")</f>
        <v>Jan</v>
      </c>
      <c r="S234" t="str">
        <f>TEXT(Clean_Data[[#This Row],[Order_Date]],"mmm-yy")</f>
        <v>Jan-26</v>
      </c>
      <c r="V234"/>
    </row>
    <row r="235" spans="1:22" x14ac:dyDescent="0.25">
      <c r="A235" t="s">
        <v>289</v>
      </c>
      <c r="B235" s="1">
        <v>46164</v>
      </c>
      <c r="C235" t="s">
        <v>44</v>
      </c>
      <c r="D235" t="s">
        <v>13</v>
      </c>
      <c r="E235" t="s">
        <v>14</v>
      </c>
      <c r="F235" t="s">
        <v>15</v>
      </c>
      <c r="G235">
        <v>5</v>
      </c>
      <c r="H235">
        <v>12500</v>
      </c>
      <c r="I235">
        <v>8493</v>
      </c>
      <c r="J235" t="s">
        <v>22</v>
      </c>
      <c r="K235" t="s">
        <v>17</v>
      </c>
      <c r="L235">
        <f>SUM(Clean_Data[[#This Row],[Units_Sold]]*Clean_Data[[#This Row],[Unit_Price]])</f>
        <v>62500</v>
      </c>
      <c r="M235">
        <f>Clean_Data[[#This Row],[Units_Sold]]*Clean_Data[[#This Row],[Cost_Price]]</f>
        <v>42465</v>
      </c>
      <c r="N235">
        <f>Clean_Data[[#This Row],[Total_Sales]]-Clean_Data[[#This Row],[Total_Cost]]</f>
        <v>20035</v>
      </c>
      <c r="O235" s="2">
        <f>Clean_Data[[#This Row],[Profit]]/Clean_Data[[#This Row],[Total_Sales]]</f>
        <v>0.32056000000000001</v>
      </c>
      <c r="P235" t="str">
        <f>_xlfn.XLOOKUP(Clean_Data[[#This Row],[Product_Code]],Product_Catalog!A:A,Product_Catalog!C:C)</f>
        <v>Accessories</v>
      </c>
      <c r="Q235">
        <f>IF(Clean_Data[[#This Row],[Order_Date]]="","",YEAR(Clean_Data[[#This Row],[Order_Date]]))</f>
        <v>2026</v>
      </c>
      <c r="R235" t="str">
        <f>TEXT(Clean_Data[[#This Row],[Order_Date]],"mmm")</f>
        <v>May</v>
      </c>
      <c r="S235" t="str">
        <f>TEXT(Clean_Data[[#This Row],[Order_Date]],"mmm-yy")</f>
        <v>May-26</v>
      </c>
      <c r="V235"/>
    </row>
    <row r="236" spans="1:22" x14ac:dyDescent="0.25">
      <c r="A236" t="s">
        <v>291</v>
      </c>
      <c r="B236" s="1">
        <v>45682</v>
      </c>
      <c r="C236" t="s">
        <v>19</v>
      </c>
      <c r="D236" t="s">
        <v>33</v>
      </c>
      <c r="E236" t="s">
        <v>49</v>
      </c>
      <c r="F236" t="s">
        <v>50</v>
      </c>
      <c r="G236">
        <v>18</v>
      </c>
      <c r="H236">
        <v>75000</v>
      </c>
      <c r="I236">
        <v>54946</v>
      </c>
      <c r="J236" t="s">
        <v>29</v>
      </c>
      <c r="K236" t="s">
        <v>23</v>
      </c>
      <c r="L236">
        <f>SUM(Clean_Data[[#This Row],[Units_Sold]]*Clean_Data[[#This Row],[Unit_Price]])</f>
        <v>1350000</v>
      </c>
      <c r="M236">
        <f>Clean_Data[[#This Row],[Units_Sold]]*Clean_Data[[#This Row],[Cost_Price]]</f>
        <v>989028</v>
      </c>
      <c r="N236">
        <f>Clean_Data[[#This Row],[Total_Sales]]-Clean_Data[[#This Row],[Total_Cost]]</f>
        <v>360972</v>
      </c>
      <c r="O236" s="2">
        <f>Clean_Data[[#This Row],[Profit]]/Clean_Data[[#This Row],[Total_Sales]]</f>
        <v>0.26738666666666666</v>
      </c>
      <c r="P236" t="str">
        <f>_xlfn.XLOOKUP(Clean_Data[[#This Row],[Product_Code]],Product_Catalog!A:A,Product_Catalog!C:C)</f>
        <v>Electronics</v>
      </c>
      <c r="Q236">
        <f>IF(Clean_Data[[#This Row],[Order_Date]]="","",YEAR(Clean_Data[[#This Row],[Order_Date]]))</f>
        <v>2025</v>
      </c>
      <c r="R236" t="str">
        <f>TEXT(Clean_Data[[#This Row],[Order_Date]],"mmm")</f>
        <v>Jan</v>
      </c>
      <c r="S236" t="str">
        <f>TEXT(Clean_Data[[#This Row],[Order_Date]],"mmm-yy")</f>
        <v>Jan-25</v>
      </c>
      <c r="V236"/>
    </row>
    <row r="237" spans="1:22" x14ac:dyDescent="0.25">
      <c r="A237" t="s">
        <v>292</v>
      </c>
      <c r="B237" s="1">
        <v>45747</v>
      </c>
      <c r="C237" t="s">
        <v>48</v>
      </c>
      <c r="D237" t="s">
        <v>13</v>
      </c>
      <c r="E237" t="s">
        <v>66</v>
      </c>
      <c r="F237" t="s">
        <v>67</v>
      </c>
      <c r="G237">
        <v>15</v>
      </c>
      <c r="H237">
        <v>2500</v>
      </c>
      <c r="I237">
        <v>1567</v>
      </c>
      <c r="J237" t="s">
        <v>45</v>
      </c>
      <c r="K237" t="s">
        <v>17</v>
      </c>
      <c r="L237">
        <f>SUM(Clean_Data[[#This Row],[Units_Sold]]*Clean_Data[[#This Row],[Unit_Price]])</f>
        <v>37500</v>
      </c>
      <c r="M237">
        <f>Clean_Data[[#This Row],[Units_Sold]]*Clean_Data[[#This Row],[Cost_Price]]</f>
        <v>23505</v>
      </c>
      <c r="N237">
        <f>Clean_Data[[#This Row],[Total_Sales]]-Clean_Data[[#This Row],[Total_Cost]]</f>
        <v>13995</v>
      </c>
      <c r="O237" s="2">
        <f>Clean_Data[[#This Row],[Profit]]/Clean_Data[[#This Row],[Total_Sales]]</f>
        <v>0.37319999999999998</v>
      </c>
      <c r="P237" t="str">
        <f>_xlfn.XLOOKUP(Clean_Data[[#This Row],[Product_Code]],Product_Catalog!A:A,Product_Catalog!C:C)</f>
        <v>Electronics</v>
      </c>
      <c r="Q237">
        <f>IF(Clean_Data[[#This Row],[Order_Date]]="","",YEAR(Clean_Data[[#This Row],[Order_Date]]))</f>
        <v>2025</v>
      </c>
      <c r="R237" t="str">
        <f>TEXT(Clean_Data[[#This Row],[Order_Date]],"mmm")</f>
        <v>Mar</v>
      </c>
      <c r="S237" t="str">
        <f>TEXT(Clean_Data[[#This Row],[Order_Date]],"mmm-yy")</f>
        <v>Mar-25</v>
      </c>
      <c r="V237"/>
    </row>
    <row r="238" spans="1:22" x14ac:dyDescent="0.25">
      <c r="A238" t="s">
        <v>293</v>
      </c>
      <c r="B238" s="1">
        <v>46209</v>
      </c>
      <c r="C238" t="s">
        <v>19</v>
      </c>
      <c r="D238" t="s">
        <v>36</v>
      </c>
      <c r="E238" t="s">
        <v>37</v>
      </c>
      <c r="F238" t="s">
        <v>38</v>
      </c>
      <c r="G238">
        <v>12</v>
      </c>
      <c r="H238">
        <v>55000</v>
      </c>
      <c r="I238">
        <v>43259</v>
      </c>
      <c r="J238" t="s">
        <v>16</v>
      </c>
      <c r="K238" t="s">
        <v>17</v>
      </c>
      <c r="L238">
        <f>SUM(Clean_Data[[#This Row],[Units_Sold]]*Clean_Data[[#This Row],[Unit_Price]])</f>
        <v>660000</v>
      </c>
      <c r="M238">
        <f>Clean_Data[[#This Row],[Units_Sold]]*Clean_Data[[#This Row],[Cost_Price]]</f>
        <v>519108</v>
      </c>
      <c r="N238">
        <f>Clean_Data[[#This Row],[Total_Sales]]-Clean_Data[[#This Row],[Total_Cost]]</f>
        <v>140892</v>
      </c>
      <c r="O238" s="2">
        <f>Clean_Data[[#This Row],[Profit]]/Clean_Data[[#This Row],[Total_Sales]]</f>
        <v>0.21347272727272729</v>
      </c>
      <c r="P238" t="str">
        <f>_xlfn.XLOOKUP(Clean_Data[[#This Row],[Product_Code]],Product_Catalog!A:A,Product_Catalog!C:C)</f>
        <v>Electronics</v>
      </c>
      <c r="Q238">
        <f>IF(Clean_Data[[#This Row],[Order_Date]]="","",YEAR(Clean_Data[[#This Row],[Order_Date]]))</f>
        <v>2026</v>
      </c>
      <c r="R238" t="str">
        <f>TEXT(Clean_Data[[#This Row],[Order_Date]],"mmm")</f>
        <v>Jul</v>
      </c>
      <c r="S238" t="str">
        <f>TEXT(Clean_Data[[#This Row],[Order_Date]],"mmm-yy")</f>
        <v>Jul-26</v>
      </c>
      <c r="V238"/>
    </row>
    <row r="239" spans="1:22" x14ac:dyDescent="0.25">
      <c r="A239" t="s">
        <v>294</v>
      </c>
      <c r="B239" s="1">
        <v>46051</v>
      </c>
      <c r="C239" t="s">
        <v>44</v>
      </c>
      <c r="D239" t="s">
        <v>13</v>
      </c>
      <c r="E239" t="s">
        <v>55</v>
      </c>
      <c r="F239" t="s">
        <v>34</v>
      </c>
      <c r="G239">
        <v>10</v>
      </c>
      <c r="H239">
        <v>35000</v>
      </c>
      <c r="I239">
        <v>25872</v>
      </c>
      <c r="J239" t="s">
        <v>16</v>
      </c>
      <c r="K239" t="s">
        <v>17</v>
      </c>
      <c r="L239">
        <f>SUM(Clean_Data[[#This Row],[Units_Sold]]*Clean_Data[[#This Row],[Unit_Price]])</f>
        <v>350000</v>
      </c>
      <c r="M239">
        <f>Clean_Data[[#This Row],[Units_Sold]]*Clean_Data[[#This Row],[Cost_Price]]</f>
        <v>258720</v>
      </c>
      <c r="N239">
        <f>Clean_Data[[#This Row],[Total_Sales]]-Clean_Data[[#This Row],[Total_Cost]]</f>
        <v>91280</v>
      </c>
      <c r="O239" s="2">
        <f>Clean_Data[[#This Row],[Profit]]/Clean_Data[[#This Row],[Total_Sales]]</f>
        <v>0.26079999999999998</v>
      </c>
      <c r="P239" t="str">
        <f>_xlfn.XLOOKUP(Clean_Data[[#This Row],[Product_Code]],Product_Catalog!A:A,Product_Catalog!C:C)</f>
        <v>Furniture</v>
      </c>
      <c r="Q239">
        <f>IF(Clean_Data[[#This Row],[Order_Date]]="","",YEAR(Clean_Data[[#This Row],[Order_Date]]))</f>
        <v>2026</v>
      </c>
      <c r="R239" t="str">
        <f>TEXT(Clean_Data[[#This Row],[Order_Date]],"mmm")</f>
        <v>Jan</v>
      </c>
      <c r="S239" t="str">
        <f>TEXT(Clean_Data[[#This Row],[Order_Date]],"mmm-yy")</f>
        <v>Jan-26</v>
      </c>
      <c r="V239"/>
    </row>
    <row r="240" spans="1:22" x14ac:dyDescent="0.25">
      <c r="A240" t="s">
        <v>295</v>
      </c>
      <c r="B240" s="1">
        <v>45991</v>
      </c>
      <c r="C240" t="s">
        <v>62</v>
      </c>
      <c r="D240" t="s">
        <v>40</v>
      </c>
      <c r="E240" t="s">
        <v>55</v>
      </c>
      <c r="F240" t="s">
        <v>34</v>
      </c>
      <c r="G240">
        <v>8</v>
      </c>
      <c r="H240">
        <v>35000</v>
      </c>
      <c r="I240">
        <v>22839</v>
      </c>
      <c r="J240" t="s">
        <v>45</v>
      </c>
      <c r="K240" t="s">
        <v>23</v>
      </c>
      <c r="L240">
        <f>SUM(Clean_Data[[#This Row],[Units_Sold]]*Clean_Data[[#This Row],[Unit_Price]])</f>
        <v>280000</v>
      </c>
      <c r="M240">
        <f>Clean_Data[[#This Row],[Units_Sold]]*Clean_Data[[#This Row],[Cost_Price]]</f>
        <v>182712</v>
      </c>
      <c r="N240">
        <f>Clean_Data[[#This Row],[Total_Sales]]-Clean_Data[[#This Row],[Total_Cost]]</f>
        <v>97288</v>
      </c>
      <c r="O240" s="2">
        <f>Clean_Data[[#This Row],[Profit]]/Clean_Data[[#This Row],[Total_Sales]]</f>
        <v>0.34745714285714285</v>
      </c>
      <c r="P240" t="str">
        <f>_xlfn.XLOOKUP(Clean_Data[[#This Row],[Product_Code]],Product_Catalog!A:A,Product_Catalog!C:C)</f>
        <v>Furniture</v>
      </c>
      <c r="Q240">
        <f>IF(Clean_Data[[#This Row],[Order_Date]]="","",YEAR(Clean_Data[[#This Row],[Order_Date]]))</f>
        <v>2025</v>
      </c>
      <c r="R240" t="str">
        <f>TEXT(Clean_Data[[#This Row],[Order_Date]],"mmm")</f>
        <v>Nov</v>
      </c>
      <c r="S240" t="str">
        <f>TEXT(Clean_Data[[#This Row],[Order_Date]],"mmm-yy")</f>
        <v>Nov-25</v>
      </c>
      <c r="V240"/>
    </row>
    <row r="241" spans="1:22" x14ac:dyDescent="0.25">
      <c r="A241" t="s">
        <v>296</v>
      </c>
      <c r="B241" s="1">
        <v>45948</v>
      </c>
      <c r="C241" t="s">
        <v>31</v>
      </c>
      <c r="D241" t="s">
        <v>33</v>
      </c>
      <c r="E241" t="s">
        <v>66</v>
      </c>
      <c r="F241" t="s">
        <v>67</v>
      </c>
      <c r="G241">
        <v>17</v>
      </c>
      <c r="H241">
        <v>2500</v>
      </c>
      <c r="I241">
        <v>1717</v>
      </c>
      <c r="J241" t="s">
        <v>16</v>
      </c>
      <c r="K241" t="s">
        <v>17</v>
      </c>
      <c r="L241">
        <f>SUM(Clean_Data[[#This Row],[Units_Sold]]*Clean_Data[[#This Row],[Unit_Price]])</f>
        <v>42500</v>
      </c>
      <c r="M241">
        <f>Clean_Data[[#This Row],[Units_Sold]]*Clean_Data[[#This Row],[Cost_Price]]</f>
        <v>29189</v>
      </c>
      <c r="N241">
        <f>Clean_Data[[#This Row],[Total_Sales]]-Clean_Data[[#This Row],[Total_Cost]]</f>
        <v>13311</v>
      </c>
      <c r="O241" s="2">
        <f>Clean_Data[[#This Row],[Profit]]/Clean_Data[[#This Row],[Total_Sales]]</f>
        <v>0.31319999999999998</v>
      </c>
      <c r="P241" t="str">
        <f>_xlfn.XLOOKUP(Clean_Data[[#This Row],[Product_Code]],Product_Catalog!A:A,Product_Catalog!C:C)</f>
        <v>Electronics</v>
      </c>
      <c r="Q241">
        <f>IF(Clean_Data[[#This Row],[Order_Date]]="","",YEAR(Clean_Data[[#This Row],[Order_Date]]))</f>
        <v>2025</v>
      </c>
      <c r="R241" t="str">
        <f>TEXT(Clean_Data[[#This Row],[Order_Date]],"mmm")</f>
        <v>Oct</v>
      </c>
      <c r="S241" t="str">
        <f>TEXT(Clean_Data[[#This Row],[Order_Date]],"mmm-yy")</f>
        <v>Oct-25</v>
      </c>
      <c r="V241"/>
    </row>
    <row r="242" spans="1:22" x14ac:dyDescent="0.25">
      <c r="A242" t="s">
        <v>297</v>
      </c>
      <c r="B242" s="1">
        <v>46240</v>
      </c>
      <c r="C242" t="s">
        <v>12</v>
      </c>
      <c r="D242" t="s">
        <v>40</v>
      </c>
      <c r="E242" t="s">
        <v>66</v>
      </c>
      <c r="F242" t="s">
        <v>67</v>
      </c>
      <c r="G242">
        <v>2</v>
      </c>
      <c r="H242">
        <v>2500</v>
      </c>
      <c r="I242">
        <v>1739</v>
      </c>
      <c r="J242" t="s">
        <v>45</v>
      </c>
      <c r="K242" t="s">
        <v>17</v>
      </c>
      <c r="L242">
        <f>SUM(Clean_Data[[#This Row],[Units_Sold]]*Clean_Data[[#This Row],[Unit_Price]])</f>
        <v>5000</v>
      </c>
      <c r="M242">
        <f>Clean_Data[[#This Row],[Units_Sold]]*Clean_Data[[#This Row],[Cost_Price]]</f>
        <v>3478</v>
      </c>
      <c r="N242">
        <f>Clean_Data[[#This Row],[Total_Sales]]-Clean_Data[[#This Row],[Total_Cost]]</f>
        <v>1522</v>
      </c>
      <c r="O242" s="2">
        <f>Clean_Data[[#This Row],[Profit]]/Clean_Data[[#This Row],[Total_Sales]]</f>
        <v>0.3044</v>
      </c>
      <c r="P242" t="str">
        <f>_xlfn.XLOOKUP(Clean_Data[[#This Row],[Product_Code]],Product_Catalog!A:A,Product_Catalog!C:C)</f>
        <v>Electronics</v>
      </c>
      <c r="Q242">
        <f>IF(Clean_Data[[#This Row],[Order_Date]]="","",YEAR(Clean_Data[[#This Row],[Order_Date]]))</f>
        <v>2026</v>
      </c>
      <c r="R242" t="str">
        <f>TEXT(Clean_Data[[#This Row],[Order_Date]],"mmm")</f>
        <v>Aug</v>
      </c>
      <c r="S242" t="str">
        <f>TEXT(Clean_Data[[#This Row],[Order_Date]],"mmm-yy")</f>
        <v>Aug-26</v>
      </c>
      <c r="V242"/>
    </row>
    <row r="243" spans="1:22" x14ac:dyDescent="0.25">
      <c r="A243" t="s">
        <v>298</v>
      </c>
      <c r="B243" s="1">
        <v>45847</v>
      </c>
      <c r="C243" t="s">
        <v>73</v>
      </c>
      <c r="D243" t="s">
        <v>40</v>
      </c>
      <c r="E243" t="s">
        <v>55</v>
      </c>
      <c r="F243" t="s">
        <v>34</v>
      </c>
      <c r="G243">
        <v>10</v>
      </c>
      <c r="H243">
        <v>35000</v>
      </c>
      <c r="I243">
        <v>22472</v>
      </c>
      <c r="J243" t="s">
        <v>45</v>
      </c>
      <c r="K243" t="s">
        <v>46</v>
      </c>
      <c r="L243">
        <f>SUM(Clean_Data[[#This Row],[Units_Sold]]*Clean_Data[[#This Row],[Unit_Price]])</f>
        <v>350000</v>
      </c>
      <c r="M243">
        <f>Clean_Data[[#This Row],[Units_Sold]]*Clean_Data[[#This Row],[Cost_Price]]</f>
        <v>224720</v>
      </c>
      <c r="N243">
        <f>Clean_Data[[#This Row],[Total_Sales]]-Clean_Data[[#This Row],[Total_Cost]]</f>
        <v>125280</v>
      </c>
      <c r="O243" s="2">
        <f>Clean_Data[[#This Row],[Profit]]/Clean_Data[[#This Row],[Total_Sales]]</f>
        <v>0.35794285714285712</v>
      </c>
      <c r="P243" t="str">
        <f>_xlfn.XLOOKUP(Clean_Data[[#This Row],[Product_Code]],Product_Catalog!A:A,Product_Catalog!C:C)</f>
        <v>Furniture</v>
      </c>
      <c r="Q243">
        <f>IF(Clean_Data[[#This Row],[Order_Date]]="","",YEAR(Clean_Data[[#This Row],[Order_Date]]))</f>
        <v>2025</v>
      </c>
      <c r="R243" t="str">
        <f>TEXT(Clean_Data[[#This Row],[Order_Date]],"mmm")</f>
        <v>Jul</v>
      </c>
      <c r="S243" t="str">
        <f>TEXT(Clean_Data[[#This Row],[Order_Date]],"mmm-yy")</f>
        <v>Jul-25</v>
      </c>
      <c r="V243"/>
    </row>
    <row r="244" spans="1:22" x14ac:dyDescent="0.25">
      <c r="A244" t="s">
        <v>299</v>
      </c>
      <c r="B244" s="1">
        <v>46077</v>
      </c>
      <c r="C244" t="s">
        <v>12</v>
      </c>
      <c r="D244" t="s">
        <v>40</v>
      </c>
      <c r="E244" t="s">
        <v>63</v>
      </c>
      <c r="F244" t="s">
        <v>59</v>
      </c>
      <c r="G244">
        <v>6</v>
      </c>
      <c r="H244">
        <v>4500</v>
      </c>
      <c r="I244">
        <v>3493</v>
      </c>
      <c r="J244" t="s">
        <v>29</v>
      </c>
      <c r="K244" t="s">
        <v>46</v>
      </c>
      <c r="L244">
        <f>SUM(Clean_Data[[#This Row],[Units_Sold]]*Clean_Data[[#This Row],[Unit_Price]])</f>
        <v>27000</v>
      </c>
      <c r="M244">
        <f>Clean_Data[[#This Row],[Units_Sold]]*Clean_Data[[#This Row],[Cost_Price]]</f>
        <v>20958</v>
      </c>
      <c r="N244">
        <f>Clean_Data[[#This Row],[Total_Sales]]-Clean_Data[[#This Row],[Total_Cost]]</f>
        <v>6042</v>
      </c>
      <c r="O244" s="2">
        <f>Clean_Data[[#This Row],[Profit]]/Clean_Data[[#This Row],[Total_Sales]]</f>
        <v>0.22377777777777777</v>
      </c>
      <c r="P244" t="str">
        <f>_xlfn.XLOOKUP(Clean_Data[[#This Row],[Product_Code]],Product_Catalog!A:A,Product_Catalog!C:C)</f>
        <v>Electronics</v>
      </c>
      <c r="Q244">
        <f>IF(Clean_Data[[#This Row],[Order_Date]]="","",YEAR(Clean_Data[[#This Row],[Order_Date]]))</f>
        <v>2026</v>
      </c>
      <c r="R244" t="str">
        <f>TEXT(Clean_Data[[#This Row],[Order_Date]],"mmm")</f>
        <v>Feb</v>
      </c>
      <c r="S244" t="str">
        <f>TEXT(Clean_Data[[#This Row],[Order_Date]],"mmm-yy")</f>
        <v>Feb-26</v>
      </c>
      <c r="V244"/>
    </row>
    <row r="245" spans="1:22" x14ac:dyDescent="0.25">
      <c r="A245" t="s">
        <v>300</v>
      </c>
      <c r="B245" s="1">
        <v>45911</v>
      </c>
      <c r="C245" t="s">
        <v>25</v>
      </c>
      <c r="D245" t="s">
        <v>36</v>
      </c>
      <c r="E245" t="s">
        <v>37</v>
      </c>
      <c r="F245" t="s">
        <v>38</v>
      </c>
      <c r="G245">
        <v>5</v>
      </c>
      <c r="H245">
        <v>55000</v>
      </c>
      <c r="I245">
        <v>39006</v>
      </c>
      <c r="J245" t="s">
        <v>45</v>
      </c>
      <c r="K245" t="s">
        <v>23</v>
      </c>
      <c r="L245">
        <f>SUM(Clean_Data[[#This Row],[Units_Sold]]*Clean_Data[[#This Row],[Unit_Price]])</f>
        <v>275000</v>
      </c>
      <c r="M245">
        <f>Clean_Data[[#This Row],[Units_Sold]]*Clean_Data[[#This Row],[Cost_Price]]</f>
        <v>195030</v>
      </c>
      <c r="N245">
        <f>Clean_Data[[#This Row],[Total_Sales]]-Clean_Data[[#This Row],[Total_Cost]]</f>
        <v>79970</v>
      </c>
      <c r="O245" s="2">
        <f>Clean_Data[[#This Row],[Profit]]/Clean_Data[[#This Row],[Total_Sales]]</f>
        <v>0.2908</v>
      </c>
      <c r="P245" t="str">
        <f>_xlfn.XLOOKUP(Clean_Data[[#This Row],[Product_Code]],Product_Catalog!A:A,Product_Catalog!C:C)</f>
        <v>Electronics</v>
      </c>
      <c r="Q245">
        <f>IF(Clean_Data[[#This Row],[Order_Date]]="","",YEAR(Clean_Data[[#This Row],[Order_Date]]))</f>
        <v>2025</v>
      </c>
      <c r="R245" t="str">
        <f>TEXT(Clean_Data[[#This Row],[Order_Date]],"mmm")</f>
        <v>Sep</v>
      </c>
      <c r="S245" t="str">
        <f>TEXT(Clean_Data[[#This Row],[Order_Date]],"mmm-yy")</f>
        <v>Sep-25</v>
      </c>
      <c r="V245"/>
    </row>
    <row r="246" spans="1:22" x14ac:dyDescent="0.25">
      <c r="A246" t="s">
        <v>301</v>
      </c>
      <c r="B246" s="1">
        <v>46103</v>
      </c>
      <c r="C246" t="s">
        <v>62</v>
      </c>
      <c r="D246" t="s">
        <v>13</v>
      </c>
      <c r="E246" t="s">
        <v>41</v>
      </c>
      <c r="F246" t="s">
        <v>42</v>
      </c>
      <c r="G246">
        <v>1</v>
      </c>
      <c r="H246">
        <v>28000</v>
      </c>
      <c r="I246">
        <v>19591</v>
      </c>
      <c r="J246" t="s">
        <v>29</v>
      </c>
      <c r="K246" t="s">
        <v>23</v>
      </c>
      <c r="L246">
        <f>SUM(Clean_Data[[#This Row],[Units_Sold]]*Clean_Data[[#This Row],[Unit_Price]])</f>
        <v>28000</v>
      </c>
      <c r="M246">
        <f>Clean_Data[[#This Row],[Units_Sold]]*Clean_Data[[#This Row],[Cost_Price]]</f>
        <v>19591</v>
      </c>
      <c r="N246">
        <f>Clean_Data[[#This Row],[Total_Sales]]-Clean_Data[[#This Row],[Total_Cost]]</f>
        <v>8409</v>
      </c>
      <c r="O246" s="2">
        <f>Clean_Data[[#This Row],[Profit]]/Clean_Data[[#This Row],[Total_Sales]]</f>
        <v>0.30032142857142857</v>
      </c>
      <c r="P246" t="str">
        <f>_xlfn.XLOOKUP(Clean_Data[[#This Row],[Product_Code]],Product_Catalog!A:A,Product_Catalog!C:C)</f>
        <v>Electronics</v>
      </c>
      <c r="Q246">
        <f>IF(Clean_Data[[#This Row],[Order_Date]]="","",YEAR(Clean_Data[[#This Row],[Order_Date]]))</f>
        <v>2026</v>
      </c>
      <c r="R246" t="str">
        <f>TEXT(Clean_Data[[#This Row],[Order_Date]],"mmm")</f>
        <v>Mar</v>
      </c>
      <c r="S246" t="str">
        <f>TEXT(Clean_Data[[#This Row],[Order_Date]],"mmm-yy")</f>
        <v>Mar-26</v>
      </c>
      <c r="V246"/>
    </row>
    <row r="247" spans="1:22" x14ac:dyDescent="0.25">
      <c r="A247" t="s">
        <v>302</v>
      </c>
      <c r="B247" s="1">
        <v>45809</v>
      </c>
      <c r="C247" t="s">
        <v>48</v>
      </c>
      <c r="D247" t="s">
        <v>40</v>
      </c>
      <c r="E247" t="s">
        <v>20</v>
      </c>
      <c r="F247" t="s">
        <v>21</v>
      </c>
      <c r="G247">
        <v>11</v>
      </c>
      <c r="H247">
        <v>8500</v>
      </c>
      <c r="I247">
        <v>6466</v>
      </c>
      <c r="J247" t="s">
        <v>29</v>
      </c>
      <c r="K247" t="s">
        <v>23</v>
      </c>
      <c r="L247">
        <f>SUM(Clean_Data[[#This Row],[Units_Sold]]*Clean_Data[[#This Row],[Unit_Price]])</f>
        <v>93500</v>
      </c>
      <c r="M247">
        <f>Clean_Data[[#This Row],[Units_Sold]]*Clean_Data[[#This Row],[Cost_Price]]</f>
        <v>71126</v>
      </c>
      <c r="N247">
        <f>Clean_Data[[#This Row],[Total_Sales]]-Clean_Data[[#This Row],[Total_Cost]]</f>
        <v>22374</v>
      </c>
      <c r="O247" s="2">
        <f>Clean_Data[[#This Row],[Profit]]/Clean_Data[[#This Row],[Total_Sales]]</f>
        <v>0.23929411764705882</v>
      </c>
      <c r="P247" t="str">
        <f>_xlfn.XLOOKUP(Clean_Data[[#This Row],[Product_Code]],Product_Catalog!A:A,Product_Catalog!C:C)</f>
        <v>Accessories</v>
      </c>
      <c r="Q247">
        <f>IF(Clean_Data[[#This Row],[Order_Date]]="","",YEAR(Clean_Data[[#This Row],[Order_Date]]))</f>
        <v>2025</v>
      </c>
      <c r="R247" t="str">
        <f>TEXT(Clean_Data[[#This Row],[Order_Date]],"mmm")</f>
        <v>Jun</v>
      </c>
      <c r="S247" t="str">
        <f>TEXT(Clean_Data[[#This Row],[Order_Date]],"mmm-yy")</f>
        <v>Jun-25</v>
      </c>
      <c r="V247"/>
    </row>
    <row r="248" spans="1:22" x14ac:dyDescent="0.25">
      <c r="A248" t="s">
        <v>303</v>
      </c>
      <c r="B248" s="1">
        <v>46106</v>
      </c>
      <c r="C248" t="s">
        <v>44</v>
      </c>
      <c r="D248" t="s">
        <v>40</v>
      </c>
      <c r="E248" t="s">
        <v>49</v>
      </c>
      <c r="F248" t="s">
        <v>50</v>
      </c>
      <c r="G248">
        <v>16</v>
      </c>
      <c r="H248">
        <v>75000</v>
      </c>
      <c r="I248">
        <v>48240</v>
      </c>
      <c r="J248" t="s">
        <v>22</v>
      </c>
      <c r="K248" t="s">
        <v>23</v>
      </c>
      <c r="L248">
        <f>SUM(Clean_Data[[#This Row],[Units_Sold]]*Clean_Data[[#This Row],[Unit_Price]])</f>
        <v>1200000</v>
      </c>
      <c r="M248">
        <f>Clean_Data[[#This Row],[Units_Sold]]*Clean_Data[[#This Row],[Cost_Price]]</f>
        <v>771840</v>
      </c>
      <c r="N248">
        <f>Clean_Data[[#This Row],[Total_Sales]]-Clean_Data[[#This Row],[Total_Cost]]</f>
        <v>428160</v>
      </c>
      <c r="O248" s="2">
        <f>Clean_Data[[#This Row],[Profit]]/Clean_Data[[#This Row],[Total_Sales]]</f>
        <v>0.35680000000000001</v>
      </c>
      <c r="P248" t="str">
        <f>_xlfn.XLOOKUP(Clean_Data[[#This Row],[Product_Code]],Product_Catalog!A:A,Product_Catalog!C:C)</f>
        <v>Electronics</v>
      </c>
      <c r="Q248">
        <f>IF(Clean_Data[[#This Row],[Order_Date]]="","",YEAR(Clean_Data[[#This Row],[Order_Date]]))</f>
        <v>2026</v>
      </c>
      <c r="R248" t="str">
        <f>TEXT(Clean_Data[[#This Row],[Order_Date]],"mmm")</f>
        <v>Mar</v>
      </c>
      <c r="S248" t="str">
        <f>TEXT(Clean_Data[[#This Row],[Order_Date]],"mmm-yy")</f>
        <v>Mar-26</v>
      </c>
      <c r="V248"/>
    </row>
    <row r="249" spans="1:22" x14ac:dyDescent="0.25">
      <c r="A249" t="s">
        <v>304</v>
      </c>
      <c r="B249" s="1">
        <v>45946</v>
      </c>
      <c r="C249" t="s">
        <v>12</v>
      </c>
      <c r="D249" t="s">
        <v>13</v>
      </c>
      <c r="E249" t="s">
        <v>66</v>
      </c>
      <c r="F249" t="s">
        <v>67</v>
      </c>
      <c r="G249">
        <v>1</v>
      </c>
      <c r="H249">
        <v>2500</v>
      </c>
      <c r="I249">
        <v>1537</v>
      </c>
      <c r="J249" t="s">
        <v>16</v>
      </c>
      <c r="K249" t="s">
        <v>23</v>
      </c>
      <c r="L249">
        <f>SUM(Clean_Data[[#This Row],[Units_Sold]]*Clean_Data[[#This Row],[Unit_Price]])</f>
        <v>2500</v>
      </c>
      <c r="M249">
        <f>Clean_Data[[#This Row],[Units_Sold]]*Clean_Data[[#This Row],[Cost_Price]]</f>
        <v>1537</v>
      </c>
      <c r="N249">
        <f>Clean_Data[[#This Row],[Total_Sales]]-Clean_Data[[#This Row],[Total_Cost]]</f>
        <v>963</v>
      </c>
      <c r="O249" s="2">
        <f>Clean_Data[[#This Row],[Profit]]/Clean_Data[[#This Row],[Total_Sales]]</f>
        <v>0.38519999999999999</v>
      </c>
      <c r="P249" t="str">
        <f>_xlfn.XLOOKUP(Clean_Data[[#This Row],[Product_Code]],Product_Catalog!A:A,Product_Catalog!C:C)</f>
        <v>Electronics</v>
      </c>
      <c r="Q249">
        <f>IF(Clean_Data[[#This Row],[Order_Date]]="","",YEAR(Clean_Data[[#This Row],[Order_Date]]))</f>
        <v>2025</v>
      </c>
      <c r="R249" t="str">
        <f>TEXT(Clean_Data[[#This Row],[Order_Date]],"mmm")</f>
        <v>Oct</v>
      </c>
      <c r="S249" t="str">
        <f>TEXT(Clean_Data[[#This Row],[Order_Date]],"mmm-yy")</f>
        <v>Oct-25</v>
      </c>
      <c r="V249"/>
    </row>
    <row r="250" spans="1:22" x14ac:dyDescent="0.25">
      <c r="A250" t="s">
        <v>305</v>
      </c>
      <c r="B250" s="1">
        <v>46005</v>
      </c>
      <c r="C250" t="s">
        <v>44</v>
      </c>
      <c r="D250" t="s">
        <v>40</v>
      </c>
      <c r="E250" t="s">
        <v>20</v>
      </c>
      <c r="F250" t="s">
        <v>21</v>
      </c>
      <c r="G250">
        <v>16</v>
      </c>
      <c r="H250">
        <v>8500</v>
      </c>
      <c r="I250">
        <v>5465</v>
      </c>
      <c r="J250" t="s">
        <v>22</v>
      </c>
      <c r="K250" t="s">
        <v>46</v>
      </c>
      <c r="L250">
        <f>SUM(Clean_Data[[#This Row],[Units_Sold]]*Clean_Data[[#This Row],[Unit_Price]])</f>
        <v>136000</v>
      </c>
      <c r="M250">
        <f>Clean_Data[[#This Row],[Units_Sold]]*Clean_Data[[#This Row],[Cost_Price]]</f>
        <v>87440</v>
      </c>
      <c r="N250">
        <f>Clean_Data[[#This Row],[Total_Sales]]-Clean_Data[[#This Row],[Total_Cost]]</f>
        <v>48560</v>
      </c>
      <c r="O250" s="2">
        <f>Clean_Data[[#This Row],[Profit]]/Clean_Data[[#This Row],[Total_Sales]]</f>
        <v>0.35705882352941176</v>
      </c>
      <c r="P250" t="str">
        <f>_xlfn.XLOOKUP(Clean_Data[[#This Row],[Product_Code]],Product_Catalog!A:A,Product_Catalog!C:C)</f>
        <v>Accessories</v>
      </c>
      <c r="Q250">
        <f>IF(Clean_Data[[#This Row],[Order_Date]]="","",YEAR(Clean_Data[[#This Row],[Order_Date]]))</f>
        <v>2025</v>
      </c>
      <c r="R250" t="str">
        <f>TEXT(Clean_Data[[#This Row],[Order_Date]],"mmm")</f>
        <v>Dec</v>
      </c>
      <c r="S250" t="str">
        <f>TEXT(Clean_Data[[#This Row],[Order_Date]],"mmm-yy")</f>
        <v>Dec-25</v>
      </c>
      <c r="V250"/>
    </row>
    <row r="251" spans="1:22" x14ac:dyDescent="0.25">
      <c r="A251" t="s">
        <v>306</v>
      </c>
      <c r="B251" s="1">
        <v>46112</v>
      </c>
      <c r="C251" t="s">
        <v>53</v>
      </c>
      <c r="D251" t="s">
        <v>36</v>
      </c>
      <c r="E251" t="s">
        <v>20</v>
      </c>
      <c r="F251" t="s">
        <v>21</v>
      </c>
      <c r="G251">
        <v>9</v>
      </c>
      <c r="H251">
        <v>8500</v>
      </c>
      <c r="I251">
        <v>6425</v>
      </c>
      <c r="J251" t="s">
        <v>22</v>
      </c>
      <c r="K251" t="s">
        <v>17</v>
      </c>
      <c r="L251">
        <f>SUM(Clean_Data[[#This Row],[Units_Sold]]*Clean_Data[[#This Row],[Unit_Price]])</f>
        <v>76500</v>
      </c>
      <c r="M251">
        <f>Clean_Data[[#This Row],[Units_Sold]]*Clean_Data[[#This Row],[Cost_Price]]</f>
        <v>57825</v>
      </c>
      <c r="N251">
        <f>Clean_Data[[#This Row],[Total_Sales]]-Clean_Data[[#This Row],[Total_Cost]]</f>
        <v>18675</v>
      </c>
      <c r="O251" s="2">
        <f>Clean_Data[[#This Row],[Profit]]/Clean_Data[[#This Row],[Total_Sales]]</f>
        <v>0.24411764705882352</v>
      </c>
      <c r="P251" t="str">
        <f>_xlfn.XLOOKUP(Clean_Data[[#This Row],[Product_Code]],Product_Catalog!A:A,Product_Catalog!C:C)</f>
        <v>Accessories</v>
      </c>
      <c r="Q251">
        <f>IF(Clean_Data[[#This Row],[Order_Date]]="","",YEAR(Clean_Data[[#This Row],[Order_Date]]))</f>
        <v>2026</v>
      </c>
      <c r="R251" t="str">
        <f>TEXT(Clean_Data[[#This Row],[Order_Date]],"mmm")</f>
        <v>Mar</v>
      </c>
      <c r="S251" t="str">
        <f>TEXT(Clean_Data[[#This Row],[Order_Date]],"mmm-yy")</f>
        <v>Mar-26</v>
      </c>
      <c r="V251"/>
    </row>
    <row r="252" spans="1:22" x14ac:dyDescent="0.25">
      <c r="A252" t="s">
        <v>307</v>
      </c>
      <c r="B252" s="1">
        <v>46035</v>
      </c>
      <c r="C252" t="s">
        <v>53</v>
      </c>
      <c r="D252" t="s">
        <v>36</v>
      </c>
      <c r="E252" t="s">
        <v>66</v>
      </c>
      <c r="F252" t="s">
        <v>67</v>
      </c>
      <c r="G252">
        <v>15</v>
      </c>
      <c r="H252">
        <v>2500</v>
      </c>
      <c r="I252">
        <v>1830</v>
      </c>
      <c r="J252" t="s">
        <v>29</v>
      </c>
      <c r="K252" t="s">
        <v>17</v>
      </c>
      <c r="L252">
        <f>SUM(Clean_Data[[#This Row],[Units_Sold]]*Clean_Data[[#This Row],[Unit_Price]])</f>
        <v>37500</v>
      </c>
      <c r="M252">
        <f>Clean_Data[[#This Row],[Units_Sold]]*Clean_Data[[#This Row],[Cost_Price]]</f>
        <v>27450</v>
      </c>
      <c r="N252">
        <f>Clean_Data[[#This Row],[Total_Sales]]-Clean_Data[[#This Row],[Total_Cost]]</f>
        <v>10050</v>
      </c>
      <c r="O252" s="2">
        <f>Clean_Data[[#This Row],[Profit]]/Clean_Data[[#This Row],[Total_Sales]]</f>
        <v>0.26800000000000002</v>
      </c>
      <c r="P252" t="str">
        <f>_xlfn.XLOOKUP(Clean_Data[[#This Row],[Product_Code]],Product_Catalog!A:A,Product_Catalog!C:C)</f>
        <v>Electronics</v>
      </c>
      <c r="Q252">
        <f>IF(Clean_Data[[#This Row],[Order_Date]]="","",YEAR(Clean_Data[[#This Row],[Order_Date]]))</f>
        <v>2026</v>
      </c>
      <c r="R252" t="str">
        <f>TEXT(Clean_Data[[#This Row],[Order_Date]],"mmm")</f>
        <v>Jan</v>
      </c>
      <c r="S252" t="str">
        <f>TEXT(Clean_Data[[#This Row],[Order_Date]],"mmm-yy")</f>
        <v>Jan-26</v>
      </c>
      <c r="V252"/>
    </row>
    <row r="253" spans="1:22" x14ac:dyDescent="0.25">
      <c r="A253" t="s">
        <v>308</v>
      </c>
      <c r="B253" s="1">
        <v>45869</v>
      </c>
      <c r="C253" t="s">
        <v>53</v>
      </c>
      <c r="D253" t="s">
        <v>36</v>
      </c>
      <c r="E253" t="s">
        <v>66</v>
      </c>
      <c r="F253" t="s">
        <v>67</v>
      </c>
      <c r="G253">
        <v>18</v>
      </c>
      <c r="H253">
        <v>2500</v>
      </c>
      <c r="I253">
        <v>1978</v>
      </c>
      <c r="J253" t="s">
        <v>45</v>
      </c>
      <c r="K253" t="s">
        <v>17</v>
      </c>
      <c r="L253">
        <f>SUM(Clean_Data[[#This Row],[Units_Sold]]*Clean_Data[[#This Row],[Unit_Price]])</f>
        <v>45000</v>
      </c>
      <c r="M253">
        <f>Clean_Data[[#This Row],[Units_Sold]]*Clean_Data[[#This Row],[Cost_Price]]</f>
        <v>35604</v>
      </c>
      <c r="N253">
        <f>Clean_Data[[#This Row],[Total_Sales]]-Clean_Data[[#This Row],[Total_Cost]]</f>
        <v>9396</v>
      </c>
      <c r="O253" s="2">
        <f>Clean_Data[[#This Row],[Profit]]/Clean_Data[[#This Row],[Total_Sales]]</f>
        <v>0.20880000000000001</v>
      </c>
      <c r="P253" t="str">
        <f>_xlfn.XLOOKUP(Clean_Data[[#This Row],[Product_Code]],Product_Catalog!A:A,Product_Catalog!C:C)</f>
        <v>Electronics</v>
      </c>
      <c r="Q253">
        <f>IF(Clean_Data[[#This Row],[Order_Date]]="","",YEAR(Clean_Data[[#This Row],[Order_Date]]))</f>
        <v>2025</v>
      </c>
      <c r="R253" t="str">
        <f>TEXT(Clean_Data[[#This Row],[Order_Date]],"mmm")</f>
        <v>Jul</v>
      </c>
      <c r="S253" t="str">
        <f>TEXT(Clean_Data[[#This Row],[Order_Date]],"mmm-yy")</f>
        <v>Jul-25</v>
      </c>
      <c r="V253"/>
    </row>
    <row r="254" spans="1:22" x14ac:dyDescent="0.25">
      <c r="A254" t="s">
        <v>309</v>
      </c>
      <c r="B254" s="1">
        <v>46059</v>
      </c>
      <c r="C254" t="s">
        <v>73</v>
      </c>
      <c r="D254" t="s">
        <v>40</v>
      </c>
      <c r="E254" t="s">
        <v>49</v>
      </c>
      <c r="F254" t="s">
        <v>50</v>
      </c>
      <c r="G254">
        <v>13</v>
      </c>
      <c r="H254">
        <v>75000</v>
      </c>
      <c r="I254">
        <v>47690</v>
      </c>
      <c r="J254" t="s">
        <v>45</v>
      </c>
      <c r="K254" t="s">
        <v>23</v>
      </c>
      <c r="L254">
        <f>SUM(Clean_Data[[#This Row],[Units_Sold]]*Clean_Data[[#This Row],[Unit_Price]])</f>
        <v>975000</v>
      </c>
      <c r="M254">
        <f>Clean_Data[[#This Row],[Units_Sold]]*Clean_Data[[#This Row],[Cost_Price]]</f>
        <v>619970</v>
      </c>
      <c r="N254">
        <f>Clean_Data[[#This Row],[Total_Sales]]-Clean_Data[[#This Row],[Total_Cost]]</f>
        <v>355030</v>
      </c>
      <c r="O254" s="2">
        <f>Clean_Data[[#This Row],[Profit]]/Clean_Data[[#This Row],[Total_Sales]]</f>
        <v>0.36413333333333331</v>
      </c>
      <c r="P254" t="str">
        <f>_xlfn.XLOOKUP(Clean_Data[[#This Row],[Product_Code]],Product_Catalog!A:A,Product_Catalog!C:C)</f>
        <v>Electronics</v>
      </c>
      <c r="Q254">
        <f>IF(Clean_Data[[#This Row],[Order_Date]]="","",YEAR(Clean_Data[[#This Row],[Order_Date]]))</f>
        <v>2026</v>
      </c>
      <c r="R254" t="str">
        <f>TEXT(Clean_Data[[#This Row],[Order_Date]],"mmm")</f>
        <v>Feb</v>
      </c>
      <c r="S254" t="str">
        <f>TEXT(Clean_Data[[#This Row],[Order_Date]],"mmm-yy")</f>
        <v>Feb-26</v>
      </c>
      <c r="V254"/>
    </row>
    <row r="255" spans="1:22" x14ac:dyDescent="0.25">
      <c r="A255" t="s">
        <v>310</v>
      </c>
      <c r="B255" s="1">
        <v>45900</v>
      </c>
      <c r="C255" t="s">
        <v>48</v>
      </c>
      <c r="D255" t="s">
        <v>13</v>
      </c>
      <c r="E255" t="s">
        <v>41</v>
      </c>
      <c r="F255" t="s">
        <v>42</v>
      </c>
      <c r="G255">
        <v>9</v>
      </c>
      <c r="H255">
        <v>28000</v>
      </c>
      <c r="I255">
        <v>17497</v>
      </c>
      <c r="J255" t="s">
        <v>29</v>
      </c>
      <c r="K255" t="s">
        <v>23</v>
      </c>
      <c r="L255">
        <f>SUM(Clean_Data[[#This Row],[Units_Sold]]*Clean_Data[[#This Row],[Unit_Price]])</f>
        <v>252000</v>
      </c>
      <c r="M255">
        <f>Clean_Data[[#This Row],[Units_Sold]]*Clean_Data[[#This Row],[Cost_Price]]</f>
        <v>157473</v>
      </c>
      <c r="N255">
        <f>Clean_Data[[#This Row],[Total_Sales]]-Clean_Data[[#This Row],[Total_Cost]]</f>
        <v>94527</v>
      </c>
      <c r="O255" s="2">
        <f>Clean_Data[[#This Row],[Profit]]/Clean_Data[[#This Row],[Total_Sales]]</f>
        <v>0.37510714285714286</v>
      </c>
      <c r="P255" t="str">
        <f>_xlfn.XLOOKUP(Clean_Data[[#This Row],[Product_Code]],Product_Catalog!A:A,Product_Catalog!C:C)</f>
        <v>Electronics</v>
      </c>
      <c r="Q255">
        <f>IF(Clean_Data[[#This Row],[Order_Date]]="","",YEAR(Clean_Data[[#This Row],[Order_Date]]))</f>
        <v>2025</v>
      </c>
      <c r="R255" t="str">
        <f>TEXT(Clean_Data[[#This Row],[Order_Date]],"mmm")</f>
        <v>Aug</v>
      </c>
      <c r="S255" t="str">
        <f>TEXT(Clean_Data[[#This Row],[Order_Date]],"mmm-yy")</f>
        <v>Aug-25</v>
      </c>
      <c r="V255"/>
    </row>
    <row r="256" spans="1:22" x14ac:dyDescent="0.25">
      <c r="A256" t="s">
        <v>311</v>
      </c>
      <c r="B256" s="1">
        <v>46237</v>
      </c>
      <c r="C256" t="s">
        <v>48</v>
      </c>
      <c r="D256" t="s">
        <v>36</v>
      </c>
      <c r="E256" t="s">
        <v>41</v>
      </c>
      <c r="F256" t="s">
        <v>42</v>
      </c>
      <c r="G256">
        <v>4</v>
      </c>
      <c r="H256">
        <v>28000</v>
      </c>
      <c r="I256">
        <v>18106</v>
      </c>
      <c r="J256" t="s">
        <v>22</v>
      </c>
      <c r="K256" t="s">
        <v>17</v>
      </c>
      <c r="L256">
        <f>SUM(Clean_Data[[#This Row],[Units_Sold]]*Clean_Data[[#This Row],[Unit_Price]])</f>
        <v>112000</v>
      </c>
      <c r="M256">
        <f>Clean_Data[[#This Row],[Units_Sold]]*Clean_Data[[#This Row],[Cost_Price]]</f>
        <v>72424</v>
      </c>
      <c r="N256">
        <f>Clean_Data[[#This Row],[Total_Sales]]-Clean_Data[[#This Row],[Total_Cost]]</f>
        <v>39576</v>
      </c>
      <c r="O256" s="2">
        <f>Clean_Data[[#This Row],[Profit]]/Clean_Data[[#This Row],[Total_Sales]]</f>
        <v>0.35335714285714287</v>
      </c>
      <c r="P256" t="str">
        <f>_xlfn.XLOOKUP(Clean_Data[[#This Row],[Product_Code]],Product_Catalog!A:A,Product_Catalog!C:C)</f>
        <v>Electronics</v>
      </c>
      <c r="Q256">
        <f>IF(Clean_Data[[#This Row],[Order_Date]]="","",YEAR(Clean_Data[[#This Row],[Order_Date]]))</f>
        <v>2026</v>
      </c>
      <c r="R256" t="str">
        <f>TEXT(Clean_Data[[#This Row],[Order_Date]],"mmm")</f>
        <v>Aug</v>
      </c>
      <c r="S256" t="str">
        <f>TEXT(Clean_Data[[#This Row],[Order_Date]],"mmm-yy")</f>
        <v>Aug-26</v>
      </c>
      <c r="V256"/>
    </row>
    <row r="257" spans="1:22" x14ac:dyDescent="0.25">
      <c r="A257" t="s">
        <v>312</v>
      </c>
      <c r="B257" s="1">
        <v>45798</v>
      </c>
      <c r="C257" t="s">
        <v>31</v>
      </c>
      <c r="D257" t="s">
        <v>40</v>
      </c>
      <c r="E257" t="s">
        <v>20</v>
      </c>
      <c r="F257" t="s">
        <v>21</v>
      </c>
      <c r="G257">
        <v>9</v>
      </c>
      <c r="H257">
        <v>8500</v>
      </c>
      <c r="I257">
        <v>6740</v>
      </c>
      <c r="J257" t="s">
        <v>29</v>
      </c>
      <c r="K257" t="s">
        <v>23</v>
      </c>
      <c r="L257">
        <f>SUM(Clean_Data[[#This Row],[Units_Sold]]*Clean_Data[[#This Row],[Unit_Price]])</f>
        <v>76500</v>
      </c>
      <c r="M257">
        <f>Clean_Data[[#This Row],[Units_Sold]]*Clean_Data[[#This Row],[Cost_Price]]</f>
        <v>60660</v>
      </c>
      <c r="N257">
        <f>Clean_Data[[#This Row],[Total_Sales]]-Clean_Data[[#This Row],[Total_Cost]]</f>
        <v>15840</v>
      </c>
      <c r="O257" s="2">
        <f>Clean_Data[[#This Row],[Profit]]/Clean_Data[[#This Row],[Total_Sales]]</f>
        <v>0.20705882352941177</v>
      </c>
      <c r="P257" t="str">
        <f>_xlfn.XLOOKUP(Clean_Data[[#This Row],[Product_Code]],Product_Catalog!A:A,Product_Catalog!C:C)</f>
        <v>Accessories</v>
      </c>
      <c r="Q257">
        <f>IF(Clean_Data[[#This Row],[Order_Date]]="","",YEAR(Clean_Data[[#This Row],[Order_Date]]))</f>
        <v>2025</v>
      </c>
      <c r="R257" t="str">
        <f>TEXT(Clean_Data[[#This Row],[Order_Date]],"mmm")</f>
        <v>May</v>
      </c>
      <c r="S257" t="str">
        <f>TEXT(Clean_Data[[#This Row],[Order_Date]],"mmm-yy")</f>
        <v>May-25</v>
      </c>
      <c r="V257"/>
    </row>
    <row r="258" spans="1:22" x14ac:dyDescent="0.25">
      <c r="A258" t="s">
        <v>313</v>
      </c>
      <c r="B258" s="1">
        <v>46069</v>
      </c>
      <c r="C258" t="s">
        <v>19</v>
      </c>
      <c r="D258" t="s">
        <v>13</v>
      </c>
      <c r="E258" t="s">
        <v>55</v>
      </c>
      <c r="F258" t="s">
        <v>34</v>
      </c>
      <c r="G258">
        <v>2</v>
      </c>
      <c r="H258">
        <v>35000</v>
      </c>
      <c r="I258">
        <v>26480</v>
      </c>
      <c r="J258" t="s">
        <v>29</v>
      </c>
      <c r="K258" t="s">
        <v>46</v>
      </c>
      <c r="L258">
        <f>SUM(Clean_Data[[#This Row],[Units_Sold]]*Clean_Data[[#This Row],[Unit_Price]])</f>
        <v>70000</v>
      </c>
      <c r="M258">
        <f>Clean_Data[[#This Row],[Units_Sold]]*Clean_Data[[#This Row],[Cost_Price]]</f>
        <v>52960</v>
      </c>
      <c r="N258">
        <f>Clean_Data[[#This Row],[Total_Sales]]-Clean_Data[[#This Row],[Total_Cost]]</f>
        <v>17040</v>
      </c>
      <c r="O258" s="2">
        <f>Clean_Data[[#This Row],[Profit]]/Clean_Data[[#This Row],[Total_Sales]]</f>
        <v>0.24342857142857144</v>
      </c>
      <c r="P258" t="str">
        <f>_xlfn.XLOOKUP(Clean_Data[[#This Row],[Product_Code]],Product_Catalog!A:A,Product_Catalog!C:C)</f>
        <v>Furniture</v>
      </c>
      <c r="Q258">
        <f>IF(Clean_Data[[#This Row],[Order_Date]]="","",YEAR(Clean_Data[[#This Row],[Order_Date]]))</f>
        <v>2026</v>
      </c>
      <c r="R258" t="str">
        <f>TEXT(Clean_Data[[#This Row],[Order_Date]],"mmm")</f>
        <v>Feb</v>
      </c>
      <c r="S258" t="str">
        <f>TEXT(Clean_Data[[#This Row],[Order_Date]],"mmm-yy")</f>
        <v>Feb-26</v>
      </c>
      <c r="V258"/>
    </row>
    <row r="259" spans="1:22" x14ac:dyDescent="0.25">
      <c r="A259" t="s">
        <v>314</v>
      </c>
      <c r="B259" s="1">
        <v>45787</v>
      </c>
      <c r="C259" t="s">
        <v>73</v>
      </c>
      <c r="D259" t="s">
        <v>40</v>
      </c>
      <c r="E259" t="s">
        <v>49</v>
      </c>
      <c r="F259" t="s">
        <v>50</v>
      </c>
      <c r="G259">
        <v>7</v>
      </c>
      <c r="H259">
        <v>75000</v>
      </c>
      <c r="I259">
        <v>51887</v>
      </c>
      <c r="J259" t="s">
        <v>16</v>
      </c>
      <c r="K259" t="s">
        <v>46</v>
      </c>
      <c r="L259">
        <f>SUM(Clean_Data[[#This Row],[Units_Sold]]*Clean_Data[[#This Row],[Unit_Price]])</f>
        <v>525000</v>
      </c>
      <c r="M259">
        <f>Clean_Data[[#This Row],[Units_Sold]]*Clean_Data[[#This Row],[Cost_Price]]</f>
        <v>363209</v>
      </c>
      <c r="N259">
        <f>Clean_Data[[#This Row],[Total_Sales]]-Clean_Data[[#This Row],[Total_Cost]]</f>
        <v>161791</v>
      </c>
      <c r="O259" s="2">
        <f>Clean_Data[[#This Row],[Profit]]/Clean_Data[[#This Row],[Total_Sales]]</f>
        <v>0.30817333333333335</v>
      </c>
      <c r="P259" t="str">
        <f>_xlfn.XLOOKUP(Clean_Data[[#This Row],[Product_Code]],Product_Catalog!A:A,Product_Catalog!C:C)</f>
        <v>Electronics</v>
      </c>
      <c r="Q259">
        <f>IF(Clean_Data[[#This Row],[Order_Date]]="","",YEAR(Clean_Data[[#This Row],[Order_Date]]))</f>
        <v>2025</v>
      </c>
      <c r="R259" t="str">
        <f>TEXT(Clean_Data[[#This Row],[Order_Date]],"mmm")</f>
        <v>May</v>
      </c>
      <c r="S259" t="str">
        <f>TEXT(Clean_Data[[#This Row],[Order_Date]],"mmm-yy")</f>
        <v>May-25</v>
      </c>
      <c r="V259"/>
    </row>
    <row r="260" spans="1:22" x14ac:dyDescent="0.25">
      <c r="A260" t="s">
        <v>315</v>
      </c>
      <c r="B260" s="1">
        <v>45683</v>
      </c>
      <c r="C260" t="s">
        <v>53</v>
      </c>
      <c r="D260" t="s">
        <v>13</v>
      </c>
      <c r="E260" t="s">
        <v>66</v>
      </c>
      <c r="F260" t="s">
        <v>67</v>
      </c>
      <c r="G260">
        <v>6</v>
      </c>
      <c r="H260">
        <v>2500</v>
      </c>
      <c r="I260">
        <v>1959</v>
      </c>
      <c r="J260" t="s">
        <v>29</v>
      </c>
      <c r="K260" t="s">
        <v>84</v>
      </c>
      <c r="L260">
        <f>SUM(Clean_Data[[#This Row],[Units_Sold]]*Clean_Data[[#This Row],[Unit_Price]])</f>
        <v>15000</v>
      </c>
      <c r="M260">
        <f>Clean_Data[[#This Row],[Units_Sold]]*Clean_Data[[#This Row],[Cost_Price]]</f>
        <v>11754</v>
      </c>
      <c r="N260">
        <f>Clean_Data[[#This Row],[Total_Sales]]-Clean_Data[[#This Row],[Total_Cost]]</f>
        <v>3246</v>
      </c>
      <c r="O260" s="2">
        <f>Clean_Data[[#This Row],[Profit]]/Clean_Data[[#This Row],[Total_Sales]]</f>
        <v>0.21640000000000001</v>
      </c>
      <c r="P260" t="str">
        <f>_xlfn.XLOOKUP(Clean_Data[[#This Row],[Product_Code]],Product_Catalog!A:A,Product_Catalog!C:C)</f>
        <v>Electronics</v>
      </c>
      <c r="Q260">
        <f>IF(Clean_Data[[#This Row],[Order_Date]]="","",YEAR(Clean_Data[[#This Row],[Order_Date]]))</f>
        <v>2025</v>
      </c>
      <c r="R260" t="str">
        <f>TEXT(Clean_Data[[#This Row],[Order_Date]],"mmm")</f>
        <v>Jan</v>
      </c>
      <c r="S260" t="str">
        <f>TEXT(Clean_Data[[#This Row],[Order_Date]],"mmm-yy")</f>
        <v>Jan-25</v>
      </c>
      <c r="V260"/>
    </row>
    <row r="261" spans="1:22" x14ac:dyDescent="0.25">
      <c r="A261" t="s">
        <v>316</v>
      </c>
      <c r="B261" s="1">
        <v>46084</v>
      </c>
      <c r="C261" t="s">
        <v>44</v>
      </c>
      <c r="D261" t="s">
        <v>13</v>
      </c>
      <c r="E261" t="s">
        <v>20</v>
      </c>
      <c r="F261" t="s">
        <v>21</v>
      </c>
      <c r="G261">
        <v>5</v>
      </c>
      <c r="H261">
        <v>8500</v>
      </c>
      <c r="I261">
        <v>5243</v>
      </c>
      <c r="J261" t="s">
        <v>45</v>
      </c>
      <c r="K261" t="s">
        <v>46</v>
      </c>
      <c r="L261">
        <f>SUM(Clean_Data[[#This Row],[Units_Sold]]*Clean_Data[[#This Row],[Unit_Price]])</f>
        <v>42500</v>
      </c>
      <c r="M261">
        <f>Clean_Data[[#This Row],[Units_Sold]]*Clean_Data[[#This Row],[Cost_Price]]</f>
        <v>26215</v>
      </c>
      <c r="N261">
        <f>Clean_Data[[#This Row],[Total_Sales]]-Clean_Data[[#This Row],[Total_Cost]]</f>
        <v>16285</v>
      </c>
      <c r="O261" s="2">
        <f>Clean_Data[[#This Row],[Profit]]/Clean_Data[[#This Row],[Total_Sales]]</f>
        <v>0.38317647058823529</v>
      </c>
      <c r="P261" t="str">
        <f>_xlfn.XLOOKUP(Clean_Data[[#This Row],[Product_Code]],Product_Catalog!A:A,Product_Catalog!C:C)</f>
        <v>Accessories</v>
      </c>
      <c r="Q261">
        <f>IF(Clean_Data[[#This Row],[Order_Date]]="","",YEAR(Clean_Data[[#This Row],[Order_Date]]))</f>
        <v>2026</v>
      </c>
      <c r="R261" t="str">
        <f>TEXT(Clean_Data[[#This Row],[Order_Date]],"mmm")</f>
        <v>Mar</v>
      </c>
      <c r="S261" t="str">
        <f>TEXT(Clean_Data[[#This Row],[Order_Date]],"mmm-yy")</f>
        <v>Mar-26</v>
      </c>
      <c r="V261"/>
    </row>
    <row r="262" spans="1:22" x14ac:dyDescent="0.25">
      <c r="A262" t="s">
        <v>317</v>
      </c>
      <c r="B262" s="1">
        <v>46224</v>
      </c>
      <c r="C262" t="s">
        <v>12</v>
      </c>
      <c r="D262" t="s">
        <v>40</v>
      </c>
      <c r="E262" t="s">
        <v>27</v>
      </c>
      <c r="F262" t="s">
        <v>28</v>
      </c>
      <c r="G262">
        <v>13</v>
      </c>
      <c r="H262">
        <v>14000</v>
      </c>
      <c r="I262">
        <v>10606</v>
      </c>
      <c r="J262" t="s">
        <v>29</v>
      </c>
      <c r="K262" t="s">
        <v>17</v>
      </c>
      <c r="L262">
        <f>SUM(Clean_Data[[#This Row],[Units_Sold]]*Clean_Data[[#This Row],[Unit_Price]])</f>
        <v>182000</v>
      </c>
      <c r="M262">
        <f>Clean_Data[[#This Row],[Units_Sold]]*Clean_Data[[#This Row],[Cost_Price]]</f>
        <v>137878</v>
      </c>
      <c r="N262">
        <f>Clean_Data[[#This Row],[Total_Sales]]-Clean_Data[[#This Row],[Total_Cost]]</f>
        <v>44122</v>
      </c>
      <c r="O262" s="2">
        <f>Clean_Data[[#This Row],[Profit]]/Clean_Data[[#This Row],[Total_Sales]]</f>
        <v>0.24242857142857144</v>
      </c>
      <c r="P262" t="str">
        <f>_xlfn.XLOOKUP(Clean_Data[[#This Row],[Product_Code]],Product_Catalog!A:A,Product_Catalog!C:C)</f>
        <v>Furniture</v>
      </c>
      <c r="Q262">
        <f>IF(Clean_Data[[#This Row],[Order_Date]]="","",YEAR(Clean_Data[[#This Row],[Order_Date]]))</f>
        <v>2026</v>
      </c>
      <c r="R262" t="str">
        <f>TEXT(Clean_Data[[#This Row],[Order_Date]],"mmm")</f>
        <v>Jul</v>
      </c>
      <c r="S262" t="str">
        <f>TEXT(Clean_Data[[#This Row],[Order_Date]],"mmm-yy")</f>
        <v>Jul-26</v>
      </c>
      <c r="V262"/>
    </row>
    <row r="263" spans="1:22" x14ac:dyDescent="0.25">
      <c r="A263" t="s">
        <v>318</v>
      </c>
      <c r="B263" s="1">
        <v>46054</v>
      </c>
      <c r="C263" t="s">
        <v>73</v>
      </c>
      <c r="D263" t="s">
        <v>33</v>
      </c>
      <c r="E263" t="s">
        <v>41</v>
      </c>
      <c r="F263" t="s">
        <v>42</v>
      </c>
      <c r="G263">
        <v>15</v>
      </c>
      <c r="H263">
        <v>28000</v>
      </c>
      <c r="I263">
        <v>18503</v>
      </c>
      <c r="J263" t="s">
        <v>29</v>
      </c>
      <c r="K263" t="s">
        <v>23</v>
      </c>
      <c r="L263">
        <f>SUM(Clean_Data[[#This Row],[Units_Sold]]*Clean_Data[[#This Row],[Unit_Price]])</f>
        <v>420000</v>
      </c>
      <c r="M263">
        <f>Clean_Data[[#This Row],[Units_Sold]]*Clean_Data[[#This Row],[Cost_Price]]</f>
        <v>277545</v>
      </c>
      <c r="N263">
        <f>Clean_Data[[#This Row],[Total_Sales]]-Clean_Data[[#This Row],[Total_Cost]]</f>
        <v>142455</v>
      </c>
      <c r="O263" s="2">
        <f>Clean_Data[[#This Row],[Profit]]/Clean_Data[[#This Row],[Total_Sales]]</f>
        <v>0.33917857142857144</v>
      </c>
      <c r="P263" t="str">
        <f>_xlfn.XLOOKUP(Clean_Data[[#This Row],[Product_Code]],Product_Catalog!A:A,Product_Catalog!C:C)</f>
        <v>Electronics</v>
      </c>
      <c r="Q263">
        <f>IF(Clean_Data[[#This Row],[Order_Date]]="","",YEAR(Clean_Data[[#This Row],[Order_Date]]))</f>
        <v>2026</v>
      </c>
      <c r="R263" t="str">
        <f>TEXT(Clean_Data[[#This Row],[Order_Date]],"mmm")</f>
        <v>Feb</v>
      </c>
      <c r="S263" t="str">
        <f>TEXT(Clean_Data[[#This Row],[Order_Date]],"mmm-yy")</f>
        <v>Feb-26</v>
      </c>
      <c r="V263"/>
    </row>
    <row r="264" spans="1:22" x14ac:dyDescent="0.25">
      <c r="A264" t="s">
        <v>319</v>
      </c>
      <c r="B264" s="1">
        <v>46060</v>
      </c>
      <c r="C264" t="s">
        <v>73</v>
      </c>
      <c r="D264" t="s">
        <v>40</v>
      </c>
      <c r="E264" t="s">
        <v>20</v>
      </c>
      <c r="F264" t="s">
        <v>21</v>
      </c>
      <c r="G264">
        <v>4</v>
      </c>
      <c r="H264">
        <v>8500</v>
      </c>
      <c r="I264">
        <v>6385</v>
      </c>
      <c r="J264" t="s">
        <v>29</v>
      </c>
      <c r="K264" t="s">
        <v>17</v>
      </c>
      <c r="L264">
        <f>SUM(Clean_Data[[#This Row],[Units_Sold]]*Clean_Data[[#This Row],[Unit_Price]])</f>
        <v>34000</v>
      </c>
      <c r="M264">
        <f>Clean_Data[[#This Row],[Units_Sold]]*Clean_Data[[#This Row],[Cost_Price]]</f>
        <v>25540</v>
      </c>
      <c r="N264">
        <f>Clean_Data[[#This Row],[Total_Sales]]-Clean_Data[[#This Row],[Total_Cost]]</f>
        <v>8460</v>
      </c>
      <c r="O264" s="2">
        <f>Clean_Data[[#This Row],[Profit]]/Clean_Data[[#This Row],[Total_Sales]]</f>
        <v>0.24882352941176469</v>
      </c>
      <c r="P264" t="str">
        <f>_xlfn.XLOOKUP(Clean_Data[[#This Row],[Product_Code]],Product_Catalog!A:A,Product_Catalog!C:C)</f>
        <v>Accessories</v>
      </c>
      <c r="Q264">
        <f>IF(Clean_Data[[#This Row],[Order_Date]]="","",YEAR(Clean_Data[[#This Row],[Order_Date]]))</f>
        <v>2026</v>
      </c>
      <c r="R264" t="str">
        <f>TEXT(Clean_Data[[#This Row],[Order_Date]],"mmm")</f>
        <v>Feb</v>
      </c>
      <c r="S264" t="str">
        <f>TEXT(Clean_Data[[#This Row],[Order_Date]],"mmm-yy")</f>
        <v>Feb-26</v>
      </c>
      <c r="V264"/>
    </row>
    <row r="265" spans="1:22" x14ac:dyDescent="0.25">
      <c r="A265" t="s">
        <v>320</v>
      </c>
      <c r="B265" s="1">
        <v>46009</v>
      </c>
      <c r="C265" t="s">
        <v>44</v>
      </c>
      <c r="D265" t="s">
        <v>26</v>
      </c>
      <c r="E265" t="s">
        <v>55</v>
      </c>
      <c r="F265" t="s">
        <v>34</v>
      </c>
      <c r="G265">
        <v>15</v>
      </c>
      <c r="H265">
        <v>35000</v>
      </c>
      <c r="I265">
        <v>23779</v>
      </c>
      <c r="J265" t="s">
        <v>16</v>
      </c>
      <c r="K265" t="s">
        <v>17</v>
      </c>
      <c r="L265">
        <f>SUM(Clean_Data[[#This Row],[Units_Sold]]*Clean_Data[[#This Row],[Unit_Price]])</f>
        <v>525000</v>
      </c>
      <c r="M265">
        <f>Clean_Data[[#This Row],[Units_Sold]]*Clean_Data[[#This Row],[Cost_Price]]</f>
        <v>356685</v>
      </c>
      <c r="N265">
        <f>Clean_Data[[#This Row],[Total_Sales]]-Clean_Data[[#This Row],[Total_Cost]]</f>
        <v>168315</v>
      </c>
      <c r="O265" s="2">
        <f>Clean_Data[[#This Row],[Profit]]/Clean_Data[[#This Row],[Total_Sales]]</f>
        <v>0.3206</v>
      </c>
      <c r="P265" t="str">
        <f>_xlfn.XLOOKUP(Clean_Data[[#This Row],[Product_Code]],Product_Catalog!A:A,Product_Catalog!C:C)</f>
        <v>Furniture</v>
      </c>
      <c r="Q265">
        <f>IF(Clean_Data[[#This Row],[Order_Date]]="","",YEAR(Clean_Data[[#This Row],[Order_Date]]))</f>
        <v>2025</v>
      </c>
      <c r="R265" t="str">
        <f>TEXT(Clean_Data[[#This Row],[Order_Date]],"mmm")</f>
        <v>Dec</v>
      </c>
      <c r="S265" t="str">
        <f>TEXT(Clean_Data[[#This Row],[Order_Date]],"mmm-yy")</f>
        <v>Dec-25</v>
      </c>
      <c r="V265"/>
    </row>
    <row r="266" spans="1:22" x14ac:dyDescent="0.25">
      <c r="A266" t="s">
        <v>321</v>
      </c>
      <c r="B266" s="1">
        <v>46003</v>
      </c>
      <c r="C266" t="s">
        <v>53</v>
      </c>
      <c r="D266" t="s">
        <v>33</v>
      </c>
      <c r="E266" t="s">
        <v>49</v>
      </c>
      <c r="F266" t="s">
        <v>50</v>
      </c>
      <c r="G266">
        <v>10</v>
      </c>
      <c r="H266">
        <v>75000</v>
      </c>
      <c r="I266">
        <v>59638</v>
      </c>
      <c r="J266" t="s">
        <v>16</v>
      </c>
      <c r="K266" t="s">
        <v>23</v>
      </c>
      <c r="L266">
        <f>SUM(Clean_Data[[#This Row],[Units_Sold]]*Clean_Data[[#This Row],[Unit_Price]])</f>
        <v>750000</v>
      </c>
      <c r="M266">
        <f>Clean_Data[[#This Row],[Units_Sold]]*Clean_Data[[#This Row],[Cost_Price]]</f>
        <v>596380</v>
      </c>
      <c r="N266">
        <f>Clean_Data[[#This Row],[Total_Sales]]-Clean_Data[[#This Row],[Total_Cost]]</f>
        <v>153620</v>
      </c>
      <c r="O266" s="2">
        <f>Clean_Data[[#This Row],[Profit]]/Clean_Data[[#This Row],[Total_Sales]]</f>
        <v>0.20482666666666666</v>
      </c>
      <c r="P266" t="str">
        <f>_xlfn.XLOOKUP(Clean_Data[[#This Row],[Product_Code]],Product_Catalog!A:A,Product_Catalog!C:C)</f>
        <v>Electronics</v>
      </c>
      <c r="Q266">
        <f>IF(Clean_Data[[#This Row],[Order_Date]]="","",YEAR(Clean_Data[[#This Row],[Order_Date]]))</f>
        <v>2025</v>
      </c>
      <c r="R266" t="str">
        <f>TEXT(Clean_Data[[#This Row],[Order_Date]],"mmm")</f>
        <v>Dec</v>
      </c>
      <c r="S266" t="str">
        <f>TEXT(Clean_Data[[#This Row],[Order_Date]],"mmm-yy")</f>
        <v>Dec-25</v>
      </c>
      <c r="V266"/>
    </row>
    <row r="267" spans="1:22" x14ac:dyDescent="0.25">
      <c r="A267" t="s">
        <v>322</v>
      </c>
      <c r="B267" s="1">
        <v>45956</v>
      </c>
      <c r="C267" t="s">
        <v>53</v>
      </c>
      <c r="D267" t="s">
        <v>13</v>
      </c>
      <c r="E267" t="s">
        <v>63</v>
      </c>
      <c r="F267" t="s">
        <v>59</v>
      </c>
      <c r="G267">
        <v>2</v>
      </c>
      <c r="H267">
        <v>4500</v>
      </c>
      <c r="I267">
        <v>3216</v>
      </c>
      <c r="J267" t="s">
        <v>16</v>
      </c>
      <c r="K267" t="s">
        <v>17</v>
      </c>
      <c r="L267">
        <f>SUM(Clean_Data[[#This Row],[Units_Sold]]*Clean_Data[[#This Row],[Unit_Price]])</f>
        <v>9000</v>
      </c>
      <c r="M267">
        <f>Clean_Data[[#This Row],[Units_Sold]]*Clean_Data[[#This Row],[Cost_Price]]</f>
        <v>6432</v>
      </c>
      <c r="N267">
        <f>Clean_Data[[#This Row],[Total_Sales]]-Clean_Data[[#This Row],[Total_Cost]]</f>
        <v>2568</v>
      </c>
      <c r="O267" s="2">
        <f>Clean_Data[[#This Row],[Profit]]/Clean_Data[[#This Row],[Total_Sales]]</f>
        <v>0.28533333333333333</v>
      </c>
      <c r="P267" t="str">
        <f>_xlfn.XLOOKUP(Clean_Data[[#This Row],[Product_Code]],Product_Catalog!A:A,Product_Catalog!C:C)</f>
        <v>Electronics</v>
      </c>
      <c r="Q267">
        <f>IF(Clean_Data[[#This Row],[Order_Date]]="","",YEAR(Clean_Data[[#This Row],[Order_Date]]))</f>
        <v>2025</v>
      </c>
      <c r="R267" t="str">
        <f>TEXT(Clean_Data[[#This Row],[Order_Date]],"mmm")</f>
        <v>Oct</v>
      </c>
      <c r="S267" t="str">
        <f>TEXT(Clean_Data[[#This Row],[Order_Date]],"mmm-yy")</f>
        <v>Oct-25</v>
      </c>
      <c r="V267"/>
    </row>
    <row r="268" spans="1:22" x14ac:dyDescent="0.25">
      <c r="A268" t="s">
        <v>323</v>
      </c>
      <c r="B268" s="1">
        <v>45874</v>
      </c>
      <c r="C268" t="s">
        <v>62</v>
      </c>
      <c r="D268" t="s">
        <v>26</v>
      </c>
      <c r="E268" t="s">
        <v>14</v>
      </c>
      <c r="F268" t="s">
        <v>15</v>
      </c>
      <c r="G268">
        <v>1</v>
      </c>
      <c r="H268">
        <v>12500</v>
      </c>
      <c r="I268">
        <v>8689</v>
      </c>
      <c r="J268" t="s">
        <v>22</v>
      </c>
      <c r="K268" t="s">
        <v>23</v>
      </c>
      <c r="L268">
        <f>SUM(Clean_Data[[#This Row],[Units_Sold]]*Clean_Data[[#This Row],[Unit_Price]])</f>
        <v>12500</v>
      </c>
      <c r="M268">
        <f>Clean_Data[[#This Row],[Units_Sold]]*Clean_Data[[#This Row],[Cost_Price]]</f>
        <v>8689</v>
      </c>
      <c r="N268">
        <f>Clean_Data[[#This Row],[Total_Sales]]-Clean_Data[[#This Row],[Total_Cost]]</f>
        <v>3811</v>
      </c>
      <c r="O268" s="2">
        <f>Clean_Data[[#This Row],[Profit]]/Clean_Data[[#This Row],[Total_Sales]]</f>
        <v>0.30487999999999998</v>
      </c>
      <c r="P268" t="str">
        <f>_xlfn.XLOOKUP(Clean_Data[[#This Row],[Product_Code]],Product_Catalog!A:A,Product_Catalog!C:C)</f>
        <v>Accessories</v>
      </c>
      <c r="Q268">
        <f>IF(Clean_Data[[#This Row],[Order_Date]]="","",YEAR(Clean_Data[[#This Row],[Order_Date]]))</f>
        <v>2025</v>
      </c>
      <c r="R268" t="str">
        <f>TEXT(Clean_Data[[#This Row],[Order_Date]],"mmm")</f>
        <v>Aug</v>
      </c>
      <c r="S268" t="str">
        <f>TEXT(Clean_Data[[#This Row],[Order_Date]],"mmm-yy")</f>
        <v>Aug-25</v>
      </c>
      <c r="V268"/>
    </row>
    <row r="269" spans="1:22" x14ac:dyDescent="0.25">
      <c r="A269" t="s">
        <v>324</v>
      </c>
      <c r="B269" s="1">
        <v>45701</v>
      </c>
      <c r="C269" t="s">
        <v>48</v>
      </c>
      <c r="D269" t="s">
        <v>40</v>
      </c>
      <c r="E269" t="s">
        <v>66</v>
      </c>
      <c r="F269" t="s">
        <v>67</v>
      </c>
      <c r="G269">
        <v>7</v>
      </c>
      <c r="H269">
        <v>2500</v>
      </c>
      <c r="I269">
        <v>1625</v>
      </c>
      <c r="J269" t="s">
        <v>22</v>
      </c>
      <c r="K269" t="s">
        <v>46</v>
      </c>
      <c r="L269">
        <f>SUM(Clean_Data[[#This Row],[Units_Sold]]*Clean_Data[[#This Row],[Unit_Price]])</f>
        <v>17500</v>
      </c>
      <c r="M269">
        <f>Clean_Data[[#This Row],[Units_Sold]]*Clean_Data[[#This Row],[Cost_Price]]</f>
        <v>11375</v>
      </c>
      <c r="N269">
        <f>Clean_Data[[#This Row],[Total_Sales]]-Clean_Data[[#This Row],[Total_Cost]]</f>
        <v>6125</v>
      </c>
      <c r="O269" s="2">
        <f>Clean_Data[[#This Row],[Profit]]/Clean_Data[[#This Row],[Total_Sales]]</f>
        <v>0.35</v>
      </c>
      <c r="P269" t="str">
        <f>_xlfn.XLOOKUP(Clean_Data[[#This Row],[Product_Code]],Product_Catalog!A:A,Product_Catalog!C:C)</f>
        <v>Electronics</v>
      </c>
      <c r="Q269">
        <f>IF(Clean_Data[[#This Row],[Order_Date]]="","",YEAR(Clean_Data[[#This Row],[Order_Date]]))</f>
        <v>2025</v>
      </c>
      <c r="R269" t="str">
        <f>TEXT(Clean_Data[[#This Row],[Order_Date]],"mmm")</f>
        <v>Feb</v>
      </c>
      <c r="S269" t="str">
        <f>TEXT(Clean_Data[[#This Row],[Order_Date]],"mmm-yy")</f>
        <v>Feb-25</v>
      </c>
      <c r="V269"/>
    </row>
    <row r="270" spans="1:22" x14ac:dyDescent="0.25">
      <c r="A270" t="s">
        <v>326</v>
      </c>
      <c r="B270" s="1">
        <v>45910</v>
      </c>
      <c r="C270" t="s">
        <v>31</v>
      </c>
      <c r="D270" t="s">
        <v>33</v>
      </c>
      <c r="E270" t="s">
        <v>27</v>
      </c>
      <c r="F270" t="s">
        <v>28</v>
      </c>
      <c r="G270">
        <v>9</v>
      </c>
      <c r="H270">
        <v>14000</v>
      </c>
      <c r="I270">
        <v>9075</v>
      </c>
      <c r="J270" t="s">
        <v>45</v>
      </c>
      <c r="K270" t="s">
        <v>46</v>
      </c>
      <c r="L270">
        <f>SUM(Clean_Data[[#This Row],[Units_Sold]]*Clean_Data[[#This Row],[Unit_Price]])</f>
        <v>126000</v>
      </c>
      <c r="M270">
        <f>Clean_Data[[#This Row],[Units_Sold]]*Clean_Data[[#This Row],[Cost_Price]]</f>
        <v>81675</v>
      </c>
      <c r="N270">
        <f>Clean_Data[[#This Row],[Total_Sales]]-Clean_Data[[#This Row],[Total_Cost]]</f>
        <v>44325</v>
      </c>
      <c r="O270" s="2">
        <f>Clean_Data[[#This Row],[Profit]]/Clean_Data[[#This Row],[Total_Sales]]</f>
        <v>0.35178571428571431</v>
      </c>
      <c r="P270" t="str">
        <f>_xlfn.XLOOKUP(Clean_Data[[#This Row],[Product_Code]],Product_Catalog!A:A,Product_Catalog!C:C)</f>
        <v>Furniture</v>
      </c>
      <c r="Q270">
        <f>IF(Clean_Data[[#This Row],[Order_Date]]="","",YEAR(Clean_Data[[#This Row],[Order_Date]]))</f>
        <v>2025</v>
      </c>
      <c r="R270" t="str">
        <f>TEXT(Clean_Data[[#This Row],[Order_Date]],"mmm")</f>
        <v>Sep</v>
      </c>
      <c r="S270" t="str">
        <f>TEXT(Clean_Data[[#This Row],[Order_Date]],"mmm-yy")</f>
        <v>Sep-25</v>
      </c>
      <c r="V270"/>
    </row>
    <row r="271" spans="1:22" x14ac:dyDescent="0.25">
      <c r="A271" t="s">
        <v>327</v>
      </c>
      <c r="B271" s="1">
        <v>45800</v>
      </c>
      <c r="C271" t="s">
        <v>53</v>
      </c>
      <c r="D271" t="s">
        <v>33</v>
      </c>
      <c r="E271" t="s">
        <v>14</v>
      </c>
      <c r="F271" t="s">
        <v>15</v>
      </c>
      <c r="G271">
        <v>7</v>
      </c>
      <c r="H271">
        <v>12500</v>
      </c>
      <c r="I271">
        <v>9348</v>
      </c>
      <c r="J271" t="s">
        <v>22</v>
      </c>
      <c r="K271" t="s">
        <v>23</v>
      </c>
      <c r="L271">
        <f>SUM(Clean_Data[[#This Row],[Units_Sold]]*Clean_Data[[#This Row],[Unit_Price]])</f>
        <v>87500</v>
      </c>
      <c r="M271">
        <f>Clean_Data[[#This Row],[Units_Sold]]*Clean_Data[[#This Row],[Cost_Price]]</f>
        <v>65436</v>
      </c>
      <c r="N271">
        <f>Clean_Data[[#This Row],[Total_Sales]]-Clean_Data[[#This Row],[Total_Cost]]</f>
        <v>22064</v>
      </c>
      <c r="O271" s="2">
        <f>Clean_Data[[#This Row],[Profit]]/Clean_Data[[#This Row],[Total_Sales]]</f>
        <v>0.25216</v>
      </c>
      <c r="P271" t="str">
        <f>_xlfn.XLOOKUP(Clean_Data[[#This Row],[Product_Code]],Product_Catalog!A:A,Product_Catalog!C:C)</f>
        <v>Accessories</v>
      </c>
      <c r="Q271">
        <f>IF(Clean_Data[[#This Row],[Order_Date]]="","",YEAR(Clean_Data[[#This Row],[Order_Date]]))</f>
        <v>2025</v>
      </c>
      <c r="R271" t="str">
        <f>TEXT(Clean_Data[[#This Row],[Order_Date]],"mmm")</f>
        <v>May</v>
      </c>
      <c r="S271" t="str">
        <f>TEXT(Clean_Data[[#This Row],[Order_Date]],"mmm-yy")</f>
        <v>May-25</v>
      </c>
      <c r="V271"/>
    </row>
    <row r="272" spans="1:22" x14ac:dyDescent="0.25">
      <c r="A272" t="s">
        <v>328</v>
      </c>
      <c r="B272" s="1">
        <v>45769</v>
      </c>
      <c r="C272" t="s">
        <v>73</v>
      </c>
      <c r="D272" t="s">
        <v>13</v>
      </c>
      <c r="E272" t="s">
        <v>37</v>
      </c>
      <c r="F272" t="s">
        <v>38</v>
      </c>
      <c r="G272">
        <v>12</v>
      </c>
      <c r="H272">
        <v>55000</v>
      </c>
      <c r="I272">
        <v>41280</v>
      </c>
      <c r="J272" t="s">
        <v>29</v>
      </c>
      <c r="K272" t="s">
        <v>23</v>
      </c>
      <c r="L272">
        <f>SUM(Clean_Data[[#This Row],[Units_Sold]]*Clean_Data[[#This Row],[Unit_Price]])</f>
        <v>660000</v>
      </c>
      <c r="M272">
        <f>Clean_Data[[#This Row],[Units_Sold]]*Clean_Data[[#This Row],[Cost_Price]]</f>
        <v>495360</v>
      </c>
      <c r="N272">
        <f>Clean_Data[[#This Row],[Total_Sales]]-Clean_Data[[#This Row],[Total_Cost]]</f>
        <v>164640</v>
      </c>
      <c r="O272" s="2">
        <f>Clean_Data[[#This Row],[Profit]]/Clean_Data[[#This Row],[Total_Sales]]</f>
        <v>0.24945454545454546</v>
      </c>
      <c r="P272" t="str">
        <f>_xlfn.XLOOKUP(Clean_Data[[#This Row],[Product_Code]],Product_Catalog!A:A,Product_Catalog!C:C)</f>
        <v>Electronics</v>
      </c>
      <c r="Q272">
        <f>IF(Clean_Data[[#This Row],[Order_Date]]="","",YEAR(Clean_Data[[#This Row],[Order_Date]]))</f>
        <v>2025</v>
      </c>
      <c r="R272" t="str">
        <f>TEXT(Clean_Data[[#This Row],[Order_Date]],"mmm")</f>
        <v>Apr</v>
      </c>
      <c r="S272" t="str">
        <f>TEXT(Clean_Data[[#This Row],[Order_Date]],"mmm-yy")</f>
        <v>Apr-25</v>
      </c>
      <c r="V272"/>
    </row>
    <row r="273" spans="1:22" x14ac:dyDescent="0.25">
      <c r="A273" t="s">
        <v>329</v>
      </c>
      <c r="B273" s="1">
        <v>45737</v>
      </c>
      <c r="C273" t="s">
        <v>19</v>
      </c>
      <c r="D273" t="s">
        <v>26</v>
      </c>
      <c r="E273" t="s">
        <v>14</v>
      </c>
      <c r="F273" t="s">
        <v>15</v>
      </c>
      <c r="G273">
        <v>14</v>
      </c>
      <c r="H273">
        <v>12500</v>
      </c>
      <c r="I273">
        <v>8051</v>
      </c>
      <c r="J273" t="s">
        <v>22</v>
      </c>
      <c r="K273" t="s">
        <v>23</v>
      </c>
      <c r="L273">
        <f>SUM(Clean_Data[[#This Row],[Units_Sold]]*Clean_Data[[#This Row],[Unit_Price]])</f>
        <v>175000</v>
      </c>
      <c r="M273">
        <f>Clean_Data[[#This Row],[Units_Sold]]*Clean_Data[[#This Row],[Cost_Price]]</f>
        <v>112714</v>
      </c>
      <c r="N273">
        <f>Clean_Data[[#This Row],[Total_Sales]]-Clean_Data[[#This Row],[Total_Cost]]</f>
        <v>62286</v>
      </c>
      <c r="O273" s="2">
        <f>Clean_Data[[#This Row],[Profit]]/Clean_Data[[#This Row],[Total_Sales]]</f>
        <v>0.35592000000000001</v>
      </c>
      <c r="P273" t="str">
        <f>_xlfn.XLOOKUP(Clean_Data[[#This Row],[Product_Code]],Product_Catalog!A:A,Product_Catalog!C:C)</f>
        <v>Accessories</v>
      </c>
      <c r="Q273">
        <f>IF(Clean_Data[[#This Row],[Order_Date]]="","",YEAR(Clean_Data[[#This Row],[Order_Date]]))</f>
        <v>2025</v>
      </c>
      <c r="R273" t="str">
        <f>TEXT(Clean_Data[[#This Row],[Order_Date]],"mmm")</f>
        <v>Mar</v>
      </c>
      <c r="S273" t="str">
        <f>TEXT(Clean_Data[[#This Row],[Order_Date]],"mmm-yy")</f>
        <v>Mar-25</v>
      </c>
      <c r="V273"/>
    </row>
    <row r="274" spans="1:22" x14ac:dyDescent="0.25">
      <c r="A274" t="s">
        <v>330</v>
      </c>
      <c r="B274" s="1">
        <v>45708</v>
      </c>
      <c r="C274" t="s">
        <v>73</v>
      </c>
      <c r="D274" t="s">
        <v>13</v>
      </c>
      <c r="E274" t="s">
        <v>27</v>
      </c>
      <c r="F274" t="s">
        <v>28</v>
      </c>
      <c r="G274">
        <v>3</v>
      </c>
      <c r="H274">
        <v>14000</v>
      </c>
      <c r="I274">
        <v>8472</v>
      </c>
      <c r="J274" t="s">
        <v>22</v>
      </c>
      <c r="K274" t="s">
        <v>23</v>
      </c>
      <c r="L274">
        <f>SUM(Clean_Data[[#This Row],[Units_Sold]]*Clean_Data[[#This Row],[Unit_Price]])</f>
        <v>42000</v>
      </c>
      <c r="M274">
        <f>Clean_Data[[#This Row],[Units_Sold]]*Clean_Data[[#This Row],[Cost_Price]]</f>
        <v>25416</v>
      </c>
      <c r="N274">
        <f>Clean_Data[[#This Row],[Total_Sales]]-Clean_Data[[#This Row],[Total_Cost]]</f>
        <v>16584</v>
      </c>
      <c r="O274" s="2">
        <f>Clean_Data[[#This Row],[Profit]]/Clean_Data[[#This Row],[Total_Sales]]</f>
        <v>0.39485714285714285</v>
      </c>
      <c r="P274" t="str">
        <f>_xlfn.XLOOKUP(Clean_Data[[#This Row],[Product_Code]],Product_Catalog!A:A,Product_Catalog!C:C)</f>
        <v>Furniture</v>
      </c>
      <c r="Q274">
        <f>IF(Clean_Data[[#This Row],[Order_Date]]="","",YEAR(Clean_Data[[#This Row],[Order_Date]]))</f>
        <v>2025</v>
      </c>
      <c r="R274" t="str">
        <f>TEXT(Clean_Data[[#This Row],[Order_Date]],"mmm")</f>
        <v>Feb</v>
      </c>
      <c r="S274" t="str">
        <f>TEXT(Clean_Data[[#This Row],[Order_Date]],"mmm-yy")</f>
        <v>Feb-25</v>
      </c>
      <c r="V274"/>
    </row>
    <row r="275" spans="1:22" x14ac:dyDescent="0.25">
      <c r="A275" t="s">
        <v>331</v>
      </c>
      <c r="B275" s="1">
        <v>46038</v>
      </c>
      <c r="C275" t="s">
        <v>44</v>
      </c>
      <c r="D275" t="s">
        <v>33</v>
      </c>
      <c r="E275" t="s">
        <v>63</v>
      </c>
      <c r="F275" t="s">
        <v>59</v>
      </c>
      <c r="G275">
        <v>12</v>
      </c>
      <c r="H275">
        <v>4500</v>
      </c>
      <c r="I275">
        <v>2731</v>
      </c>
      <c r="J275" t="s">
        <v>22</v>
      </c>
      <c r="K275" t="s">
        <v>23</v>
      </c>
      <c r="L275">
        <f>SUM(Clean_Data[[#This Row],[Units_Sold]]*Clean_Data[[#This Row],[Unit_Price]])</f>
        <v>54000</v>
      </c>
      <c r="M275">
        <f>Clean_Data[[#This Row],[Units_Sold]]*Clean_Data[[#This Row],[Cost_Price]]</f>
        <v>32772</v>
      </c>
      <c r="N275">
        <f>Clean_Data[[#This Row],[Total_Sales]]-Clean_Data[[#This Row],[Total_Cost]]</f>
        <v>21228</v>
      </c>
      <c r="O275" s="2">
        <f>Clean_Data[[#This Row],[Profit]]/Clean_Data[[#This Row],[Total_Sales]]</f>
        <v>0.39311111111111113</v>
      </c>
      <c r="P275" t="str">
        <f>_xlfn.XLOOKUP(Clean_Data[[#This Row],[Product_Code]],Product_Catalog!A:A,Product_Catalog!C:C)</f>
        <v>Electronics</v>
      </c>
      <c r="Q275">
        <f>IF(Clean_Data[[#This Row],[Order_Date]]="","",YEAR(Clean_Data[[#This Row],[Order_Date]]))</f>
        <v>2026</v>
      </c>
      <c r="R275" t="str">
        <f>TEXT(Clean_Data[[#This Row],[Order_Date]],"mmm")</f>
        <v>Jan</v>
      </c>
      <c r="S275" t="str">
        <f>TEXT(Clean_Data[[#This Row],[Order_Date]],"mmm-yy")</f>
        <v>Jan-26</v>
      </c>
      <c r="V275"/>
    </row>
    <row r="276" spans="1:22" x14ac:dyDescent="0.25">
      <c r="A276" t="s">
        <v>332</v>
      </c>
      <c r="B276" s="1">
        <v>46165</v>
      </c>
      <c r="C276" t="s">
        <v>73</v>
      </c>
      <c r="D276" t="s">
        <v>33</v>
      </c>
      <c r="E276" t="s">
        <v>37</v>
      </c>
      <c r="F276" t="s">
        <v>38</v>
      </c>
      <c r="G276">
        <v>14</v>
      </c>
      <c r="H276">
        <v>55000</v>
      </c>
      <c r="I276">
        <v>41126</v>
      </c>
      <c r="J276" t="s">
        <v>16</v>
      </c>
      <c r="K276" t="s">
        <v>23</v>
      </c>
      <c r="L276">
        <f>SUM(Clean_Data[[#This Row],[Units_Sold]]*Clean_Data[[#This Row],[Unit_Price]])</f>
        <v>770000</v>
      </c>
      <c r="M276">
        <f>Clean_Data[[#This Row],[Units_Sold]]*Clean_Data[[#This Row],[Cost_Price]]</f>
        <v>575764</v>
      </c>
      <c r="N276">
        <f>Clean_Data[[#This Row],[Total_Sales]]-Clean_Data[[#This Row],[Total_Cost]]</f>
        <v>194236</v>
      </c>
      <c r="O276" s="2">
        <f>Clean_Data[[#This Row],[Profit]]/Clean_Data[[#This Row],[Total_Sales]]</f>
        <v>0.25225454545454545</v>
      </c>
      <c r="P276" t="str">
        <f>_xlfn.XLOOKUP(Clean_Data[[#This Row],[Product_Code]],Product_Catalog!A:A,Product_Catalog!C:C)</f>
        <v>Electronics</v>
      </c>
      <c r="Q276">
        <f>IF(Clean_Data[[#This Row],[Order_Date]]="","",YEAR(Clean_Data[[#This Row],[Order_Date]]))</f>
        <v>2026</v>
      </c>
      <c r="R276" t="str">
        <f>TEXT(Clean_Data[[#This Row],[Order_Date]],"mmm")</f>
        <v>May</v>
      </c>
      <c r="S276" t="str">
        <f>TEXT(Clean_Data[[#This Row],[Order_Date]],"mmm-yy")</f>
        <v>May-26</v>
      </c>
      <c r="V276"/>
    </row>
    <row r="277" spans="1:22" x14ac:dyDescent="0.25">
      <c r="A277" t="s">
        <v>333</v>
      </c>
      <c r="B277" s="1">
        <v>45976</v>
      </c>
      <c r="C277" t="s">
        <v>31</v>
      </c>
      <c r="D277" t="s">
        <v>13</v>
      </c>
      <c r="E277" t="s">
        <v>63</v>
      </c>
      <c r="F277" t="s">
        <v>59</v>
      </c>
      <c r="G277">
        <v>3</v>
      </c>
      <c r="H277">
        <v>4500</v>
      </c>
      <c r="I277">
        <v>2885</v>
      </c>
      <c r="J277" t="s">
        <v>22</v>
      </c>
      <c r="K277" t="s">
        <v>17</v>
      </c>
      <c r="L277">
        <f>SUM(Clean_Data[[#This Row],[Units_Sold]]*Clean_Data[[#This Row],[Unit_Price]])</f>
        <v>13500</v>
      </c>
      <c r="M277">
        <f>Clean_Data[[#This Row],[Units_Sold]]*Clean_Data[[#This Row],[Cost_Price]]</f>
        <v>8655</v>
      </c>
      <c r="N277">
        <f>Clean_Data[[#This Row],[Total_Sales]]-Clean_Data[[#This Row],[Total_Cost]]</f>
        <v>4845</v>
      </c>
      <c r="O277" s="2">
        <f>Clean_Data[[#This Row],[Profit]]/Clean_Data[[#This Row],[Total_Sales]]</f>
        <v>0.35888888888888887</v>
      </c>
      <c r="P277" t="str">
        <f>_xlfn.XLOOKUP(Clean_Data[[#This Row],[Product_Code]],Product_Catalog!A:A,Product_Catalog!C:C)</f>
        <v>Electronics</v>
      </c>
      <c r="Q277">
        <f>IF(Clean_Data[[#This Row],[Order_Date]]="","",YEAR(Clean_Data[[#This Row],[Order_Date]]))</f>
        <v>2025</v>
      </c>
      <c r="R277" t="str">
        <f>TEXT(Clean_Data[[#This Row],[Order_Date]],"mmm")</f>
        <v>Nov</v>
      </c>
      <c r="S277" t="str">
        <f>TEXT(Clean_Data[[#This Row],[Order_Date]],"mmm-yy")</f>
        <v>Nov-25</v>
      </c>
      <c r="V277"/>
    </row>
    <row r="278" spans="1:22" x14ac:dyDescent="0.25">
      <c r="A278" t="s">
        <v>334</v>
      </c>
      <c r="B278" s="1">
        <v>45796</v>
      </c>
      <c r="C278" t="s">
        <v>12</v>
      </c>
      <c r="D278" t="s">
        <v>13</v>
      </c>
      <c r="E278" t="s">
        <v>66</v>
      </c>
      <c r="F278" t="s">
        <v>67</v>
      </c>
      <c r="G278">
        <v>10</v>
      </c>
      <c r="H278">
        <v>2500</v>
      </c>
      <c r="I278">
        <v>1517</v>
      </c>
      <c r="J278" t="s">
        <v>16</v>
      </c>
      <c r="K278" t="s">
        <v>46</v>
      </c>
      <c r="L278">
        <f>SUM(Clean_Data[[#This Row],[Units_Sold]]*Clean_Data[[#This Row],[Unit_Price]])</f>
        <v>25000</v>
      </c>
      <c r="M278">
        <f>Clean_Data[[#This Row],[Units_Sold]]*Clean_Data[[#This Row],[Cost_Price]]</f>
        <v>15170</v>
      </c>
      <c r="N278">
        <f>Clean_Data[[#This Row],[Total_Sales]]-Clean_Data[[#This Row],[Total_Cost]]</f>
        <v>9830</v>
      </c>
      <c r="O278" s="2">
        <f>Clean_Data[[#This Row],[Profit]]/Clean_Data[[#This Row],[Total_Sales]]</f>
        <v>0.39319999999999999</v>
      </c>
      <c r="P278" t="str">
        <f>_xlfn.XLOOKUP(Clean_Data[[#This Row],[Product_Code]],Product_Catalog!A:A,Product_Catalog!C:C)</f>
        <v>Electronics</v>
      </c>
      <c r="Q278">
        <f>IF(Clean_Data[[#This Row],[Order_Date]]="","",YEAR(Clean_Data[[#This Row],[Order_Date]]))</f>
        <v>2025</v>
      </c>
      <c r="R278" t="str">
        <f>TEXT(Clean_Data[[#This Row],[Order_Date]],"mmm")</f>
        <v>May</v>
      </c>
      <c r="S278" t="str">
        <f>TEXT(Clean_Data[[#This Row],[Order_Date]],"mmm-yy")</f>
        <v>May-25</v>
      </c>
      <c r="V278"/>
    </row>
    <row r="279" spans="1:22" x14ac:dyDescent="0.25">
      <c r="A279" t="s">
        <v>335</v>
      </c>
      <c r="B279" s="1">
        <v>46031</v>
      </c>
      <c r="C279" t="s">
        <v>53</v>
      </c>
      <c r="D279" t="s">
        <v>40</v>
      </c>
      <c r="E279" t="s">
        <v>41</v>
      </c>
      <c r="F279" t="s">
        <v>42</v>
      </c>
      <c r="G279">
        <v>15</v>
      </c>
      <c r="H279">
        <v>28000</v>
      </c>
      <c r="I279">
        <v>17547</v>
      </c>
      <c r="J279" t="s">
        <v>45</v>
      </c>
      <c r="K279" t="s">
        <v>46</v>
      </c>
      <c r="L279">
        <f>SUM(Clean_Data[[#This Row],[Units_Sold]]*Clean_Data[[#This Row],[Unit_Price]])</f>
        <v>420000</v>
      </c>
      <c r="M279">
        <f>Clean_Data[[#This Row],[Units_Sold]]*Clean_Data[[#This Row],[Cost_Price]]</f>
        <v>263205</v>
      </c>
      <c r="N279">
        <f>Clean_Data[[#This Row],[Total_Sales]]-Clean_Data[[#This Row],[Total_Cost]]</f>
        <v>156795</v>
      </c>
      <c r="O279" s="2">
        <f>Clean_Data[[#This Row],[Profit]]/Clean_Data[[#This Row],[Total_Sales]]</f>
        <v>0.37332142857142858</v>
      </c>
      <c r="P279" t="str">
        <f>_xlfn.XLOOKUP(Clean_Data[[#This Row],[Product_Code]],Product_Catalog!A:A,Product_Catalog!C:C)</f>
        <v>Electronics</v>
      </c>
      <c r="Q279">
        <f>IF(Clean_Data[[#This Row],[Order_Date]]="","",YEAR(Clean_Data[[#This Row],[Order_Date]]))</f>
        <v>2026</v>
      </c>
      <c r="R279" t="str">
        <f>TEXT(Clean_Data[[#This Row],[Order_Date]],"mmm")</f>
        <v>Jan</v>
      </c>
      <c r="S279" t="str">
        <f>TEXT(Clean_Data[[#This Row],[Order_Date]],"mmm-yy")</f>
        <v>Jan-26</v>
      </c>
      <c r="V279"/>
    </row>
    <row r="280" spans="1:22" x14ac:dyDescent="0.25">
      <c r="A280" t="s">
        <v>336</v>
      </c>
      <c r="B280" s="1">
        <v>46127</v>
      </c>
      <c r="C280" t="s">
        <v>19</v>
      </c>
      <c r="D280" t="s">
        <v>26</v>
      </c>
      <c r="E280" t="s">
        <v>63</v>
      </c>
      <c r="F280" t="s">
        <v>59</v>
      </c>
      <c r="G280">
        <v>6</v>
      </c>
      <c r="H280">
        <v>4500</v>
      </c>
      <c r="I280">
        <v>3259</v>
      </c>
      <c r="J280" t="s">
        <v>29</v>
      </c>
      <c r="K280" t="s">
        <v>17</v>
      </c>
      <c r="L280">
        <f>SUM(Clean_Data[[#This Row],[Units_Sold]]*Clean_Data[[#This Row],[Unit_Price]])</f>
        <v>27000</v>
      </c>
      <c r="M280">
        <f>Clean_Data[[#This Row],[Units_Sold]]*Clean_Data[[#This Row],[Cost_Price]]</f>
        <v>19554</v>
      </c>
      <c r="N280">
        <f>Clean_Data[[#This Row],[Total_Sales]]-Clean_Data[[#This Row],[Total_Cost]]</f>
        <v>7446</v>
      </c>
      <c r="O280" s="2">
        <f>Clean_Data[[#This Row],[Profit]]/Clean_Data[[#This Row],[Total_Sales]]</f>
        <v>0.27577777777777779</v>
      </c>
      <c r="P280" t="str">
        <f>_xlfn.XLOOKUP(Clean_Data[[#This Row],[Product_Code]],Product_Catalog!A:A,Product_Catalog!C:C)</f>
        <v>Electronics</v>
      </c>
      <c r="Q280">
        <f>IF(Clean_Data[[#This Row],[Order_Date]]="","",YEAR(Clean_Data[[#This Row],[Order_Date]]))</f>
        <v>2026</v>
      </c>
      <c r="R280" t="str">
        <f>TEXT(Clean_Data[[#This Row],[Order_Date]],"mmm")</f>
        <v>Apr</v>
      </c>
      <c r="S280" t="str">
        <f>TEXT(Clean_Data[[#This Row],[Order_Date]],"mmm-yy")</f>
        <v>Apr-26</v>
      </c>
      <c r="V280"/>
    </row>
    <row r="281" spans="1:22" x14ac:dyDescent="0.25">
      <c r="A281" t="s">
        <v>337</v>
      </c>
      <c r="B281" s="1">
        <v>45804</v>
      </c>
      <c r="C281" t="s">
        <v>31</v>
      </c>
      <c r="D281" t="s">
        <v>36</v>
      </c>
      <c r="E281" t="s">
        <v>49</v>
      </c>
      <c r="F281" t="s">
        <v>50</v>
      </c>
      <c r="G281">
        <v>18</v>
      </c>
      <c r="H281">
        <v>75000</v>
      </c>
      <c r="I281">
        <v>57853</v>
      </c>
      <c r="J281" t="s">
        <v>29</v>
      </c>
      <c r="K281" t="s">
        <v>17</v>
      </c>
      <c r="L281">
        <f>SUM(Clean_Data[[#This Row],[Units_Sold]]*Clean_Data[[#This Row],[Unit_Price]])</f>
        <v>1350000</v>
      </c>
      <c r="M281">
        <f>Clean_Data[[#This Row],[Units_Sold]]*Clean_Data[[#This Row],[Cost_Price]]</f>
        <v>1041354</v>
      </c>
      <c r="N281">
        <f>Clean_Data[[#This Row],[Total_Sales]]-Clean_Data[[#This Row],[Total_Cost]]</f>
        <v>308646</v>
      </c>
      <c r="O281" s="2">
        <f>Clean_Data[[#This Row],[Profit]]/Clean_Data[[#This Row],[Total_Sales]]</f>
        <v>0.22862666666666667</v>
      </c>
      <c r="P281" t="str">
        <f>_xlfn.XLOOKUP(Clean_Data[[#This Row],[Product_Code]],Product_Catalog!A:A,Product_Catalog!C:C)</f>
        <v>Electronics</v>
      </c>
      <c r="Q281">
        <f>IF(Clean_Data[[#This Row],[Order_Date]]="","",YEAR(Clean_Data[[#This Row],[Order_Date]]))</f>
        <v>2025</v>
      </c>
      <c r="R281" t="str">
        <f>TEXT(Clean_Data[[#This Row],[Order_Date]],"mmm")</f>
        <v>May</v>
      </c>
      <c r="S281" t="str">
        <f>TEXT(Clean_Data[[#This Row],[Order_Date]],"mmm-yy")</f>
        <v>May-25</v>
      </c>
      <c r="V281"/>
    </row>
    <row r="282" spans="1:22" x14ac:dyDescent="0.25">
      <c r="A282" t="s">
        <v>338</v>
      </c>
      <c r="B282" s="1">
        <v>46004</v>
      </c>
      <c r="C282" t="s">
        <v>73</v>
      </c>
      <c r="D282" t="s">
        <v>26</v>
      </c>
      <c r="E282" t="s">
        <v>20</v>
      </c>
      <c r="F282" t="s">
        <v>21</v>
      </c>
      <c r="G282">
        <v>3</v>
      </c>
      <c r="H282">
        <v>8500</v>
      </c>
      <c r="I282">
        <v>5844</v>
      </c>
      <c r="J282" t="s">
        <v>29</v>
      </c>
      <c r="K282" t="s">
        <v>23</v>
      </c>
      <c r="L282">
        <f>SUM(Clean_Data[[#This Row],[Units_Sold]]*Clean_Data[[#This Row],[Unit_Price]])</f>
        <v>25500</v>
      </c>
      <c r="M282">
        <f>Clean_Data[[#This Row],[Units_Sold]]*Clean_Data[[#This Row],[Cost_Price]]</f>
        <v>17532</v>
      </c>
      <c r="N282">
        <f>Clean_Data[[#This Row],[Total_Sales]]-Clean_Data[[#This Row],[Total_Cost]]</f>
        <v>7968</v>
      </c>
      <c r="O282" s="2">
        <f>Clean_Data[[#This Row],[Profit]]/Clean_Data[[#This Row],[Total_Sales]]</f>
        <v>0.31247058823529411</v>
      </c>
      <c r="P282" t="str">
        <f>_xlfn.XLOOKUP(Clean_Data[[#This Row],[Product_Code]],Product_Catalog!A:A,Product_Catalog!C:C)</f>
        <v>Accessories</v>
      </c>
      <c r="Q282">
        <f>IF(Clean_Data[[#This Row],[Order_Date]]="","",YEAR(Clean_Data[[#This Row],[Order_Date]]))</f>
        <v>2025</v>
      </c>
      <c r="R282" t="str">
        <f>TEXT(Clean_Data[[#This Row],[Order_Date]],"mmm")</f>
        <v>Dec</v>
      </c>
      <c r="S282" t="str">
        <f>TEXT(Clean_Data[[#This Row],[Order_Date]],"mmm-yy")</f>
        <v>Dec-25</v>
      </c>
      <c r="V282"/>
    </row>
    <row r="283" spans="1:22" x14ac:dyDescent="0.25">
      <c r="A283" t="s">
        <v>339</v>
      </c>
      <c r="B283" s="1">
        <v>45926</v>
      </c>
      <c r="C283" t="s">
        <v>73</v>
      </c>
      <c r="D283" t="s">
        <v>26</v>
      </c>
      <c r="E283" t="s">
        <v>63</v>
      </c>
      <c r="F283" t="s">
        <v>59</v>
      </c>
      <c r="G283">
        <v>13</v>
      </c>
      <c r="H283">
        <v>4500</v>
      </c>
      <c r="I283">
        <v>2831</v>
      </c>
      <c r="J283" t="s">
        <v>16</v>
      </c>
      <c r="K283" t="s">
        <v>23</v>
      </c>
      <c r="L283">
        <f>SUM(Clean_Data[[#This Row],[Units_Sold]]*Clean_Data[[#This Row],[Unit_Price]])</f>
        <v>58500</v>
      </c>
      <c r="M283">
        <f>Clean_Data[[#This Row],[Units_Sold]]*Clean_Data[[#This Row],[Cost_Price]]</f>
        <v>36803</v>
      </c>
      <c r="N283">
        <f>Clean_Data[[#This Row],[Total_Sales]]-Clean_Data[[#This Row],[Total_Cost]]</f>
        <v>21697</v>
      </c>
      <c r="O283" s="2">
        <f>Clean_Data[[#This Row],[Profit]]/Clean_Data[[#This Row],[Total_Sales]]</f>
        <v>0.37088888888888888</v>
      </c>
      <c r="P283" t="str">
        <f>_xlfn.XLOOKUP(Clean_Data[[#This Row],[Product_Code]],Product_Catalog!A:A,Product_Catalog!C:C)</f>
        <v>Electronics</v>
      </c>
      <c r="Q283">
        <f>IF(Clean_Data[[#This Row],[Order_Date]]="","",YEAR(Clean_Data[[#This Row],[Order_Date]]))</f>
        <v>2025</v>
      </c>
      <c r="R283" t="str">
        <f>TEXT(Clean_Data[[#This Row],[Order_Date]],"mmm")</f>
        <v>Sep</v>
      </c>
      <c r="S283" t="str">
        <f>TEXT(Clean_Data[[#This Row],[Order_Date]],"mmm-yy")</f>
        <v>Sep-25</v>
      </c>
      <c r="V283"/>
    </row>
    <row r="284" spans="1:22" x14ac:dyDescent="0.25">
      <c r="A284" t="s">
        <v>340</v>
      </c>
      <c r="B284" s="1">
        <v>46025</v>
      </c>
      <c r="C284" t="s">
        <v>48</v>
      </c>
      <c r="D284" t="s">
        <v>26</v>
      </c>
      <c r="E284" t="s">
        <v>66</v>
      </c>
      <c r="F284" t="s">
        <v>67</v>
      </c>
      <c r="G284">
        <v>13</v>
      </c>
      <c r="H284">
        <v>2500</v>
      </c>
      <c r="I284">
        <v>1589</v>
      </c>
      <c r="J284" t="s">
        <v>16</v>
      </c>
      <c r="K284" t="s">
        <v>46</v>
      </c>
      <c r="L284">
        <f>SUM(Clean_Data[[#This Row],[Units_Sold]]*Clean_Data[[#This Row],[Unit_Price]])</f>
        <v>32500</v>
      </c>
      <c r="M284">
        <f>Clean_Data[[#This Row],[Units_Sold]]*Clean_Data[[#This Row],[Cost_Price]]</f>
        <v>20657</v>
      </c>
      <c r="N284">
        <f>Clean_Data[[#This Row],[Total_Sales]]-Clean_Data[[#This Row],[Total_Cost]]</f>
        <v>11843</v>
      </c>
      <c r="O284" s="2">
        <f>Clean_Data[[#This Row],[Profit]]/Clean_Data[[#This Row],[Total_Sales]]</f>
        <v>0.3644</v>
      </c>
      <c r="P284" t="str">
        <f>_xlfn.XLOOKUP(Clean_Data[[#This Row],[Product_Code]],Product_Catalog!A:A,Product_Catalog!C:C)</f>
        <v>Electronics</v>
      </c>
      <c r="Q284">
        <f>IF(Clean_Data[[#This Row],[Order_Date]]="","",YEAR(Clean_Data[[#This Row],[Order_Date]]))</f>
        <v>2026</v>
      </c>
      <c r="R284" t="str">
        <f>TEXT(Clean_Data[[#This Row],[Order_Date]],"mmm")</f>
        <v>Jan</v>
      </c>
      <c r="S284" t="str">
        <f>TEXT(Clean_Data[[#This Row],[Order_Date]],"mmm-yy")</f>
        <v>Jan-26</v>
      </c>
      <c r="V284"/>
    </row>
    <row r="285" spans="1:22" x14ac:dyDescent="0.25">
      <c r="A285" t="s">
        <v>341</v>
      </c>
      <c r="B285" s="1">
        <v>45687</v>
      </c>
      <c r="C285" t="s">
        <v>62</v>
      </c>
      <c r="D285" t="s">
        <v>26</v>
      </c>
      <c r="E285" t="s">
        <v>49</v>
      </c>
      <c r="F285" t="s">
        <v>50</v>
      </c>
      <c r="G285">
        <v>19</v>
      </c>
      <c r="H285">
        <v>75000</v>
      </c>
      <c r="I285">
        <v>45484</v>
      </c>
      <c r="J285" t="s">
        <v>16</v>
      </c>
      <c r="K285" t="s">
        <v>23</v>
      </c>
      <c r="L285">
        <f>SUM(Clean_Data[[#This Row],[Units_Sold]]*Clean_Data[[#This Row],[Unit_Price]])</f>
        <v>1425000</v>
      </c>
      <c r="M285">
        <f>Clean_Data[[#This Row],[Units_Sold]]*Clean_Data[[#This Row],[Cost_Price]]</f>
        <v>864196</v>
      </c>
      <c r="N285">
        <f>Clean_Data[[#This Row],[Total_Sales]]-Clean_Data[[#This Row],[Total_Cost]]</f>
        <v>560804</v>
      </c>
      <c r="O285" s="2">
        <f>Clean_Data[[#This Row],[Profit]]/Clean_Data[[#This Row],[Total_Sales]]</f>
        <v>0.39354666666666666</v>
      </c>
      <c r="P285" t="str">
        <f>_xlfn.XLOOKUP(Clean_Data[[#This Row],[Product_Code]],Product_Catalog!A:A,Product_Catalog!C:C)</f>
        <v>Electronics</v>
      </c>
      <c r="Q285">
        <f>IF(Clean_Data[[#This Row],[Order_Date]]="","",YEAR(Clean_Data[[#This Row],[Order_Date]]))</f>
        <v>2025</v>
      </c>
      <c r="R285" t="str">
        <f>TEXT(Clean_Data[[#This Row],[Order_Date]],"mmm")</f>
        <v>Jan</v>
      </c>
      <c r="S285" t="str">
        <f>TEXT(Clean_Data[[#This Row],[Order_Date]],"mmm-yy")</f>
        <v>Jan-25</v>
      </c>
      <c r="V285"/>
    </row>
    <row r="286" spans="1:22" x14ac:dyDescent="0.25">
      <c r="A286" t="s">
        <v>342</v>
      </c>
      <c r="B286" s="1">
        <v>45665</v>
      </c>
      <c r="C286" t="s">
        <v>62</v>
      </c>
      <c r="D286" t="s">
        <v>13</v>
      </c>
      <c r="E286" t="s">
        <v>49</v>
      </c>
      <c r="F286" t="s">
        <v>50</v>
      </c>
      <c r="G286">
        <v>15</v>
      </c>
      <c r="H286">
        <v>75000</v>
      </c>
      <c r="I286">
        <v>54047</v>
      </c>
      <c r="J286" t="s">
        <v>45</v>
      </c>
      <c r="K286" t="s">
        <v>46</v>
      </c>
      <c r="L286">
        <f>SUM(Clean_Data[[#This Row],[Units_Sold]]*Clean_Data[[#This Row],[Unit_Price]])</f>
        <v>1125000</v>
      </c>
      <c r="M286">
        <f>Clean_Data[[#This Row],[Units_Sold]]*Clean_Data[[#This Row],[Cost_Price]]</f>
        <v>810705</v>
      </c>
      <c r="N286">
        <f>Clean_Data[[#This Row],[Total_Sales]]-Clean_Data[[#This Row],[Total_Cost]]</f>
        <v>314295</v>
      </c>
      <c r="O286" s="2">
        <f>Clean_Data[[#This Row],[Profit]]/Clean_Data[[#This Row],[Total_Sales]]</f>
        <v>0.27937333333333331</v>
      </c>
      <c r="P286" t="str">
        <f>_xlfn.XLOOKUP(Clean_Data[[#This Row],[Product_Code]],Product_Catalog!A:A,Product_Catalog!C:C)</f>
        <v>Electronics</v>
      </c>
      <c r="Q286">
        <f>IF(Clean_Data[[#This Row],[Order_Date]]="","",YEAR(Clean_Data[[#This Row],[Order_Date]]))</f>
        <v>2025</v>
      </c>
      <c r="R286" t="str">
        <f>TEXT(Clean_Data[[#This Row],[Order_Date]],"mmm")</f>
        <v>Jan</v>
      </c>
      <c r="S286" t="str">
        <f>TEXT(Clean_Data[[#This Row],[Order_Date]],"mmm-yy")</f>
        <v>Jan-25</v>
      </c>
      <c r="V286"/>
    </row>
    <row r="287" spans="1:22" x14ac:dyDescent="0.25">
      <c r="A287" t="s">
        <v>343</v>
      </c>
      <c r="B287" s="1">
        <v>45858</v>
      </c>
      <c r="C287" t="s">
        <v>25</v>
      </c>
      <c r="D287" t="s">
        <v>40</v>
      </c>
      <c r="E287" t="s">
        <v>63</v>
      </c>
      <c r="F287" t="s">
        <v>59</v>
      </c>
      <c r="G287">
        <v>13</v>
      </c>
      <c r="H287">
        <v>4500</v>
      </c>
      <c r="I287">
        <v>2893</v>
      </c>
      <c r="J287" t="s">
        <v>22</v>
      </c>
      <c r="K287" t="s">
        <v>46</v>
      </c>
      <c r="L287">
        <f>SUM(Clean_Data[[#This Row],[Units_Sold]]*Clean_Data[[#This Row],[Unit_Price]])</f>
        <v>58500</v>
      </c>
      <c r="M287">
        <f>Clean_Data[[#This Row],[Units_Sold]]*Clean_Data[[#This Row],[Cost_Price]]</f>
        <v>37609</v>
      </c>
      <c r="N287">
        <f>Clean_Data[[#This Row],[Total_Sales]]-Clean_Data[[#This Row],[Total_Cost]]</f>
        <v>20891</v>
      </c>
      <c r="O287" s="2">
        <f>Clean_Data[[#This Row],[Profit]]/Clean_Data[[#This Row],[Total_Sales]]</f>
        <v>0.3571111111111111</v>
      </c>
      <c r="P287" t="str">
        <f>_xlfn.XLOOKUP(Clean_Data[[#This Row],[Product_Code]],Product_Catalog!A:A,Product_Catalog!C:C)</f>
        <v>Electronics</v>
      </c>
      <c r="Q287">
        <f>IF(Clean_Data[[#This Row],[Order_Date]]="","",YEAR(Clean_Data[[#This Row],[Order_Date]]))</f>
        <v>2025</v>
      </c>
      <c r="R287" t="str">
        <f>TEXT(Clean_Data[[#This Row],[Order_Date]],"mmm")</f>
        <v>Jul</v>
      </c>
      <c r="S287" t="str">
        <f>TEXT(Clean_Data[[#This Row],[Order_Date]],"mmm-yy")</f>
        <v>Jul-25</v>
      </c>
      <c r="V287"/>
    </row>
    <row r="288" spans="1:22" x14ac:dyDescent="0.25">
      <c r="A288" t="s">
        <v>344</v>
      </c>
      <c r="B288" s="1">
        <v>46055</v>
      </c>
      <c r="C288" t="s">
        <v>25</v>
      </c>
      <c r="D288" t="s">
        <v>40</v>
      </c>
      <c r="E288" t="s">
        <v>37</v>
      </c>
      <c r="F288" t="s">
        <v>38</v>
      </c>
      <c r="G288">
        <v>15</v>
      </c>
      <c r="H288">
        <v>55000</v>
      </c>
      <c r="I288">
        <v>42707</v>
      </c>
      <c r="J288" t="s">
        <v>29</v>
      </c>
      <c r="K288" t="s">
        <v>17</v>
      </c>
      <c r="L288">
        <f>SUM(Clean_Data[[#This Row],[Units_Sold]]*Clean_Data[[#This Row],[Unit_Price]])</f>
        <v>825000</v>
      </c>
      <c r="M288">
        <f>Clean_Data[[#This Row],[Units_Sold]]*Clean_Data[[#This Row],[Cost_Price]]</f>
        <v>640605</v>
      </c>
      <c r="N288">
        <f>Clean_Data[[#This Row],[Total_Sales]]-Clean_Data[[#This Row],[Total_Cost]]</f>
        <v>184395</v>
      </c>
      <c r="O288" s="2">
        <f>Clean_Data[[#This Row],[Profit]]/Clean_Data[[#This Row],[Total_Sales]]</f>
        <v>0.22350909090909091</v>
      </c>
      <c r="P288" t="str">
        <f>_xlfn.XLOOKUP(Clean_Data[[#This Row],[Product_Code]],Product_Catalog!A:A,Product_Catalog!C:C)</f>
        <v>Electronics</v>
      </c>
      <c r="Q288">
        <f>IF(Clean_Data[[#This Row],[Order_Date]]="","",YEAR(Clean_Data[[#This Row],[Order_Date]]))</f>
        <v>2026</v>
      </c>
      <c r="R288" t="str">
        <f>TEXT(Clean_Data[[#This Row],[Order_Date]],"mmm")</f>
        <v>Feb</v>
      </c>
      <c r="S288" t="str">
        <f>TEXT(Clean_Data[[#This Row],[Order_Date]],"mmm-yy")</f>
        <v>Feb-26</v>
      </c>
      <c r="V288"/>
    </row>
    <row r="289" spans="1:22" x14ac:dyDescent="0.25">
      <c r="A289" t="s">
        <v>345</v>
      </c>
      <c r="B289" s="1">
        <v>46128</v>
      </c>
      <c r="C289" t="s">
        <v>53</v>
      </c>
      <c r="D289" t="s">
        <v>36</v>
      </c>
      <c r="E289" t="s">
        <v>49</v>
      </c>
      <c r="F289" t="s">
        <v>50</v>
      </c>
      <c r="G289">
        <v>1</v>
      </c>
      <c r="H289">
        <v>75000</v>
      </c>
      <c r="I289">
        <v>48637</v>
      </c>
      <c r="J289" t="s">
        <v>22</v>
      </c>
      <c r="K289" t="s">
        <v>17</v>
      </c>
      <c r="L289">
        <f>SUM(Clean_Data[[#This Row],[Units_Sold]]*Clean_Data[[#This Row],[Unit_Price]])</f>
        <v>75000</v>
      </c>
      <c r="M289">
        <f>Clean_Data[[#This Row],[Units_Sold]]*Clean_Data[[#This Row],[Cost_Price]]</f>
        <v>48637</v>
      </c>
      <c r="N289">
        <f>Clean_Data[[#This Row],[Total_Sales]]-Clean_Data[[#This Row],[Total_Cost]]</f>
        <v>26363</v>
      </c>
      <c r="O289" s="2">
        <f>Clean_Data[[#This Row],[Profit]]/Clean_Data[[#This Row],[Total_Sales]]</f>
        <v>0.35150666666666669</v>
      </c>
      <c r="P289" t="str">
        <f>_xlfn.XLOOKUP(Clean_Data[[#This Row],[Product_Code]],Product_Catalog!A:A,Product_Catalog!C:C)</f>
        <v>Electronics</v>
      </c>
      <c r="Q289">
        <f>IF(Clean_Data[[#This Row],[Order_Date]]="","",YEAR(Clean_Data[[#This Row],[Order_Date]]))</f>
        <v>2026</v>
      </c>
      <c r="R289" t="str">
        <f>TEXT(Clean_Data[[#This Row],[Order_Date]],"mmm")</f>
        <v>Apr</v>
      </c>
      <c r="S289" t="str">
        <f>TEXT(Clean_Data[[#This Row],[Order_Date]],"mmm-yy")</f>
        <v>Apr-26</v>
      </c>
      <c r="V289"/>
    </row>
    <row r="290" spans="1:22" x14ac:dyDescent="0.25">
      <c r="A290" t="s">
        <v>346</v>
      </c>
      <c r="B290" s="1">
        <v>45813</v>
      </c>
      <c r="C290" t="s">
        <v>44</v>
      </c>
      <c r="D290" t="s">
        <v>40</v>
      </c>
      <c r="E290" t="s">
        <v>41</v>
      </c>
      <c r="F290" t="s">
        <v>42</v>
      </c>
      <c r="G290">
        <v>13</v>
      </c>
      <c r="H290">
        <v>28000</v>
      </c>
      <c r="I290">
        <v>17600</v>
      </c>
      <c r="J290" t="s">
        <v>16</v>
      </c>
      <c r="K290" t="s">
        <v>23</v>
      </c>
      <c r="L290">
        <f>SUM(Clean_Data[[#This Row],[Units_Sold]]*Clean_Data[[#This Row],[Unit_Price]])</f>
        <v>364000</v>
      </c>
      <c r="M290">
        <f>Clean_Data[[#This Row],[Units_Sold]]*Clean_Data[[#This Row],[Cost_Price]]</f>
        <v>228800</v>
      </c>
      <c r="N290">
        <f>Clean_Data[[#This Row],[Total_Sales]]-Clean_Data[[#This Row],[Total_Cost]]</f>
        <v>135200</v>
      </c>
      <c r="O290" s="2">
        <f>Clean_Data[[#This Row],[Profit]]/Clean_Data[[#This Row],[Total_Sales]]</f>
        <v>0.37142857142857144</v>
      </c>
      <c r="P290" t="str">
        <f>_xlfn.XLOOKUP(Clean_Data[[#This Row],[Product_Code]],Product_Catalog!A:A,Product_Catalog!C:C)</f>
        <v>Electronics</v>
      </c>
      <c r="Q290">
        <f>IF(Clean_Data[[#This Row],[Order_Date]]="","",YEAR(Clean_Data[[#This Row],[Order_Date]]))</f>
        <v>2025</v>
      </c>
      <c r="R290" t="str">
        <f>TEXT(Clean_Data[[#This Row],[Order_Date]],"mmm")</f>
        <v>Jun</v>
      </c>
      <c r="S290" t="str">
        <f>TEXT(Clean_Data[[#This Row],[Order_Date]],"mmm-yy")</f>
        <v>Jun-25</v>
      </c>
      <c r="V290"/>
    </row>
    <row r="291" spans="1:22" x14ac:dyDescent="0.25">
      <c r="A291" t="s">
        <v>347</v>
      </c>
      <c r="B291" s="1">
        <v>45933</v>
      </c>
      <c r="C291" t="s">
        <v>53</v>
      </c>
      <c r="D291" t="s">
        <v>33</v>
      </c>
      <c r="E291" t="s">
        <v>14</v>
      </c>
      <c r="F291" t="s">
        <v>15</v>
      </c>
      <c r="G291">
        <v>19</v>
      </c>
      <c r="H291">
        <v>12500</v>
      </c>
      <c r="I291">
        <v>8307</v>
      </c>
      <c r="J291" t="s">
        <v>45</v>
      </c>
      <c r="K291" t="s">
        <v>17</v>
      </c>
      <c r="L291">
        <f>SUM(Clean_Data[[#This Row],[Units_Sold]]*Clean_Data[[#This Row],[Unit_Price]])</f>
        <v>237500</v>
      </c>
      <c r="M291">
        <f>Clean_Data[[#This Row],[Units_Sold]]*Clean_Data[[#This Row],[Cost_Price]]</f>
        <v>157833</v>
      </c>
      <c r="N291">
        <f>Clean_Data[[#This Row],[Total_Sales]]-Clean_Data[[#This Row],[Total_Cost]]</f>
        <v>79667</v>
      </c>
      <c r="O291" s="2">
        <f>Clean_Data[[#This Row],[Profit]]/Clean_Data[[#This Row],[Total_Sales]]</f>
        <v>0.33544000000000002</v>
      </c>
      <c r="P291" t="str">
        <f>_xlfn.XLOOKUP(Clean_Data[[#This Row],[Product_Code]],Product_Catalog!A:A,Product_Catalog!C:C)</f>
        <v>Accessories</v>
      </c>
      <c r="Q291">
        <f>IF(Clean_Data[[#This Row],[Order_Date]]="","",YEAR(Clean_Data[[#This Row],[Order_Date]]))</f>
        <v>2025</v>
      </c>
      <c r="R291" t="str">
        <f>TEXT(Clean_Data[[#This Row],[Order_Date]],"mmm")</f>
        <v>Oct</v>
      </c>
      <c r="S291" t="str">
        <f>TEXT(Clean_Data[[#This Row],[Order_Date]],"mmm-yy")</f>
        <v>Oct-25</v>
      </c>
      <c r="V291"/>
    </row>
    <row r="292" spans="1:22" x14ac:dyDescent="0.25">
      <c r="A292" t="s">
        <v>348</v>
      </c>
      <c r="B292" s="1">
        <v>45963</v>
      </c>
      <c r="C292" t="s">
        <v>44</v>
      </c>
      <c r="D292" t="s">
        <v>40</v>
      </c>
      <c r="E292" t="s">
        <v>27</v>
      </c>
      <c r="F292" t="s">
        <v>28</v>
      </c>
      <c r="G292">
        <v>8</v>
      </c>
      <c r="H292">
        <v>14000</v>
      </c>
      <c r="I292">
        <v>10709</v>
      </c>
      <c r="J292" t="s">
        <v>22</v>
      </c>
      <c r="K292" t="s">
        <v>46</v>
      </c>
      <c r="L292">
        <f>SUM(Clean_Data[[#This Row],[Units_Sold]]*Clean_Data[[#This Row],[Unit_Price]])</f>
        <v>112000</v>
      </c>
      <c r="M292">
        <f>Clean_Data[[#This Row],[Units_Sold]]*Clean_Data[[#This Row],[Cost_Price]]</f>
        <v>85672</v>
      </c>
      <c r="N292">
        <f>Clean_Data[[#This Row],[Total_Sales]]-Clean_Data[[#This Row],[Total_Cost]]</f>
        <v>26328</v>
      </c>
      <c r="O292" s="2">
        <f>Clean_Data[[#This Row],[Profit]]/Clean_Data[[#This Row],[Total_Sales]]</f>
        <v>0.23507142857142857</v>
      </c>
      <c r="P292" t="str">
        <f>_xlfn.XLOOKUP(Clean_Data[[#This Row],[Product_Code]],Product_Catalog!A:A,Product_Catalog!C:C)</f>
        <v>Furniture</v>
      </c>
      <c r="Q292">
        <f>IF(Clean_Data[[#This Row],[Order_Date]]="","",YEAR(Clean_Data[[#This Row],[Order_Date]]))</f>
        <v>2025</v>
      </c>
      <c r="R292" t="str">
        <f>TEXT(Clean_Data[[#This Row],[Order_Date]],"mmm")</f>
        <v>Nov</v>
      </c>
      <c r="S292" t="str">
        <f>TEXT(Clean_Data[[#This Row],[Order_Date]],"mmm-yy")</f>
        <v>Nov-25</v>
      </c>
      <c r="V292"/>
    </row>
    <row r="293" spans="1:22" x14ac:dyDescent="0.25">
      <c r="A293" t="s">
        <v>349</v>
      </c>
      <c r="B293" s="1">
        <v>45928</v>
      </c>
      <c r="C293" t="s">
        <v>53</v>
      </c>
      <c r="D293" t="s">
        <v>33</v>
      </c>
      <c r="E293" t="s">
        <v>55</v>
      </c>
      <c r="F293" t="s">
        <v>34</v>
      </c>
      <c r="G293">
        <v>18</v>
      </c>
      <c r="H293">
        <v>35000</v>
      </c>
      <c r="I293">
        <v>22407</v>
      </c>
      <c r="J293" t="s">
        <v>29</v>
      </c>
      <c r="K293" t="s">
        <v>17</v>
      </c>
      <c r="L293">
        <f>SUM(Clean_Data[[#This Row],[Units_Sold]]*Clean_Data[[#This Row],[Unit_Price]])</f>
        <v>630000</v>
      </c>
      <c r="M293">
        <f>Clean_Data[[#This Row],[Units_Sold]]*Clean_Data[[#This Row],[Cost_Price]]</f>
        <v>403326</v>
      </c>
      <c r="N293">
        <f>Clean_Data[[#This Row],[Total_Sales]]-Clean_Data[[#This Row],[Total_Cost]]</f>
        <v>226674</v>
      </c>
      <c r="O293" s="2">
        <f>Clean_Data[[#This Row],[Profit]]/Clean_Data[[#This Row],[Total_Sales]]</f>
        <v>0.35980000000000001</v>
      </c>
      <c r="P293" t="str">
        <f>_xlfn.XLOOKUP(Clean_Data[[#This Row],[Product_Code]],Product_Catalog!A:A,Product_Catalog!C:C)</f>
        <v>Furniture</v>
      </c>
      <c r="Q293">
        <f>IF(Clean_Data[[#This Row],[Order_Date]]="","",YEAR(Clean_Data[[#This Row],[Order_Date]]))</f>
        <v>2025</v>
      </c>
      <c r="R293" t="str">
        <f>TEXT(Clean_Data[[#This Row],[Order_Date]],"mmm")</f>
        <v>Sep</v>
      </c>
      <c r="S293" t="str">
        <f>TEXT(Clean_Data[[#This Row],[Order_Date]],"mmm-yy")</f>
        <v>Sep-25</v>
      </c>
      <c r="V293"/>
    </row>
    <row r="294" spans="1:22" x14ac:dyDescent="0.25">
      <c r="A294" t="s">
        <v>350</v>
      </c>
      <c r="B294" s="1">
        <v>45885</v>
      </c>
      <c r="C294" t="s">
        <v>31</v>
      </c>
      <c r="D294" t="s">
        <v>13</v>
      </c>
      <c r="E294" t="s">
        <v>41</v>
      </c>
      <c r="F294" t="s">
        <v>42</v>
      </c>
      <c r="G294">
        <v>15</v>
      </c>
      <c r="H294">
        <v>28000</v>
      </c>
      <c r="I294">
        <v>20270</v>
      </c>
      <c r="J294" t="s">
        <v>16</v>
      </c>
      <c r="K294" t="s">
        <v>23</v>
      </c>
      <c r="L294">
        <f>SUM(Clean_Data[[#This Row],[Units_Sold]]*Clean_Data[[#This Row],[Unit_Price]])</f>
        <v>420000</v>
      </c>
      <c r="M294">
        <f>Clean_Data[[#This Row],[Units_Sold]]*Clean_Data[[#This Row],[Cost_Price]]</f>
        <v>304050</v>
      </c>
      <c r="N294">
        <f>Clean_Data[[#This Row],[Total_Sales]]-Clean_Data[[#This Row],[Total_Cost]]</f>
        <v>115950</v>
      </c>
      <c r="O294" s="2">
        <f>Clean_Data[[#This Row],[Profit]]/Clean_Data[[#This Row],[Total_Sales]]</f>
        <v>0.27607142857142858</v>
      </c>
      <c r="P294" t="str">
        <f>_xlfn.XLOOKUP(Clean_Data[[#This Row],[Product_Code]],Product_Catalog!A:A,Product_Catalog!C:C)</f>
        <v>Electronics</v>
      </c>
      <c r="Q294">
        <f>IF(Clean_Data[[#This Row],[Order_Date]]="","",YEAR(Clean_Data[[#This Row],[Order_Date]]))</f>
        <v>2025</v>
      </c>
      <c r="R294" t="str">
        <f>TEXT(Clean_Data[[#This Row],[Order_Date]],"mmm")</f>
        <v>Aug</v>
      </c>
      <c r="S294" t="str">
        <f>TEXT(Clean_Data[[#This Row],[Order_Date]],"mmm-yy")</f>
        <v>Aug-25</v>
      </c>
      <c r="V294"/>
    </row>
    <row r="295" spans="1:22" x14ac:dyDescent="0.25">
      <c r="A295" t="s">
        <v>351</v>
      </c>
      <c r="B295" s="1">
        <v>46210</v>
      </c>
      <c r="C295" t="s">
        <v>73</v>
      </c>
      <c r="D295" t="s">
        <v>13</v>
      </c>
      <c r="E295" t="s">
        <v>63</v>
      </c>
      <c r="F295" t="s">
        <v>59</v>
      </c>
      <c r="G295">
        <v>16</v>
      </c>
      <c r="H295">
        <v>4500</v>
      </c>
      <c r="I295">
        <v>3179</v>
      </c>
      <c r="J295" t="s">
        <v>16</v>
      </c>
      <c r="K295" t="s">
        <v>23</v>
      </c>
      <c r="L295">
        <f>SUM(Clean_Data[[#This Row],[Units_Sold]]*Clean_Data[[#This Row],[Unit_Price]])</f>
        <v>72000</v>
      </c>
      <c r="M295">
        <f>Clean_Data[[#This Row],[Units_Sold]]*Clean_Data[[#This Row],[Cost_Price]]</f>
        <v>50864</v>
      </c>
      <c r="N295">
        <f>Clean_Data[[#This Row],[Total_Sales]]-Clean_Data[[#This Row],[Total_Cost]]</f>
        <v>21136</v>
      </c>
      <c r="O295" s="2">
        <f>Clean_Data[[#This Row],[Profit]]/Clean_Data[[#This Row],[Total_Sales]]</f>
        <v>0.29355555555555557</v>
      </c>
      <c r="P295" t="str">
        <f>_xlfn.XLOOKUP(Clean_Data[[#This Row],[Product_Code]],Product_Catalog!A:A,Product_Catalog!C:C)</f>
        <v>Electronics</v>
      </c>
      <c r="Q295">
        <f>IF(Clean_Data[[#This Row],[Order_Date]]="","",YEAR(Clean_Data[[#This Row],[Order_Date]]))</f>
        <v>2026</v>
      </c>
      <c r="R295" t="str">
        <f>TEXT(Clean_Data[[#This Row],[Order_Date]],"mmm")</f>
        <v>Jul</v>
      </c>
      <c r="S295" t="str">
        <f>TEXT(Clean_Data[[#This Row],[Order_Date]],"mmm-yy")</f>
        <v>Jul-26</v>
      </c>
      <c r="V295"/>
    </row>
    <row r="296" spans="1:22" x14ac:dyDescent="0.25">
      <c r="A296" t="s">
        <v>352</v>
      </c>
      <c r="B296" s="1">
        <v>45987</v>
      </c>
      <c r="C296" t="s">
        <v>25</v>
      </c>
      <c r="D296" t="s">
        <v>13</v>
      </c>
      <c r="E296" t="s">
        <v>66</v>
      </c>
      <c r="F296" t="s">
        <v>67</v>
      </c>
      <c r="G296">
        <v>9</v>
      </c>
      <c r="H296">
        <v>2500</v>
      </c>
      <c r="I296">
        <v>1613</v>
      </c>
      <c r="J296" t="s">
        <v>45</v>
      </c>
      <c r="K296" t="s">
        <v>17</v>
      </c>
      <c r="L296">
        <f>SUM(Clean_Data[[#This Row],[Units_Sold]]*Clean_Data[[#This Row],[Unit_Price]])</f>
        <v>22500</v>
      </c>
      <c r="M296">
        <f>Clean_Data[[#This Row],[Units_Sold]]*Clean_Data[[#This Row],[Cost_Price]]</f>
        <v>14517</v>
      </c>
      <c r="N296">
        <f>Clean_Data[[#This Row],[Total_Sales]]-Clean_Data[[#This Row],[Total_Cost]]</f>
        <v>7983</v>
      </c>
      <c r="O296" s="2">
        <f>Clean_Data[[#This Row],[Profit]]/Clean_Data[[#This Row],[Total_Sales]]</f>
        <v>0.3548</v>
      </c>
      <c r="P296" t="str">
        <f>_xlfn.XLOOKUP(Clean_Data[[#This Row],[Product_Code]],Product_Catalog!A:A,Product_Catalog!C:C)</f>
        <v>Electronics</v>
      </c>
      <c r="Q296">
        <f>IF(Clean_Data[[#This Row],[Order_Date]]="","",YEAR(Clean_Data[[#This Row],[Order_Date]]))</f>
        <v>2025</v>
      </c>
      <c r="R296" t="str">
        <f>TEXT(Clean_Data[[#This Row],[Order_Date]],"mmm")</f>
        <v>Nov</v>
      </c>
      <c r="S296" t="str">
        <f>TEXT(Clean_Data[[#This Row],[Order_Date]],"mmm-yy")</f>
        <v>Nov-25</v>
      </c>
      <c r="V296"/>
    </row>
    <row r="297" spans="1:22" x14ac:dyDescent="0.25">
      <c r="A297" t="s">
        <v>353</v>
      </c>
      <c r="B297" s="1">
        <v>45751</v>
      </c>
      <c r="C297" t="s">
        <v>25</v>
      </c>
      <c r="D297" t="s">
        <v>13</v>
      </c>
      <c r="E297" t="s">
        <v>66</v>
      </c>
      <c r="F297" t="s">
        <v>67</v>
      </c>
      <c r="G297">
        <v>18</v>
      </c>
      <c r="H297">
        <v>2500</v>
      </c>
      <c r="I297">
        <v>1779</v>
      </c>
      <c r="J297" t="s">
        <v>29</v>
      </c>
      <c r="K297" t="s">
        <v>23</v>
      </c>
      <c r="L297">
        <f>SUM(Clean_Data[[#This Row],[Units_Sold]]*Clean_Data[[#This Row],[Unit_Price]])</f>
        <v>45000</v>
      </c>
      <c r="M297">
        <f>Clean_Data[[#This Row],[Units_Sold]]*Clean_Data[[#This Row],[Cost_Price]]</f>
        <v>32022</v>
      </c>
      <c r="N297">
        <f>Clean_Data[[#This Row],[Total_Sales]]-Clean_Data[[#This Row],[Total_Cost]]</f>
        <v>12978</v>
      </c>
      <c r="O297" s="2">
        <f>Clean_Data[[#This Row],[Profit]]/Clean_Data[[#This Row],[Total_Sales]]</f>
        <v>0.28839999999999999</v>
      </c>
      <c r="P297" t="str">
        <f>_xlfn.XLOOKUP(Clean_Data[[#This Row],[Product_Code]],Product_Catalog!A:A,Product_Catalog!C:C)</f>
        <v>Electronics</v>
      </c>
      <c r="Q297">
        <f>IF(Clean_Data[[#This Row],[Order_Date]]="","",YEAR(Clean_Data[[#This Row],[Order_Date]]))</f>
        <v>2025</v>
      </c>
      <c r="R297" t="str">
        <f>TEXT(Clean_Data[[#This Row],[Order_Date]],"mmm")</f>
        <v>Apr</v>
      </c>
      <c r="S297" t="str">
        <f>TEXT(Clean_Data[[#This Row],[Order_Date]],"mmm-yy")</f>
        <v>Apr-25</v>
      </c>
      <c r="V297"/>
    </row>
    <row r="298" spans="1:22" x14ac:dyDescent="0.25">
      <c r="A298" t="s">
        <v>354</v>
      </c>
      <c r="B298" s="1">
        <v>46008</v>
      </c>
      <c r="C298" t="s">
        <v>19</v>
      </c>
      <c r="D298" t="s">
        <v>40</v>
      </c>
      <c r="E298" t="s">
        <v>63</v>
      </c>
      <c r="F298" t="s">
        <v>59</v>
      </c>
      <c r="G298">
        <v>11</v>
      </c>
      <c r="H298">
        <v>4500</v>
      </c>
      <c r="I298">
        <v>3280</v>
      </c>
      <c r="J298" t="s">
        <v>22</v>
      </c>
      <c r="K298" t="s">
        <v>46</v>
      </c>
      <c r="L298">
        <f>SUM(Clean_Data[[#This Row],[Units_Sold]]*Clean_Data[[#This Row],[Unit_Price]])</f>
        <v>49500</v>
      </c>
      <c r="M298">
        <f>Clean_Data[[#This Row],[Units_Sold]]*Clean_Data[[#This Row],[Cost_Price]]</f>
        <v>36080</v>
      </c>
      <c r="N298">
        <f>Clean_Data[[#This Row],[Total_Sales]]-Clean_Data[[#This Row],[Total_Cost]]</f>
        <v>13420</v>
      </c>
      <c r="O298" s="2">
        <f>Clean_Data[[#This Row],[Profit]]/Clean_Data[[#This Row],[Total_Sales]]</f>
        <v>0.27111111111111114</v>
      </c>
      <c r="P298" t="str">
        <f>_xlfn.XLOOKUP(Clean_Data[[#This Row],[Product_Code]],Product_Catalog!A:A,Product_Catalog!C:C)</f>
        <v>Electronics</v>
      </c>
      <c r="Q298">
        <f>IF(Clean_Data[[#This Row],[Order_Date]]="","",YEAR(Clean_Data[[#This Row],[Order_Date]]))</f>
        <v>2025</v>
      </c>
      <c r="R298" t="str">
        <f>TEXT(Clean_Data[[#This Row],[Order_Date]],"mmm")</f>
        <v>Dec</v>
      </c>
      <c r="S298" t="str">
        <f>TEXT(Clean_Data[[#This Row],[Order_Date]],"mmm-yy")</f>
        <v>Dec-25</v>
      </c>
      <c r="V298"/>
    </row>
    <row r="299" spans="1:22" x14ac:dyDescent="0.25">
      <c r="A299" t="s">
        <v>355</v>
      </c>
      <c r="B299" s="1">
        <v>45888</v>
      </c>
      <c r="C299" t="s">
        <v>19</v>
      </c>
      <c r="D299" t="s">
        <v>36</v>
      </c>
      <c r="E299" t="s">
        <v>20</v>
      </c>
      <c r="F299" t="s">
        <v>21</v>
      </c>
      <c r="G299">
        <v>10</v>
      </c>
      <c r="H299">
        <v>8500</v>
      </c>
      <c r="I299">
        <v>5927</v>
      </c>
      <c r="J299" t="s">
        <v>22</v>
      </c>
      <c r="K299" t="s">
        <v>17</v>
      </c>
      <c r="L299">
        <f>SUM(Clean_Data[[#This Row],[Units_Sold]]*Clean_Data[[#This Row],[Unit_Price]])</f>
        <v>85000</v>
      </c>
      <c r="M299">
        <f>Clean_Data[[#This Row],[Units_Sold]]*Clean_Data[[#This Row],[Cost_Price]]</f>
        <v>59270</v>
      </c>
      <c r="N299">
        <f>Clean_Data[[#This Row],[Total_Sales]]-Clean_Data[[#This Row],[Total_Cost]]</f>
        <v>25730</v>
      </c>
      <c r="O299" s="2">
        <f>Clean_Data[[#This Row],[Profit]]/Clean_Data[[#This Row],[Total_Sales]]</f>
        <v>0.30270588235294116</v>
      </c>
      <c r="P299" t="str">
        <f>_xlfn.XLOOKUP(Clean_Data[[#This Row],[Product_Code]],Product_Catalog!A:A,Product_Catalog!C:C)</f>
        <v>Accessories</v>
      </c>
      <c r="Q299">
        <f>IF(Clean_Data[[#This Row],[Order_Date]]="","",YEAR(Clean_Data[[#This Row],[Order_Date]]))</f>
        <v>2025</v>
      </c>
      <c r="R299" t="str">
        <f>TEXT(Clean_Data[[#This Row],[Order_Date]],"mmm")</f>
        <v>Aug</v>
      </c>
      <c r="S299" t="str">
        <f>TEXT(Clean_Data[[#This Row],[Order_Date]],"mmm-yy")</f>
        <v>Aug-25</v>
      </c>
      <c r="V299"/>
    </row>
    <row r="300" spans="1:22" x14ac:dyDescent="0.25">
      <c r="A300" t="s">
        <v>356</v>
      </c>
      <c r="B300" s="1">
        <v>46095</v>
      </c>
      <c r="C300" t="s">
        <v>44</v>
      </c>
      <c r="D300" t="s">
        <v>13</v>
      </c>
      <c r="E300" t="s">
        <v>27</v>
      </c>
      <c r="F300" t="s">
        <v>28</v>
      </c>
      <c r="G300">
        <v>19</v>
      </c>
      <c r="H300">
        <v>14000</v>
      </c>
      <c r="I300">
        <v>9150</v>
      </c>
      <c r="J300" t="s">
        <v>22</v>
      </c>
      <c r="K300" t="s">
        <v>23</v>
      </c>
      <c r="L300">
        <f>SUM(Clean_Data[[#This Row],[Units_Sold]]*Clean_Data[[#This Row],[Unit_Price]])</f>
        <v>266000</v>
      </c>
      <c r="M300">
        <f>Clean_Data[[#This Row],[Units_Sold]]*Clean_Data[[#This Row],[Cost_Price]]</f>
        <v>173850</v>
      </c>
      <c r="N300">
        <f>Clean_Data[[#This Row],[Total_Sales]]-Clean_Data[[#This Row],[Total_Cost]]</f>
        <v>92150</v>
      </c>
      <c r="O300" s="2">
        <f>Clean_Data[[#This Row],[Profit]]/Clean_Data[[#This Row],[Total_Sales]]</f>
        <v>0.34642857142857142</v>
      </c>
      <c r="P300" t="str">
        <f>_xlfn.XLOOKUP(Clean_Data[[#This Row],[Product_Code]],Product_Catalog!A:A,Product_Catalog!C:C)</f>
        <v>Furniture</v>
      </c>
      <c r="Q300">
        <f>IF(Clean_Data[[#This Row],[Order_Date]]="","",YEAR(Clean_Data[[#This Row],[Order_Date]]))</f>
        <v>2026</v>
      </c>
      <c r="R300" t="str">
        <f>TEXT(Clean_Data[[#This Row],[Order_Date]],"mmm")</f>
        <v>Mar</v>
      </c>
      <c r="S300" t="str">
        <f>TEXT(Clean_Data[[#This Row],[Order_Date]],"mmm-yy")</f>
        <v>Mar-26</v>
      </c>
      <c r="V300"/>
    </row>
    <row r="301" spans="1:22" x14ac:dyDescent="0.25">
      <c r="A301" t="s">
        <v>357</v>
      </c>
      <c r="B301" s="1">
        <v>45768</v>
      </c>
      <c r="C301" t="s">
        <v>25</v>
      </c>
      <c r="D301" t="s">
        <v>40</v>
      </c>
      <c r="E301" t="s">
        <v>63</v>
      </c>
      <c r="F301" t="s">
        <v>59</v>
      </c>
      <c r="G301">
        <v>7</v>
      </c>
      <c r="H301">
        <v>4500</v>
      </c>
      <c r="I301">
        <v>2910</v>
      </c>
      <c r="J301" t="s">
        <v>29</v>
      </c>
      <c r="K301" t="s">
        <v>17</v>
      </c>
      <c r="L301">
        <f>SUM(Clean_Data[[#This Row],[Units_Sold]]*Clean_Data[[#This Row],[Unit_Price]])</f>
        <v>31500</v>
      </c>
      <c r="M301">
        <f>Clean_Data[[#This Row],[Units_Sold]]*Clean_Data[[#This Row],[Cost_Price]]</f>
        <v>20370</v>
      </c>
      <c r="N301">
        <f>Clean_Data[[#This Row],[Total_Sales]]-Clean_Data[[#This Row],[Total_Cost]]</f>
        <v>11130</v>
      </c>
      <c r="O301" s="2">
        <f>Clean_Data[[#This Row],[Profit]]/Clean_Data[[#This Row],[Total_Sales]]</f>
        <v>0.35333333333333333</v>
      </c>
      <c r="P301" t="str">
        <f>_xlfn.XLOOKUP(Clean_Data[[#This Row],[Product_Code]],Product_Catalog!A:A,Product_Catalog!C:C)</f>
        <v>Electronics</v>
      </c>
      <c r="Q301">
        <f>IF(Clean_Data[[#This Row],[Order_Date]]="","",YEAR(Clean_Data[[#This Row],[Order_Date]]))</f>
        <v>2025</v>
      </c>
      <c r="R301" t="str">
        <f>TEXT(Clean_Data[[#This Row],[Order_Date]],"mmm")</f>
        <v>Apr</v>
      </c>
      <c r="S301" t="str">
        <f>TEXT(Clean_Data[[#This Row],[Order_Date]],"mmm-yy")</f>
        <v>Apr-25</v>
      </c>
      <c r="V301"/>
    </row>
    <row r="302" spans="1:22" x14ac:dyDescent="0.25">
      <c r="A302" t="s">
        <v>358</v>
      </c>
      <c r="B302" s="1">
        <v>46057</v>
      </c>
      <c r="C302" t="s">
        <v>53</v>
      </c>
      <c r="D302" t="s">
        <v>36</v>
      </c>
      <c r="E302" t="s">
        <v>55</v>
      </c>
      <c r="F302" t="s">
        <v>34</v>
      </c>
      <c r="G302">
        <v>16</v>
      </c>
      <c r="H302">
        <v>35000</v>
      </c>
      <c r="I302">
        <v>21706</v>
      </c>
      <c r="J302" t="s">
        <v>29</v>
      </c>
      <c r="K302" t="s">
        <v>46</v>
      </c>
      <c r="L302">
        <f>SUM(Clean_Data[[#This Row],[Units_Sold]]*Clean_Data[[#This Row],[Unit_Price]])</f>
        <v>560000</v>
      </c>
      <c r="M302">
        <f>Clean_Data[[#This Row],[Units_Sold]]*Clean_Data[[#This Row],[Cost_Price]]</f>
        <v>347296</v>
      </c>
      <c r="N302">
        <f>Clean_Data[[#This Row],[Total_Sales]]-Clean_Data[[#This Row],[Total_Cost]]</f>
        <v>212704</v>
      </c>
      <c r="O302" s="2">
        <f>Clean_Data[[#This Row],[Profit]]/Clean_Data[[#This Row],[Total_Sales]]</f>
        <v>0.3798285714285714</v>
      </c>
      <c r="P302" t="str">
        <f>_xlfn.XLOOKUP(Clean_Data[[#This Row],[Product_Code]],Product_Catalog!A:A,Product_Catalog!C:C)</f>
        <v>Furniture</v>
      </c>
      <c r="Q302">
        <f>IF(Clean_Data[[#This Row],[Order_Date]]="","",YEAR(Clean_Data[[#This Row],[Order_Date]]))</f>
        <v>2026</v>
      </c>
      <c r="R302" t="str">
        <f>TEXT(Clean_Data[[#This Row],[Order_Date]],"mmm")</f>
        <v>Feb</v>
      </c>
      <c r="S302" t="str">
        <f>TEXT(Clean_Data[[#This Row],[Order_Date]],"mmm-yy")</f>
        <v>Feb-26</v>
      </c>
      <c r="V302"/>
    </row>
    <row r="303" spans="1:22" x14ac:dyDescent="0.25">
      <c r="A303" t="s">
        <v>359</v>
      </c>
      <c r="B303" s="1">
        <v>45883</v>
      </c>
      <c r="C303" t="s">
        <v>12</v>
      </c>
      <c r="D303" t="s">
        <v>13</v>
      </c>
      <c r="E303" t="s">
        <v>41</v>
      </c>
      <c r="F303" t="s">
        <v>42</v>
      </c>
      <c r="G303">
        <v>17</v>
      </c>
      <c r="H303">
        <v>28000</v>
      </c>
      <c r="I303">
        <v>18594</v>
      </c>
      <c r="J303" t="s">
        <v>22</v>
      </c>
      <c r="K303" t="s">
        <v>17</v>
      </c>
      <c r="L303">
        <f>SUM(Clean_Data[[#This Row],[Units_Sold]]*Clean_Data[[#This Row],[Unit_Price]])</f>
        <v>476000</v>
      </c>
      <c r="M303">
        <f>Clean_Data[[#This Row],[Units_Sold]]*Clean_Data[[#This Row],[Cost_Price]]</f>
        <v>316098</v>
      </c>
      <c r="N303">
        <f>Clean_Data[[#This Row],[Total_Sales]]-Clean_Data[[#This Row],[Total_Cost]]</f>
        <v>159902</v>
      </c>
      <c r="O303" s="2">
        <f>Clean_Data[[#This Row],[Profit]]/Clean_Data[[#This Row],[Total_Sales]]</f>
        <v>0.33592857142857141</v>
      </c>
      <c r="P303" t="str">
        <f>_xlfn.XLOOKUP(Clean_Data[[#This Row],[Product_Code]],Product_Catalog!A:A,Product_Catalog!C:C)</f>
        <v>Electronics</v>
      </c>
      <c r="Q303">
        <f>IF(Clean_Data[[#This Row],[Order_Date]]="","",YEAR(Clean_Data[[#This Row],[Order_Date]]))</f>
        <v>2025</v>
      </c>
      <c r="R303" t="str">
        <f>TEXT(Clean_Data[[#This Row],[Order_Date]],"mmm")</f>
        <v>Aug</v>
      </c>
      <c r="S303" t="str">
        <f>TEXT(Clean_Data[[#This Row],[Order_Date]],"mmm-yy")</f>
        <v>Aug-25</v>
      </c>
      <c r="V303"/>
    </row>
    <row r="304" spans="1:22" x14ac:dyDescent="0.25">
      <c r="A304" t="s">
        <v>361</v>
      </c>
      <c r="B304" s="1">
        <v>46211</v>
      </c>
      <c r="C304" t="s">
        <v>53</v>
      </c>
      <c r="D304" t="s">
        <v>40</v>
      </c>
      <c r="E304" t="s">
        <v>20</v>
      </c>
      <c r="F304" t="s">
        <v>21</v>
      </c>
      <c r="G304">
        <v>14</v>
      </c>
      <c r="H304">
        <v>8500</v>
      </c>
      <c r="I304">
        <v>6386</v>
      </c>
      <c r="J304" t="s">
        <v>29</v>
      </c>
      <c r="K304" t="s">
        <v>23</v>
      </c>
      <c r="L304">
        <f>SUM(Clean_Data[[#This Row],[Units_Sold]]*Clean_Data[[#This Row],[Unit_Price]])</f>
        <v>119000</v>
      </c>
      <c r="M304">
        <f>Clean_Data[[#This Row],[Units_Sold]]*Clean_Data[[#This Row],[Cost_Price]]</f>
        <v>89404</v>
      </c>
      <c r="N304">
        <f>Clean_Data[[#This Row],[Total_Sales]]-Clean_Data[[#This Row],[Total_Cost]]</f>
        <v>29596</v>
      </c>
      <c r="O304" s="2">
        <f>Clean_Data[[#This Row],[Profit]]/Clean_Data[[#This Row],[Total_Sales]]</f>
        <v>0.24870588235294117</v>
      </c>
      <c r="P304" t="str">
        <f>_xlfn.XLOOKUP(Clean_Data[[#This Row],[Product_Code]],Product_Catalog!A:A,Product_Catalog!C:C)</f>
        <v>Accessories</v>
      </c>
      <c r="Q304">
        <f>IF(Clean_Data[[#This Row],[Order_Date]]="","",YEAR(Clean_Data[[#This Row],[Order_Date]]))</f>
        <v>2026</v>
      </c>
      <c r="R304" t="str">
        <f>TEXT(Clean_Data[[#This Row],[Order_Date]],"mmm")</f>
        <v>Jul</v>
      </c>
      <c r="S304" t="str">
        <f>TEXT(Clean_Data[[#This Row],[Order_Date]],"mmm-yy")</f>
        <v>Jul-26</v>
      </c>
      <c r="V304"/>
    </row>
    <row r="305" spans="1:22" x14ac:dyDescent="0.25">
      <c r="A305" t="s">
        <v>362</v>
      </c>
      <c r="B305" s="1">
        <v>46202</v>
      </c>
      <c r="C305" t="s">
        <v>73</v>
      </c>
      <c r="D305" t="s">
        <v>40</v>
      </c>
      <c r="E305" t="s">
        <v>27</v>
      </c>
      <c r="F305" t="s">
        <v>28</v>
      </c>
      <c r="G305">
        <v>17</v>
      </c>
      <c r="H305">
        <v>14000</v>
      </c>
      <c r="I305">
        <v>9168</v>
      </c>
      <c r="J305" t="s">
        <v>29</v>
      </c>
      <c r="K305" t="s">
        <v>46</v>
      </c>
      <c r="L305">
        <f>SUM(Clean_Data[[#This Row],[Units_Sold]]*Clean_Data[[#This Row],[Unit_Price]])</f>
        <v>238000</v>
      </c>
      <c r="M305">
        <f>Clean_Data[[#This Row],[Units_Sold]]*Clean_Data[[#This Row],[Cost_Price]]</f>
        <v>155856</v>
      </c>
      <c r="N305">
        <f>Clean_Data[[#This Row],[Total_Sales]]-Clean_Data[[#This Row],[Total_Cost]]</f>
        <v>82144</v>
      </c>
      <c r="O305" s="2">
        <f>Clean_Data[[#This Row],[Profit]]/Clean_Data[[#This Row],[Total_Sales]]</f>
        <v>0.34514285714285714</v>
      </c>
      <c r="P305" t="str">
        <f>_xlfn.XLOOKUP(Clean_Data[[#This Row],[Product_Code]],Product_Catalog!A:A,Product_Catalog!C:C)</f>
        <v>Furniture</v>
      </c>
      <c r="Q305">
        <f>IF(Clean_Data[[#This Row],[Order_Date]]="","",YEAR(Clean_Data[[#This Row],[Order_Date]]))</f>
        <v>2026</v>
      </c>
      <c r="R305" t="str">
        <f>TEXT(Clean_Data[[#This Row],[Order_Date]],"mmm")</f>
        <v>Jun</v>
      </c>
      <c r="S305" t="str">
        <f>TEXT(Clean_Data[[#This Row],[Order_Date]],"mmm-yy")</f>
        <v>Jun-26</v>
      </c>
      <c r="V305"/>
    </row>
    <row r="306" spans="1:22" x14ac:dyDescent="0.25">
      <c r="A306" t="s">
        <v>363</v>
      </c>
      <c r="B306" s="1">
        <v>46056</v>
      </c>
      <c r="C306" t="s">
        <v>19</v>
      </c>
      <c r="D306" t="s">
        <v>26</v>
      </c>
      <c r="E306" t="s">
        <v>20</v>
      </c>
      <c r="F306" t="s">
        <v>21</v>
      </c>
      <c r="G306">
        <v>2</v>
      </c>
      <c r="H306">
        <v>8500</v>
      </c>
      <c r="I306">
        <v>6033</v>
      </c>
      <c r="J306" t="s">
        <v>45</v>
      </c>
      <c r="K306" t="s">
        <v>17</v>
      </c>
      <c r="L306">
        <f>SUM(Clean_Data[[#This Row],[Units_Sold]]*Clean_Data[[#This Row],[Unit_Price]])</f>
        <v>17000</v>
      </c>
      <c r="M306">
        <f>Clean_Data[[#This Row],[Units_Sold]]*Clean_Data[[#This Row],[Cost_Price]]</f>
        <v>12066</v>
      </c>
      <c r="N306">
        <f>Clean_Data[[#This Row],[Total_Sales]]-Clean_Data[[#This Row],[Total_Cost]]</f>
        <v>4934</v>
      </c>
      <c r="O306" s="2">
        <f>Clean_Data[[#This Row],[Profit]]/Clean_Data[[#This Row],[Total_Sales]]</f>
        <v>0.29023529411764704</v>
      </c>
      <c r="P306" t="str">
        <f>_xlfn.XLOOKUP(Clean_Data[[#This Row],[Product_Code]],Product_Catalog!A:A,Product_Catalog!C:C)</f>
        <v>Accessories</v>
      </c>
      <c r="Q306">
        <f>IF(Clean_Data[[#This Row],[Order_Date]]="","",YEAR(Clean_Data[[#This Row],[Order_Date]]))</f>
        <v>2026</v>
      </c>
      <c r="R306" t="str">
        <f>TEXT(Clean_Data[[#This Row],[Order_Date]],"mmm")</f>
        <v>Feb</v>
      </c>
      <c r="S306" t="str">
        <f>TEXT(Clean_Data[[#This Row],[Order_Date]],"mmm-yy")</f>
        <v>Feb-26</v>
      </c>
      <c r="V306"/>
    </row>
    <row r="307" spans="1:22" x14ac:dyDescent="0.25">
      <c r="A307" t="s">
        <v>364</v>
      </c>
      <c r="B307" s="1">
        <v>45917</v>
      </c>
      <c r="C307" t="s">
        <v>19</v>
      </c>
      <c r="D307" t="s">
        <v>13</v>
      </c>
      <c r="E307" t="s">
        <v>27</v>
      </c>
      <c r="F307" t="s">
        <v>28</v>
      </c>
      <c r="G307">
        <v>5</v>
      </c>
      <c r="H307">
        <v>14000</v>
      </c>
      <c r="I307">
        <v>10941</v>
      </c>
      <c r="J307" t="s">
        <v>29</v>
      </c>
      <c r="K307" t="s">
        <v>17</v>
      </c>
      <c r="L307">
        <f>SUM(Clean_Data[[#This Row],[Units_Sold]]*Clean_Data[[#This Row],[Unit_Price]])</f>
        <v>70000</v>
      </c>
      <c r="M307">
        <f>Clean_Data[[#This Row],[Units_Sold]]*Clean_Data[[#This Row],[Cost_Price]]</f>
        <v>54705</v>
      </c>
      <c r="N307">
        <f>Clean_Data[[#This Row],[Total_Sales]]-Clean_Data[[#This Row],[Total_Cost]]</f>
        <v>15295</v>
      </c>
      <c r="O307" s="2">
        <f>Clean_Data[[#This Row],[Profit]]/Clean_Data[[#This Row],[Total_Sales]]</f>
        <v>0.2185</v>
      </c>
      <c r="P307" t="str">
        <f>_xlfn.XLOOKUP(Clean_Data[[#This Row],[Product_Code]],Product_Catalog!A:A,Product_Catalog!C:C)</f>
        <v>Furniture</v>
      </c>
      <c r="Q307">
        <f>IF(Clean_Data[[#This Row],[Order_Date]]="","",YEAR(Clean_Data[[#This Row],[Order_Date]]))</f>
        <v>2025</v>
      </c>
      <c r="R307" t="str">
        <f>TEXT(Clean_Data[[#This Row],[Order_Date]],"mmm")</f>
        <v>Sep</v>
      </c>
      <c r="S307" t="str">
        <f>TEXT(Clean_Data[[#This Row],[Order_Date]],"mmm-yy")</f>
        <v>Sep-25</v>
      </c>
      <c r="V307"/>
    </row>
    <row r="308" spans="1:22" x14ac:dyDescent="0.25">
      <c r="A308" t="s">
        <v>365</v>
      </c>
      <c r="B308" s="1">
        <v>46031</v>
      </c>
      <c r="C308" t="s">
        <v>44</v>
      </c>
      <c r="D308" t="s">
        <v>40</v>
      </c>
      <c r="E308" t="s">
        <v>49</v>
      </c>
      <c r="F308" t="s">
        <v>50</v>
      </c>
      <c r="G308">
        <v>16</v>
      </c>
      <c r="H308">
        <v>75000</v>
      </c>
      <c r="I308">
        <v>51211</v>
      </c>
      <c r="J308" t="s">
        <v>22</v>
      </c>
      <c r="K308" t="s">
        <v>23</v>
      </c>
      <c r="L308">
        <f>SUM(Clean_Data[[#This Row],[Units_Sold]]*Clean_Data[[#This Row],[Unit_Price]])</f>
        <v>1200000</v>
      </c>
      <c r="M308">
        <f>Clean_Data[[#This Row],[Units_Sold]]*Clean_Data[[#This Row],[Cost_Price]]</f>
        <v>819376</v>
      </c>
      <c r="N308">
        <f>Clean_Data[[#This Row],[Total_Sales]]-Clean_Data[[#This Row],[Total_Cost]]</f>
        <v>380624</v>
      </c>
      <c r="O308" s="2">
        <f>Clean_Data[[#This Row],[Profit]]/Clean_Data[[#This Row],[Total_Sales]]</f>
        <v>0.31718666666666667</v>
      </c>
      <c r="P308" t="str">
        <f>_xlfn.XLOOKUP(Clean_Data[[#This Row],[Product_Code]],Product_Catalog!A:A,Product_Catalog!C:C)</f>
        <v>Electronics</v>
      </c>
      <c r="Q308">
        <f>IF(Clean_Data[[#This Row],[Order_Date]]="","",YEAR(Clean_Data[[#This Row],[Order_Date]]))</f>
        <v>2026</v>
      </c>
      <c r="R308" t="str">
        <f>TEXT(Clean_Data[[#This Row],[Order_Date]],"mmm")</f>
        <v>Jan</v>
      </c>
      <c r="S308" t="str">
        <f>TEXT(Clean_Data[[#This Row],[Order_Date]],"mmm-yy")</f>
        <v>Jan-26</v>
      </c>
      <c r="V308"/>
    </row>
    <row r="309" spans="1:22" x14ac:dyDescent="0.25">
      <c r="A309" t="s">
        <v>366</v>
      </c>
      <c r="B309" s="1">
        <v>45665</v>
      </c>
      <c r="C309" t="s">
        <v>31</v>
      </c>
      <c r="D309" t="s">
        <v>33</v>
      </c>
      <c r="E309" t="s">
        <v>66</v>
      </c>
      <c r="F309" t="s">
        <v>67</v>
      </c>
      <c r="G309">
        <v>13</v>
      </c>
      <c r="H309">
        <v>2500</v>
      </c>
      <c r="I309">
        <v>1502</v>
      </c>
      <c r="J309" t="s">
        <v>16</v>
      </c>
      <c r="K309" t="s">
        <v>23</v>
      </c>
      <c r="L309">
        <f>SUM(Clean_Data[[#This Row],[Units_Sold]]*Clean_Data[[#This Row],[Unit_Price]])</f>
        <v>32500</v>
      </c>
      <c r="M309">
        <f>Clean_Data[[#This Row],[Units_Sold]]*Clean_Data[[#This Row],[Cost_Price]]</f>
        <v>19526</v>
      </c>
      <c r="N309">
        <f>Clean_Data[[#This Row],[Total_Sales]]-Clean_Data[[#This Row],[Total_Cost]]</f>
        <v>12974</v>
      </c>
      <c r="O309" s="2">
        <f>Clean_Data[[#This Row],[Profit]]/Clean_Data[[#This Row],[Total_Sales]]</f>
        <v>0.3992</v>
      </c>
      <c r="P309" t="str">
        <f>_xlfn.XLOOKUP(Clean_Data[[#This Row],[Product_Code]],Product_Catalog!A:A,Product_Catalog!C:C)</f>
        <v>Electronics</v>
      </c>
      <c r="Q309">
        <f>IF(Clean_Data[[#This Row],[Order_Date]]="","",YEAR(Clean_Data[[#This Row],[Order_Date]]))</f>
        <v>2025</v>
      </c>
      <c r="R309" t="str">
        <f>TEXT(Clean_Data[[#This Row],[Order_Date]],"mmm")</f>
        <v>Jan</v>
      </c>
      <c r="S309" t="str">
        <f>TEXT(Clean_Data[[#This Row],[Order_Date]],"mmm-yy")</f>
        <v>Jan-25</v>
      </c>
      <c r="V309"/>
    </row>
    <row r="310" spans="1:22" x14ac:dyDescent="0.25">
      <c r="A310" t="s">
        <v>367</v>
      </c>
      <c r="B310" s="1">
        <v>45817</v>
      </c>
      <c r="C310" t="s">
        <v>73</v>
      </c>
      <c r="D310" t="s">
        <v>13</v>
      </c>
      <c r="E310" t="s">
        <v>14</v>
      </c>
      <c r="F310" t="s">
        <v>15</v>
      </c>
      <c r="G310">
        <v>3</v>
      </c>
      <c r="H310">
        <v>12500</v>
      </c>
      <c r="I310">
        <v>8037</v>
      </c>
      <c r="J310" t="s">
        <v>29</v>
      </c>
      <c r="K310" t="s">
        <v>23</v>
      </c>
      <c r="L310">
        <f>SUM(Clean_Data[[#This Row],[Units_Sold]]*Clean_Data[[#This Row],[Unit_Price]])</f>
        <v>37500</v>
      </c>
      <c r="M310">
        <f>Clean_Data[[#This Row],[Units_Sold]]*Clean_Data[[#This Row],[Cost_Price]]</f>
        <v>24111</v>
      </c>
      <c r="N310">
        <f>Clean_Data[[#This Row],[Total_Sales]]-Clean_Data[[#This Row],[Total_Cost]]</f>
        <v>13389</v>
      </c>
      <c r="O310" s="2">
        <f>Clean_Data[[#This Row],[Profit]]/Clean_Data[[#This Row],[Total_Sales]]</f>
        <v>0.35704000000000002</v>
      </c>
      <c r="P310" t="str">
        <f>_xlfn.XLOOKUP(Clean_Data[[#This Row],[Product_Code]],Product_Catalog!A:A,Product_Catalog!C:C)</f>
        <v>Accessories</v>
      </c>
      <c r="Q310">
        <f>IF(Clean_Data[[#This Row],[Order_Date]]="","",YEAR(Clean_Data[[#This Row],[Order_Date]]))</f>
        <v>2025</v>
      </c>
      <c r="R310" t="str">
        <f>TEXT(Clean_Data[[#This Row],[Order_Date]],"mmm")</f>
        <v>Jun</v>
      </c>
      <c r="S310" t="str">
        <f>TEXT(Clean_Data[[#This Row],[Order_Date]],"mmm-yy")</f>
        <v>Jun-25</v>
      </c>
      <c r="V310"/>
    </row>
    <row r="311" spans="1:22" x14ac:dyDescent="0.25">
      <c r="A311" t="s">
        <v>368</v>
      </c>
      <c r="B311" s="1">
        <v>45877</v>
      </c>
      <c r="C311" t="s">
        <v>12</v>
      </c>
      <c r="D311" t="s">
        <v>13</v>
      </c>
      <c r="E311" t="s">
        <v>14</v>
      </c>
      <c r="F311" t="s">
        <v>15</v>
      </c>
      <c r="G311">
        <v>12</v>
      </c>
      <c r="H311">
        <v>12500</v>
      </c>
      <c r="I311">
        <v>9966</v>
      </c>
      <c r="J311" t="s">
        <v>22</v>
      </c>
      <c r="K311" t="s">
        <v>23</v>
      </c>
      <c r="L311">
        <f>SUM(Clean_Data[[#This Row],[Units_Sold]]*Clean_Data[[#This Row],[Unit_Price]])</f>
        <v>150000</v>
      </c>
      <c r="M311">
        <f>Clean_Data[[#This Row],[Units_Sold]]*Clean_Data[[#This Row],[Cost_Price]]</f>
        <v>119592</v>
      </c>
      <c r="N311">
        <f>Clean_Data[[#This Row],[Total_Sales]]-Clean_Data[[#This Row],[Total_Cost]]</f>
        <v>30408</v>
      </c>
      <c r="O311" s="2">
        <f>Clean_Data[[#This Row],[Profit]]/Clean_Data[[#This Row],[Total_Sales]]</f>
        <v>0.20272000000000001</v>
      </c>
      <c r="P311" t="str">
        <f>_xlfn.XLOOKUP(Clean_Data[[#This Row],[Product_Code]],Product_Catalog!A:A,Product_Catalog!C:C)</f>
        <v>Accessories</v>
      </c>
      <c r="Q311">
        <f>IF(Clean_Data[[#This Row],[Order_Date]]="","",YEAR(Clean_Data[[#This Row],[Order_Date]]))</f>
        <v>2025</v>
      </c>
      <c r="R311" t="str">
        <f>TEXT(Clean_Data[[#This Row],[Order_Date]],"mmm")</f>
        <v>Aug</v>
      </c>
      <c r="S311" t="str">
        <f>TEXT(Clean_Data[[#This Row],[Order_Date]],"mmm-yy")</f>
        <v>Aug-25</v>
      </c>
      <c r="V311"/>
    </row>
    <row r="312" spans="1:22" x14ac:dyDescent="0.25">
      <c r="A312" t="s">
        <v>369</v>
      </c>
      <c r="B312" s="1">
        <v>45854</v>
      </c>
      <c r="C312" t="s">
        <v>73</v>
      </c>
      <c r="D312" t="s">
        <v>33</v>
      </c>
      <c r="E312" t="s">
        <v>41</v>
      </c>
      <c r="F312" t="s">
        <v>42</v>
      </c>
      <c r="G312">
        <v>7</v>
      </c>
      <c r="H312">
        <v>28000</v>
      </c>
      <c r="I312">
        <v>20263</v>
      </c>
      <c r="J312" t="s">
        <v>16</v>
      </c>
      <c r="K312" t="s">
        <v>23</v>
      </c>
      <c r="L312">
        <f>SUM(Clean_Data[[#This Row],[Units_Sold]]*Clean_Data[[#This Row],[Unit_Price]])</f>
        <v>196000</v>
      </c>
      <c r="M312">
        <f>Clean_Data[[#This Row],[Units_Sold]]*Clean_Data[[#This Row],[Cost_Price]]</f>
        <v>141841</v>
      </c>
      <c r="N312">
        <f>Clean_Data[[#This Row],[Total_Sales]]-Clean_Data[[#This Row],[Total_Cost]]</f>
        <v>54159</v>
      </c>
      <c r="O312" s="2">
        <f>Clean_Data[[#This Row],[Profit]]/Clean_Data[[#This Row],[Total_Sales]]</f>
        <v>0.27632142857142855</v>
      </c>
      <c r="P312" t="str">
        <f>_xlfn.XLOOKUP(Clean_Data[[#This Row],[Product_Code]],Product_Catalog!A:A,Product_Catalog!C:C)</f>
        <v>Electronics</v>
      </c>
      <c r="Q312">
        <f>IF(Clean_Data[[#This Row],[Order_Date]]="","",YEAR(Clean_Data[[#This Row],[Order_Date]]))</f>
        <v>2025</v>
      </c>
      <c r="R312" t="str">
        <f>TEXT(Clean_Data[[#This Row],[Order_Date]],"mmm")</f>
        <v>Jul</v>
      </c>
      <c r="S312" t="str">
        <f>TEXT(Clean_Data[[#This Row],[Order_Date]],"mmm-yy")</f>
        <v>Jul-25</v>
      </c>
      <c r="V312"/>
    </row>
    <row r="313" spans="1:22" x14ac:dyDescent="0.25">
      <c r="A313" t="s">
        <v>370</v>
      </c>
      <c r="B313" s="1">
        <v>45840</v>
      </c>
      <c r="C313" t="s">
        <v>12</v>
      </c>
      <c r="D313" t="s">
        <v>40</v>
      </c>
      <c r="E313" t="s">
        <v>14</v>
      </c>
      <c r="F313" t="s">
        <v>15</v>
      </c>
      <c r="G313">
        <v>7</v>
      </c>
      <c r="H313">
        <v>12500</v>
      </c>
      <c r="I313">
        <v>8153</v>
      </c>
      <c r="J313" t="s">
        <v>22</v>
      </c>
      <c r="K313" t="s">
        <v>17</v>
      </c>
      <c r="L313">
        <f>SUM(Clean_Data[[#This Row],[Units_Sold]]*Clean_Data[[#This Row],[Unit_Price]])</f>
        <v>87500</v>
      </c>
      <c r="M313">
        <f>Clean_Data[[#This Row],[Units_Sold]]*Clean_Data[[#This Row],[Cost_Price]]</f>
        <v>57071</v>
      </c>
      <c r="N313">
        <f>Clean_Data[[#This Row],[Total_Sales]]-Clean_Data[[#This Row],[Total_Cost]]</f>
        <v>30429</v>
      </c>
      <c r="O313" s="2">
        <f>Clean_Data[[#This Row],[Profit]]/Clean_Data[[#This Row],[Total_Sales]]</f>
        <v>0.34776000000000001</v>
      </c>
      <c r="P313" t="str">
        <f>_xlfn.XLOOKUP(Clean_Data[[#This Row],[Product_Code]],Product_Catalog!A:A,Product_Catalog!C:C)</f>
        <v>Accessories</v>
      </c>
      <c r="Q313">
        <f>IF(Clean_Data[[#This Row],[Order_Date]]="","",YEAR(Clean_Data[[#This Row],[Order_Date]]))</f>
        <v>2025</v>
      </c>
      <c r="R313" t="str">
        <f>TEXT(Clean_Data[[#This Row],[Order_Date]],"mmm")</f>
        <v>Jul</v>
      </c>
      <c r="S313" t="str">
        <f>TEXT(Clean_Data[[#This Row],[Order_Date]],"mmm-yy")</f>
        <v>Jul-25</v>
      </c>
      <c r="V313"/>
    </row>
    <row r="314" spans="1:22" x14ac:dyDescent="0.25">
      <c r="A314" t="s">
        <v>371</v>
      </c>
      <c r="B314" s="1">
        <v>45986</v>
      </c>
      <c r="C314" t="s">
        <v>53</v>
      </c>
      <c r="D314" t="s">
        <v>40</v>
      </c>
      <c r="E314" t="s">
        <v>55</v>
      </c>
      <c r="F314" t="s">
        <v>34</v>
      </c>
      <c r="G314">
        <v>18</v>
      </c>
      <c r="H314">
        <v>35000</v>
      </c>
      <c r="I314">
        <v>25770</v>
      </c>
      <c r="J314" t="s">
        <v>29</v>
      </c>
      <c r="K314" t="s">
        <v>17</v>
      </c>
      <c r="L314">
        <f>SUM(Clean_Data[[#This Row],[Units_Sold]]*Clean_Data[[#This Row],[Unit_Price]])</f>
        <v>630000</v>
      </c>
      <c r="M314">
        <f>Clean_Data[[#This Row],[Units_Sold]]*Clean_Data[[#This Row],[Cost_Price]]</f>
        <v>463860</v>
      </c>
      <c r="N314">
        <f>Clean_Data[[#This Row],[Total_Sales]]-Clean_Data[[#This Row],[Total_Cost]]</f>
        <v>166140</v>
      </c>
      <c r="O314" s="2">
        <f>Clean_Data[[#This Row],[Profit]]/Clean_Data[[#This Row],[Total_Sales]]</f>
        <v>0.26371428571428573</v>
      </c>
      <c r="P314" t="str">
        <f>_xlfn.XLOOKUP(Clean_Data[[#This Row],[Product_Code]],Product_Catalog!A:A,Product_Catalog!C:C)</f>
        <v>Furniture</v>
      </c>
      <c r="Q314">
        <f>IF(Clean_Data[[#This Row],[Order_Date]]="","",YEAR(Clean_Data[[#This Row],[Order_Date]]))</f>
        <v>2025</v>
      </c>
      <c r="R314" t="str">
        <f>TEXT(Clean_Data[[#This Row],[Order_Date]],"mmm")</f>
        <v>Nov</v>
      </c>
      <c r="S314" t="str">
        <f>TEXT(Clean_Data[[#This Row],[Order_Date]],"mmm-yy")</f>
        <v>Nov-25</v>
      </c>
      <c r="V314"/>
    </row>
    <row r="315" spans="1:22" x14ac:dyDescent="0.25">
      <c r="A315" t="s">
        <v>372</v>
      </c>
      <c r="B315" s="1">
        <v>45890</v>
      </c>
      <c r="C315" t="s">
        <v>48</v>
      </c>
      <c r="D315" t="s">
        <v>13</v>
      </c>
      <c r="E315" t="s">
        <v>37</v>
      </c>
      <c r="F315" t="s">
        <v>38</v>
      </c>
      <c r="G315">
        <v>16</v>
      </c>
      <c r="H315">
        <v>55000</v>
      </c>
      <c r="I315">
        <v>40338</v>
      </c>
      <c r="J315" t="s">
        <v>22</v>
      </c>
      <c r="K315" t="s">
        <v>46</v>
      </c>
      <c r="L315">
        <f>SUM(Clean_Data[[#This Row],[Units_Sold]]*Clean_Data[[#This Row],[Unit_Price]])</f>
        <v>880000</v>
      </c>
      <c r="M315">
        <f>Clean_Data[[#This Row],[Units_Sold]]*Clean_Data[[#This Row],[Cost_Price]]</f>
        <v>645408</v>
      </c>
      <c r="N315">
        <f>Clean_Data[[#This Row],[Total_Sales]]-Clean_Data[[#This Row],[Total_Cost]]</f>
        <v>234592</v>
      </c>
      <c r="O315" s="2">
        <f>Clean_Data[[#This Row],[Profit]]/Clean_Data[[#This Row],[Total_Sales]]</f>
        <v>0.2665818181818182</v>
      </c>
      <c r="P315" t="str">
        <f>_xlfn.XLOOKUP(Clean_Data[[#This Row],[Product_Code]],Product_Catalog!A:A,Product_Catalog!C:C)</f>
        <v>Electronics</v>
      </c>
      <c r="Q315">
        <f>IF(Clean_Data[[#This Row],[Order_Date]]="","",YEAR(Clean_Data[[#This Row],[Order_Date]]))</f>
        <v>2025</v>
      </c>
      <c r="R315" t="str">
        <f>TEXT(Clean_Data[[#This Row],[Order_Date]],"mmm")</f>
        <v>Aug</v>
      </c>
      <c r="S315" t="str">
        <f>TEXT(Clean_Data[[#This Row],[Order_Date]],"mmm-yy")</f>
        <v>Aug-25</v>
      </c>
      <c r="V315"/>
    </row>
    <row r="316" spans="1:22" x14ac:dyDescent="0.25">
      <c r="A316" t="s">
        <v>373</v>
      </c>
      <c r="B316" s="1">
        <v>45828</v>
      </c>
      <c r="C316" t="s">
        <v>44</v>
      </c>
      <c r="D316" t="s">
        <v>13</v>
      </c>
      <c r="E316" t="s">
        <v>55</v>
      </c>
      <c r="F316" t="s">
        <v>34</v>
      </c>
      <c r="G316">
        <v>18</v>
      </c>
      <c r="H316">
        <v>35000</v>
      </c>
      <c r="I316">
        <v>27424</v>
      </c>
      <c r="J316" t="s">
        <v>45</v>
      </c>
      <c r="K316" t="s">
        <v>17</v>
      </c>
      <c r="L316">
        <f>SUM(Clean_Data[[#This Row],[Units_Sold]]*Clean_Data[[#This Row],[Unit_Price]])</f>
        <v>630000</v>
      </c>
      <c r="M316">
        <f>Clean_Data[[#This Row],[Units_Sold]]*Clean_Data[[#This Row],[Cost_Price]]</f>
        <v>493632</v>
      </c>
      <c r="N316">
        <f>Clean_Data[[#This Row],[Total_Sales]]-Clean_Data[[#This Row],[Total_Cost]]</f>
        <v>136368</v>
      </c>
      <c r="O316" s="2">
        <f>Clean_Data[[#This Row],[Profit]]/Clean_Data[[#This Row],[Total_Sales]]</f>
        <v>0.21645714285714285</v>
      </c>
      <c r="P316" t="str">
        <f>_xlfn.XLOOKUP(Clean_Data[[#This Row],[Product_Code]],Product_Catalog!A:A,Product_Catalog!C:C)</f>
        <v>Furniture</v>
      </c>
      <c r="Q316">
        <f>IF(Clean_Data[[#This Row],[Order_Date]]="","",YEAR(Clean_Data[[#This Row],[Order_Date]]))</f>
        <v>2025</v>
      </c>
      <c r="R316" t="str">
        <f>TEXT(Clean_Data[[#This Row],[Order_Date]],"mmm")</f>
        <v>Jun</v>
      </c>
      <c r="S316" t="str">
        <f>TEXT(Clean_Data[[#This Row],[Order_Date]],"mmm-yy")</f>
        <v>Jun-25</v>
      </c>
      <c r="V316"/>
    </row>
    <row r="317" spans="1:22" x14ac:dyDescent="0.25">
      <c r="A317" t="s">
        <v>374</v>
      </c>
      <c r="B317" s="1">
        <v>45695</v>
      </c>
      <c r="C317" t="s">
        <v>62</v>
      </c>
      <c r="D317" t="s">
        <v>13</v>
      </c>
      <c r="E317" t="s">
        <v>66</v>
      </c>
      <c r="F317" t="s">
        <v>67</v>
      </c>
      <c r="G317">
        <v>15</v>
      </c>
      <c r="H317">
        <v>2500</v>
      </c>
      <c r="I317">
        <v>1845</v>
      </c>
      <c r="J317" t="s">
        <v>22</v>
      </c>
      <c r="K317" t="s">
        <v>23</v>
      </c>
      <c r="L317">
        <f>SUM(Clean_Data[[#This Row],[Units_Sold]]*Clean_Data[[#This Row],[Unit_Price]])</f>
        <v>37500</v>
      </c>
      <c r="M317">
        <f>Clean_Data[[#This Row],[Units_Sold]]*Clean_Data[[#This Row],[Cost_Price]]</f>
        <v>27675</v>
      </c>
      <c r="N317">
        <f>Clean_Data[[#This Row],[Total_Sales]]-Clean_Data[[#This Row],[Total_Cost]]</f>
        <v>9825</v>
      </c>
      <c r="O317" s="2">
        <f>Clean_Data[[#This Row],[Profit]]/Clean_Data[[#This Row],[Total_Sales]]</f>
        <v>0.26200000000000001</v>
      </c>
      <c r="P317" t="str">
        <f>_xlfn.XLOOKUP(Clean_Data[[#This Row],[Product_Code]],Product_Catalog!A:A,Product_Catalog!C:C)</f>
        <v>Electronics</v>
      </c>
      <c r="Q317">
        <f>IF(Clean_Data[[#This Row],[Order_Date]]="","",YEAR(Clean_Data[[#This Row],[Order_Date]]))</f>
        <v>2025</v>
      </c>
      <c r="R317" t="str">
        <f>TEXT(Clean_Data[[#This Row],[Order_Date]],"mmm")</f>
        <v>Feb</v>
      </c>
      <c r="S317" t="str">
        <f>TEXT(Clean_Data[[#This Row],[Order_Date]],"mmm-yy")</f>
        <v>Feb-25</v>
      </c>
      <c r="V317"/>
    </row>
    <row r="318" spans="1:22" x14ac:dyDescent="0.25">
      <c r="A318" t="s">
        <v>375</v>
      </c>
      <c r="B318" s="1">
        <v>46205</v>
      </c>
      <c r="C318" t="s">
        <v>25</v>
      </c>
      <c r="D318" t="s">
        <v>40</v>
      </c>
      <c r="E318" t="s">
        <v>66</v>
      </c>
      <c r="F318" t="s">
        <v>67</v>
      </c>
      <c r="G318">
        <v>11</v>
      </c>
      <c r="H318">
        <v>2500</v>
      </c>
      <c r="I318">
        <v>1602</v>
      </c>
      <c r="J318" t="s">
        <v>45</v>
      </c>
      <c r="K318" t="s">
        <v>46</v>
      </c>
      <c r="L318">
        <f>SUM(Clean_Data[[#This Row],[Units_Sold]]*Clean_Data[[#This Row],[Unit_Price]])</f>
        <v>27500</v>
      </c>
      <c r="M318">
        <f>Clean_Data[[#This Row],[Units_Sold]]*Clean_Data[[#This Row],[Cost_Price]]</f>
        <v>17622</v>
      </c>
      <c r="N318">
        <f>Clean_Data[[#This Row],[Total_Sales]]-Clean_Data[[#This Row],[Total_Cost]]</f>
        <v>9878</v>
      </c>
      <c r="O318" s="2">
        <f>Clean_Data[[#This Row],[Profit]]/Clean_Data[[#This Row],[Total_Sales]]</f>
        <v>0.35920000000000002</v>
      </c>
      <c r="P318" t="str">
        <f>_xlfn.XLOOKUP(Clean_Data[[#This Row],[Product_Code]],Product_Catalog!A:A,Product_Catalog!C:C)</f>
        <v>Electronics</v>
      </c>
      <c r="Q318">
        <f>IF(Clean_Data[[#This Row],[Order_Date]]="","",YEAR(Clean_Data[[#This Row],[Order_Date]]))</f>
        <v>2026</v>
      </c>
      <c r="R318" t="str">
        <f>TEXT(Clean_Data[[#This Row],[Order_Date]],"mmm")</f>
        <v>Jul</v>
      </c>
      <c r="S318" t="str">
        <f>TEXT(Clean_Data[[#This Row],[Order_Date]],"mmm-yy")</f>
        <v>Jul-26</v>
      </c>
      <c r="V318"/>
    </row>
    <row r="319" spans="1:22" x14ac:dyDescent="0.25">
      <c r="A319" t="s">
        <v>376</v>
      </c>
      <c r="B319" s="1">
        <v>46065</v>
      </c>
      <c r="C319" t="s">
        <v>62</v>
      </c>
      <c r="D319" t="s">
        <v>40</v>
      </c>
      <c r="E319" t="s">
        <v>55</v>
      </c>
      <c r="F319" t="s">
        <v>34</v>
      </c>
      <c r="G319">
        <v>19</v>
      </c>
      <c r="H319">
        <v>35000</v>
      </c>
      <c r="I319">
        <v>25689</v>
      </c>
      <c r="J319" t="s">
        <v>29</v>
      </c>
      <c r="K319" t="s">
        <v>17</v>
      </c>
      <c r="L319">
        <f>SUM(Clean_Data[[#This Row],[Units_Sold]]*Clean_Data[[#This Row],[Unit_Price]])</f>
        <v>665000</v>
      </c>
      <c r="M319">
        <f>Clean_Data[[#This Row],[Units_Sold]]*Clean_Data[[#This Row],[Cost_Price]]</f>
        <v>488091</v>
      </c>
      <c r="N319">
        <f>Clean_Data[[#This Row],[Total_Sales]]-Clean_Data[[#This Row],[Total_Cost]]</f>
        <v>176909</v>
      </c>
      <c r="O319" s="2">
        <f>Clean_Data[[#This Row],[Profit]]/Clean_Data[[#This Row],[Total_Sales]]</f>
        <v>0.26602857142857145</v>
      </c>
      <c r="P319" t="str">
        <f>_xlfn.XLOOKUP(Clean_Data[[#This Row],[Product_Code]],Product_Catalog!A:A,Product_Catalog!C:C)</f>
        <v>Furniture</v>
      </c>
      <c r="Q319">
        <f>IF(Clean_Data[[#This Row],[Order_Date]]="","",YEAR(Clean_Data[[#This Row],[Order_Date]]))</f>
        <v>2026</v>
      </c>
      <c r="R319" t="str">
        <f>TEXT(Clean_Data[[#This Row],[Order_Date]],"mmm")</f>
        <v>Feb</v>
      </c>
      <c r="S319" t="str">
        <f>TEXT(Clean_Data[[#This Row],[Order_Date]],"mmm-yy")</f>
        <v>Feb-26</v>
      </c>
      <c r="V319"/>
    </row>
    <row r="320" spans="1:22" x14ac:dyDescent="0.25">
      <c r="A320" t="s">
        <v>377</v>
      </c>
      <c r="B320" s="1">
        <v>46135</v>
      </c>
      <c r="C320" t="s">
        <v>73</v>
      </c>
      <c r="D320" t="s">
        <v>13</v>
      </c>
      <c r="E320" t="s">
        <v>37</v>
      </c>
      <c r="F320" t="s">
        <v>38</v>
      </c>
      <c r="G320">
        <v>7</v>
      </c>
      <c r="H320">
        <v>55000</v>
      </c>
      <c r="I320">
        <v>40121</v>
      </c>
      <c r="J320" t="s">
        <v>29</v>
      </c>
      <c r="K320" t="s">
        <v>23</v>
      </c>
      <c r="L320">
        <f>SUM(Clean_Data[[#This Row],[Units_Sold]]*Clean_Data[[#This Row],[Unit_Price]])</f>
        <v>385000</v>
      </c>
      <c r="M320">
        <f>Clean_Data[[#This Row],[Units_Sold]]*Clean_Data[[#This Row],[Cost_Price]]</f>
        <v>280847</v>
      </c>
      <c r="N320">
        <f>Clean_Data[[#This Row],[Total_Sales]]-Clean_Data[[#This Row],[Total_Cost]]</f>
        <v>104153</v>
      </c>
      <c r="O320" s="2">
        <f>Clean_Data[[#This Row],[Profit]]/Clean_Data[[#This Row],[Total_Sales]]</f>
        <v>0.27052727272727273</v>
      </c>
      <c r="P320" t="str">
        <f>_xlfn.XLOOKUP(Clean_Data[[#This Row],[Product_Code]],Product_Catalog!A:A,Product_Catalog!C:C)</f>
        <v>Electronics</v>
      </c>
      <c r="Q320">
        <f>IF(Clean_Data[[#This Row],[Order_Date]]="","",YEAR(Clean_Data[[#This Row],[Order_Date]]))</f>
        <v>2026</v>
      </c>
      <c r="R320" t="str">
        <f>TEXT(Clean_Data[[#This Row],[Order_Date]],"mmm")</f>
        <v>Apr</v>
      </c>
      <c r="S320" t="str">
        <f>TEXT(Clean_Data[[#This Row],[Order_Date]],"mmm-yy")</f>
        <v>Apr-26</v>
      </c>
      <c r="V320"/>
    </row>
    <row r="321" spans="1:22" x14ac:dyDescent="0.25">
      <c r="A321" t="s">
        <v>378</v>
      </c>
      <c r="B321" s="1">
        <v>46054</v>
      </c>
      <c r="C321" t="s">
        <v>62</v>
      </c>
      <c r="D321" t="s">
        <v>40</v>
      </c>
      <c r="E321" t="s">
        <v>14</v>
      </c>
      <c r="F321" t="s">
        <v>15</v>
      </c>
      <c r="G321">
        <v>14</v>
      </c>
      <c r="H321">
        <v>12500</v>
      </c>
      <c r="I321">
        <v>7781</v>
      </c>
      <c r="J321" t="s">
        <v>16</v>
      </c>
      <c r="K321" t="s">
        <v>23</v>
      </c>
      <c r="L321">
        <f>SUM(Clean_Data[[#This Row],[Units_Sold]]*Clean_Data[[#This Row],[Unit_Price]])</f>
        <v>175000</v>
      </c>
      <c r="M321">
        <f>Clean_Data[[#This Row],[Units_Sold]]*Clean_Data[[#This Row],[Cost_Price]]</f>
        <v>108934</v>
      </c>
      <c r="N321">
        <f>Clean_Data[[#This Row],[Total_Sales]]-Clean_Data[[#This Row],[Total_Cost]]</f>
        <v>66066</v>
      </c>
      <c r="O321" s="2">
        <f>Clean_Data[[#This Row],[Profit]]/Clean_Data[[#This Row],[Total_Sales]]</f>
        <v>0.37752000000000002</v>
      </c>
      <c r="P321" t="str">
        <f>_xlfn.XLOOKUP(Clean_Data[[#This Row],[Product_Code]],Product_Catalog!A:A,Product_Catalog!C:C)</f>
        <v>Accessories</v>
      </c>
      <c r="Q321">
        <f>IF(Clean_Data[[#This Row],[Order_Date]]="","",YEAR(Clean_Data[[#This Row],[Order_Date]]))</f>
        <v>2026</v>
      </c>
      <c r="R321" t="str">
        <f>TEXT(Clean_Data[[#This Row],[Order_Date]],"mmm")</f>
        <v>Feb</v>
      </c>
      <c r="S321" t="str">
        <f>TEXT(Clean_Data[[#This Row],[Order_Date]],"mmm-yy")</f>
        <v>Feb-26</v>
      </c>
      <c r="V321"/>
    </row>
    <row r="322" spans="1:22" x14ac:dyDescent="0.25">
      <c r="A322" t="s">
        <v>379</v>
      </c>
      <c r="B322" s="1">
        <v>45747</v>
      </c>
      <c r="C322" t="s">
        <v>25</v>
      </c>
      <c r="D322" t="s">
        <v>13</v>
      </c>
      <c r="E322" t="s">
        <v>55</v>
      </c>
      <c r="F322" t="s">
        <v>34</v>
      </c>
      <c r="G322">
        <v>11</v>
      </c>
      <c r="H322">
        <v>35000</v>
      </c>
      <c r="I322">
        <v>27851</v>
      </c>
      <c r="J322" t="s">
        <v>16</v>
      </c>
      <c r="K322" t="s">
        <v>17</v>
      </c>
      <c r="L322">
        <f>SUM(Clean_Data[[#This Row],[Units_Sold]]*Clean_Data[[#This Row],[Unit_Price]])</f>
        <v>385000</v>
      </c>
      <c r="M322">
        <f>Clean_Data[[#This Row],[Units_Sold]]*Clean_Data[[#This Row],[Cost_Price]]</f>
        <v>306361</v>
      </c>
      <c r="N322">
        <f>Clean_Data[[#This Row],[Total_Sales]]-Clean_Data[[#This Row],[Total_Cost]]</f>
        <v>78639</v>
      </c>
      <c r="O322" s="2">
        <f>Clean_Data[[#This Row],[Profit]]/Clean_Data[[#This Row],[Total_Sales]]</f>
        <v>0.20425714285714286</v>
      </c>
      <c r="P322" t="str">
        <f>_xlfn.XLOOKUP(Clean_Data[[#This Row],[Product_Code]],Product_Catalog!A:A,Product_Catalog!C:C)</f>
        <v>Furniture</v>
      </c>
      <c r="Q322">
        <f>IF(Clean_Data[[#This Row],[Order_Date]]="","",YEAR(Clean_Data[[#This Row],[Order_Date]]))</f>
        <v>2025</v>
      </c>
      <c r="R322" t="str">
        <f>TEXT(Clean_Data[[#This Row],[Order_Date]],"mmm")</f>
        <v>Mar</v>
      </c>
      <c r="S322" t="str">
        <f>TEXT(Clean_Data[[#This Row],[Order_Date]],"mmm-yy")</f>
        <v>Mar-25</v>
      </c>
      <c r="V322"/>
    </row>
    <row r="323" spans="1:22" x14ac:dyDescent="0.25">
      <c r="A323" t="s">
        <v>380</v>
      </c>
      <c r="B323" s="1">
        <v>46028</v>
      </c>
      <c r="C323" t="s">
        <v>25</v>
      </c>
      <c r="D323" t="s">
        <v>40</v>
      </c>
      <c r="E323" t="s">
        <v>27</v>
      </c>
      <c r="F323" t="s">
        <v>28</v>
      </c>
      <c r="G323">
        <v>15</v>
      </c>
      <c r="H323">
        <v>14000</v>
      </c>
      <c r="I323">
        <v>9253</v>
      </c>
      <c r="J323" t="s">
        <v>29</v>
      </c>
      <c r="K323" t="s">
        <v>23</v>
      </c>
      <c r="L323">
        <f>SUM(Clean_Data[[#This Row],[Units_Sold]]*Clean_Data[[#This Row],[Unit_Price]])</f>
        <v>210000</v>
      </c>
      <c r="M323">
        <f>Clean_Data[[#This Row],[Units_Sold]]*Clean_Data[[#This Row],[Cost_Price]]</f>
        <v>138795</v>
      </c>
      <c r="N323">
        <f>Clean_Data[[#This Row],[Total_Sales]]-Clean_Data[[#This Row],[Total_Cost]]</f>
        <v>71205</v>
      </c>
      <c r="O323" s="2">
        <f>Clean_Data[[#This Row],[Profit]]/Clean_Data[[#This Row],[Total_Sales]]</f>
        <v>0.33907142857142858</v>
      </c>
      <c r="P323" t="str">
        <f>_xlfn.XLOOKUP(Clean_Data[[#This Row],[Product_Code]],Product_Catalog!A:A,Product_Catalog!C:C)</f>
        <v>Furniture</v>
      </c>
      <c r="Q323">
        <f>IF(Clean_Data[[#This Row],[Order_Date]]="","",YEAR(Clean_Data[[#This Row],[Order_Date]]))</f>
        <v>2026</v>
      </c>
      <c r="R323" t="str">
        <f>TEXT(Clean_Data[[#This Row],[Order_Date]],"mmm")</f>
        <v>Jan</v>
      </c>
      <c r="S323" t="str">
        <f>TEXT(Clean_Data[[#This Row],[Order_Date]],"mmm-yy")</f>
        <v>Jan-26</v>
      </c>
      <c r="V323"/>
    </row>
    <row r="324" spans="1:22" x14ac:dyDescent="0.25">
      <c r="A324" t="s">
        <v>381</v>
      </c>
      <c r="B324" s="1">
        <v>46004</v>
      </c>
      <c r="C324" t="s">
        <v>19</v>
      </c>
      <c r="D324" t="s">
        <v>13</v>
      </c>
      <c r="E324" t="s">
        <v>66</v>
      </c>
      <c r="F324" t="s">
        <v>67</v>
      </c>
      <c r="G324">
        <v>18</v>
      </c>
      <c r="H324">
        <v>2500</v>
      </c>
      <c r="I324">
        <v>1504</v>
      </c>
      <c r="J324" t="s">
        <v>29</v>
      </c>
      <c r="K324" t="s">
        <v>23</v>
      </c>
      <c r="L324">
        <f>SUM(Clean_Data[[#This Row],[Units_Sold]]*Clean_Data[[#This Row],[Unit_Price]])</f>
        <v>45000</v>
      </c>
      <c r="M324">
        <f>Clean_Data[[#This Row],[Units_Sold]]*Clean_Data[[#This Row],[Cost_Price]]</f>
        <v>27072</v>
      </c>
      <c r="N324">
        <f>Clean_Data[[#This Row],[Total_Sales]]-Clean_Data[[#This Row],[Total_Cost]]</f>
        <v>17928</v>
      </c>
      <c r="O324" s="2">
        <f>Clean_Data[[#This Row],[Profit]]/Clean_Data[[#This Row],[Total_Sales]]</f>
        <v>0.39839999999999998</v>
      </c>
      <c r="P324" t="str">
        <f>_xlfn.XLOOKUP(Clean_Data[[#This Row],[Product_Code]],Product_Catalog!A:A,Product_Catalog!C:C)</f>
        <v>Electronics</v>
      </c>
      <c r="Q324">
        <f>IF(Clean_Data[[#This Row],[Order_Date]]="","",YEAR(Clean_Data[[#This Row],[Order_Date]]))</f>
        <v>2025</v>
      </c>
      <c r="R324" t="str">
        <f>TEXT(Clean_Data[[#This Row],[Order_Date]],"mmm")</f>
        <v>Dec</v>
      </c>
      <c r="S324" t="str">
        <f>TEXT(Clean_Data[[#This Row],[Order_Date]],"mmm-yy")</f>
        <v>Dec-25</v>
      </c>
      <c r="V324"/>
    </row>
    <row r="325" spans="1:22" x14ac:dyDescent="0.25">
      <c r="A325" t="s">
        <v>382</v>
      </c>
      <c r="B325" s="1">
        <v>45675</v>
      </c>
      <c r="C325" t="s">
        <v>25</v>
      </c>
      <c r="D325" t="s">
        <v>33</v>
      </c>
      <c r="E325" t="s">
        <v>27</v>
      </c>
      <c r="F325" t="s">
        <v>28</v>
      </c>
      <c r="G325">
        <v>18</v>
      </c>
      <c r="H325">
        <v>14000</v>
      </c>
      <c r="I325">
        <v>10944</v>
      </c>
      <c r="J325" t="s">
        <v>29</v>
      </c>
      <c r="K325" t="s">
        <v>17</v>
      </c>
      <c r="L325">
        <f>SUM(Clean_Data[[#This Row],[Units_Sold]]*Clean_Data[[#This Row],[Unit_Price]])</f>
        <v>252000</v>
      </c>
      <c r="M325">
        <f>Clean_Data[[#This Row],[Units_Sold]]*Clean_Data[[#This Row],[Cost_Price]]</f>
        <v>196992</v>
      </c>
      <c r="N325">
        <f>Clean_Data[[#This Row],[Total_Sales]]-Clean_Data[[#This Row],[Total_Cost]]</f>
        <v>55008</v>
      </c>
      <c r="O325" s="2">
        <f>Clean_Data[[#This Row],[Profit]]/Clean_Data[[#This Row],[Total_Sales]]</f>
        <v>0.21828571428571428</v>
      </c>
      <c r="P325" t="str">
        <f>_xlfn.XLOOKUP(Clean_Data[[#This Row],[Product_Code]],Product_Catalog!A:A,Product_Catalog!C:C)</f>
        <v>Furniture</v>
      </c>
      <c r="Q325">
        <f>IF(Clean_Data[[#This Row],[Order_Date]]="","",YEAR(Clean_Data[[#This Row],[Order_Date]]))</f>
        <v>2025</v>
      </c>
      <c r="R325" t="str">
        <f>TEXT(Clean_Data[[#This Row],[Order_Date]],"mmm")</f>
        <v>Jan</v>
      </c>
      <c r="S325" t="str">
        <f>TEXT(Clean_Data[[#This Row],[Order_Date]],"mmm-yy")</f>
        <v>Jan-25</v>
      </c>
      <c r="V325"/>
    </row>
    <row r="326" spans="1:22" x14ac:dyDescent="0.25">
      <c r="A326" t="s">
        <v>383</v>
      </c>
      <c r="B326" s="1">
        <v>45835</v>
      </c>
      <c r="C326" t="s">
        <v>19</v>
      </c>
      <c r="D326" t="s">
        <v>13</v>
      </c>
      <c r="E326" t="s">
        <v>14</v>
      </c>
      <c r="F326" t="s">
        <v>15</v>
      </c>
      <c r="G326">
        <v>1</v>
      </c>
      <c r="H326">
        <v>12500</v>
      </c>
      <c r="I326">
        <v>8007</v>
      </c>
      <c r="J326" t="s">
        <v>16</v>
      </c>
      <c r="K326" t="s">
        <v>23</v>
      </c>
      <c r="L326">
        <f>SUM(Clean_Data[[#This Row],[Units_Sold]]*Clean_Data[[#This Row],[Unit_Price]])</f>
        <v>12500</v>
      </c>
      <c r="M326">
        <f>Clean_Data[[#This Row],[Units_Sold]]*Clean_Data[[#This Row],[Cost_Price]]</f>
        <v>8007</v>
      </c>
      <c r="N326">
        <f>Clean_Data[[#This Row],[Total_Sales]]-Clean_Data[[#This Row],[Total_Cost]]</f>
        <v>4493</v>
      </c>
      <c r="O326" s="2">
        <f>Clean_Data[[#This Row],[Profit]]/Clean_Data[[#This Row],[Total_Sales]]</f>
        <v>0.35943999999999998</v>
      </c>
      <c r="P326" t="str">
        <f>_xlfn.XLOOKUP(Clean_Data[[#This Row],[Product_Code]],Product_Catalog!A:A,Product_Catalog!C:C)</f>
        <v>Accessories</v>
      </c>
      <c r="Q326">
        <f>IF(Clean_Data[[#This Row],[Order_Date]]="","",YEAR(Clean_Data[[#This Row],[Order_Date]]))</f>
        <v>2025</v>
      </c>
      <c r="R326" t="str">
        <f>TEXT(Clean_Data[[#This Row],[Order_Date]],"mmm")</f>
        <v>Jun</v>
      </c>
      <c r="S326" t="str">
        <f>TEXT(Clean_Data[[#This Row],[Order_Date]],"mmm-yy")</f>
        <v>Jun-25</v>
      </c>
      <c r="V326"/>
    </row>
    <row r="327" spans="1:22" x14ac:dyDescent="0.25">
      <c r="A327" t="s">
        <v>384</v>
      </c>
      <c r="B327" s="1">
        <v>46039</v>
      </c>
      <c r="C327" t="s">
        <v>44</v>
      </c>
      <c r="D327" t="s">
        <v>13</v>
      </c>
      <c r="E327" t="s">
        <v>14</v>
      </c>
      <c r="F327" t="s">
        <v>15</v>
      </c>
      <c r="G327">
        <v>11</v>
      </c>
      <c r="H327">
        <v>12500</v>
      </c>
      <c r="I327">
        <v>9369</v>
      </c>
      <c r="J327" t="s">
        <v>22</v>
      </c>
      <c r="K327" t="s">
        <v>46</v>
      </c>
      <c r="L327">
        <f>SUM(Clean_Data[[#This Row],[Units_Sold]]*Clean_Data[[#This Row],[Unit_Price]])</f>
        <v>137500</v>
      </c>
      <c r="M327">
        <f>Clean_Data[[#This Row],[Units_Sold]]*Clean_Data[[#This Row],[Cost_Price]]</f>
        <v>103059</v>
      </c>
      <c r="N327">
        <f>Clean_Data[[#This Row],[Total_Sales]]-Clean_Data[[#This Row],[Total_Cost]]</f>
        <v>34441</v>
      </c>
      <c r="O327" s="2">
        <f>Clean_Data[[#This Row],[Profit]]/Clean_Data[[#This Row],[Total_Sales]]</f>
        <v>0.25047999999999998</v>
      </c>
      <c r="P327" t="str">
        <f>_xlfn.XLOOKUP(Clean_Data[[#This Row],[Product_Code]],Product_Catalog!A:A,Product_Catalog!C:C)</f>
        <v>Accessories</v>
      </c>
      <c r="Q327">
        <f>IF(Clean_Data[[#This Row],[Order_Date]]="","",YEAR(Clean_Data[[#This Row],[Order_Date]]))</f>
        <v>2026</v>
      </c>
      <c r="R327" t="str">
        <f>TEXT(Clean_Data[[#This Row],[Order_Date]],"mmm")</f>
        <v>Jan</v>
      </c>
      <c r="S327" t="str">
        <f>TEXT(Clean_Data[[#This Row],[Order_Date]],"mmm-yy")</f>
        <v>Jan-26</v>
      </c>
      <c r="V327"/>
    </row>
    <row r="328" spans="1:22" x14ac:dyDescent="0.25">
      <c r="A328" t="s">
        <v>385</v>
      </c>
      <c r="B328" s="1">
        <v>46052</v>
      </c>
      <c r="C328" t="s">
        <v>73</v>
      </c>
      <c r="D328" t="s">
        <v>40</v>
      </c>
      <c r="E328" t="s">
        <v>66</v>
      </c>
      <c r="F328" t="s">
        <v>67</v>
      </c>
      <c r="G328">
        <v>5</v>
      </c>
      <c r="H328">
        <v>2500</v>
      </c>
      <c r="I328">
        <v>1552</v>
      </c>
      <c r="J328" t="s">
        <v>29</v>
      </c>
      <c r="K328" t="s">
        <v>23</v>
      </c>
      <c r="L328">
        <f>SUM(Clean_Data[[#This Row],[Units_Sold]]*Clean_Data[[#This Row],[Unit_Price]])</f>
        <v>12500</v>
      </c>
      <c r="M328">
        <f>Clean_Data[[#This Row],[Units_Sold]]*Clean_Data[[#This Row],[Cost_Price]]</f>
        <v>7760</v>
      </c>
      <c r="N328">
        <f>Clean_Data[[#This Row],[Total_Sales]]-Clean_Data[[#This Row],[Total_Cost]]</f>
        <v>4740</v>
      </c>
      <c r="O328" s="2">
        <f>Clean_Data[[#This Row],[Profit]]/Clean_Data[[#This Row],[Total_Sales]]</f>
        <v>0.37919999999999998</v>
      </c>
      <c r="P328" t="str">
        <f>_xlfn.XLOOKUP(Clean_Data[[#This Row],[Product_Code]],Product_Catalog!A:A,Product_Catalog!C:C)</f>
        <v>Electronics</v>
      </c>
      <c r="Q328">
        <f>IF(Clean_Data[[#This Row],[Order_Date]]="","",YEAR(Clean_Data[[#This Row],[Order_Date]]))</f>
        <v>2026</v>
      </c>
      <c r="R328" t="str">
        <f>TEXT(Clean_Data[[#This Row],[Order_Date]],"mmm")</f>
        <v>Jan</v>
      </c>
      <c r="S328" t="str">
        <f>TEXT(Clean_Data[[#This Row],[Order_Date]],"mmm-yy")</f>
        <v>Jan-26</v>
      </c>
      <c r="V328"/>
    </row>
    <row r="329" spans="1:22" x14ac:dyDescent="0.25">
      <c r="A329" t="s">
        <v>386</v>
      </c>
      <c r="B329" s="1">
        <v>46000</v>
      </c>
      <c r="C329" t="s">
        <v>25</v>
      </c>
      <c r="D329" t="s">
        <v>26</v>
      </c>
      <c r="E329" t="s">
        <v>20</v>
      </c>
      <c r="F329" t="s">
        <v>21</v>
      </c>
      <c r="G329">
        <v>17</v>
      </c>
      <c r="H329">
        <v>8500</v>
      </c>
      <c r="I329">
        <v>5919</v>
      </c>
      <c r="J329" t="s">
        <v>29</v>
      </c>
      <c r="K329" t="s">
        <v>46</v>
      </c>
      <c r="L329">
        <f>SUM(Clean_Data[[#This Row],[Units_Sold]]*Clean_Data[[#This Row],[Unit_Price]])</f>
        <v>144500</v>
      </c>
      <c r="M329">
        <f>Clean_Data[[#This Row],[Units_Sold]]*Clean_Data[[#This Row],[Cost_Price]]</f>
        <v>100623</v>
      </c>
      <c r="N329">
        <f>Clean_Data[[#This Row],[Total_Sales]]-Clean_Data[[#This Row],[Total_Cost]]</f>
        <v>43877</v>
      </c>
      <c r="O329" s="2">
        <f>Clean_Data[[#This Row],[Profit]]/Clean_Data[[#This Row],[Total_Sales]]</f>
        <v>0.30364705882352944</v>
      </c>
      <c r="P329" t="str">
        <f>_xlfn.XLOOKUP(Clean_Data[[#This Row],[Product_Code]],Product_Catalog!A:A,Product_Catalog!C:C)</f>
        <v>Accessories</v>
      </c>
      <c r="Q329">
        <f>IF(Clean_Data[[#This Row],[Order_Date]]="","",YEAR(Clean_Data[[#This Row],[Order_Date]]))</f>
        <v>2025</v>
      </c>
      <c r="R329" t="str">
        <f>TEXT(Clean_Data[[#This Row],[Order_Date]],"mmm")</f>
        <v>Dec</v>
      </c>
      <c r="S329" t="str">
        <f>TEXT(Clean_Data[[#This Row],[Order_Date]],"mmm-yy")</f>
        <v>Dec-25</v>
      </c>
      <c r="V329"/>
    </row>
    <row r="330" spans="1:22" x14ac:dyDescent="0.25">
      <c r="A330" t="s">
        <v>387</v>
      </c>
      <c r="B330" s="1">
        <v>45870</v>
      </c>
      <c r="C330" t="s">
        <v>19</v>
      </c>
      <c r="D330" t="s">
        <v>40</v>
      </c>
      <c r="E330" t="s">
        <v>66</v>
      </c>
      <c r="F330" t="s">
        <v>67</v>
      </c>
      <c r="G330">
        <v>4</v>
      </c>
      <c r="H330">
        <v>2500</v>
      </c>
      <c r="I330">
        <v>1752</v>
      </c>
      <c r="J330" t="s">
        <v>29</v>
      </c>
      <c r="K330" t="s">
        <v>17</v>
      </c>
      <c r="L330">
        <f>SUM(Clean_Data[[#This Row],[Units_Sold]]*Clean_Data[[#This Row],[Unit_Price]])</f>
        <v>10000</v>
      </c>
      <c r="M330">
        <f>Clean_Data[[#This Row],[Units_Sold]]*Clean_Data[[#This Row],[Cost_Price]]</f>
        <v>7008</v>
      </c>
      <c r="N330">
        <f>Clean_Data[[#This Row],[Total_Sales]]-Clean_Data[[#This Row],[Total_Cost]]</f>
        <v>2992</v>
      </c>
      <c r="O330" s="2">
        <f>Clean_Data[[#This Row],[Profit]]/Clean_Data[[#This Row],[Total_Sales]]</f>
        <v>0.29920000000000002</v>
      </c>
      <c r="P330" t="str">
        <f>_xlfn.XLOOKUP(Clean_Data[[#This Row],[Product_Code]],Product_Catalog!A:A,Product_Catalog!C:C)</f>
        <v>Electronics</v>
      </c>
      <c r="Q330">
        <f>IF(Clean_Data[[#This Row],[Order_Date]]="","",YEAR(Clean_Data[[#This Row],[Order_Date]]))</f>
        <v>2025</v>
      </c>
      <c r="R330" t="str">
        <f>TEXT(Clean_Data[[#This Row],[Order_Date]],"mmm")</f>
        <v>Aug</v>
      </c>
      <c r="S330" t="str">
        <f>TEXT(Clean_Data[[#This Row],[Order_Date]],"mmm-yy")</f>
        <v>Aug-25</v>
      </c>
      <c r="V330"/>
    </row>
    <row r="331" spans="1:22" x14ac:dyDescent="0.25">
      <c r="A331" t="s">
        <v>388</v>
      </c>
      <c r="B331" s="1">
        <v>46113</v>
      </c>
      <c r="C331" t="s">
        <v>19</v>
      </c>
      <c r="D331" t="s">
        <v>36</v>
      </c>
      <c r="E331" t="s">
        <v>63</v>
      </c>
      <c r="F331" t="s">
        <v>59</v>
      </c>
      <c r="G331">
        <v>9</v>
      </c>
      <c r="H331">
        <v>4500</v>
      </c>
      <c r="I331">
        <v>2867</v>
      </c>
      <c r="J331" t="s">
        <v>45</v>
      </c>
      <c r="K331" t="s">
        <v>23</v>
      </c>
      <c r="L331">
        <f>SUM(Clean_Data[[#This Row],[Units_Sold]]*Clean_Data[[#This Row],[Unit_Price]])</f>
        <v>40500</v>
      </c>
      <c r="M331">
        <f>Clean_Data[[#This Row],[Units_Sold]]*Clean_Data[[#This Row],[Cost_Price]]</f>
        <v>25803</v>
      </c>
      <c r="N331">
        <f>Clean_Data[[#This Row],[Total_Sales]]-Clean_Data[[#This Row],[Total_Cost]]</f>
        <v>14697</v>
      </c>
      <c r="O331" s="2">
        <f>Clean_Data[[#This Row],[Profit]]/Clean_Data[[#This Row],[Total_Sales]]</f>
        <v>0.36288888888888887</v>
      </c>
      <c r="P331" t="str">
        <f>_xlfn.XLOOKUP(Clean_Data[[#This Row],[Product_Code]],Product_Catalog!A:A,Product_Catalog!C:C)</f>
        <v>Electronics</v>
      </c>
      <c r="Q331">
        <f>IF(Clean_Data[[#This Row],[Order_Date]]="","",YEAR(Clean_Data[[#This Row],[Order_Date]]))</f>
        <v>2026</v>
      </c>
      <c r="R331" t="str">
        <f>TEXT(Clean_Data[[#This Row],[Order_Date]],"mmm")</f>
        <v>Apr</v>
      </c>
      <c r="S331" t="str">
        <f>TEXT(Clean_Data[[#This Row],[Order_Date]],"mmm-yy")</f>
        <v>Apr-26</v>
      </c>
      <c r="V331"/>
    </row>
    <row r="332" spans="1:22" x14ac:dyDescent="0.25">
      <c r="A332" t="s">
        <v>389</v>
      </c>
      <c r="B332" s="1">
        <v>45952</v>
      </c>
      <c r="C332" t="s">
        <v>48</v>
      </c>
      <c r="D332" t="s">
        <v>26</v>
      </c>
      <c r="E332" t="s">
        <v>37</v>
      </c>
      <c r="F332" t="s">
        <v>38</v>
      </c>
      <c r="G332">
        <v>6</v>
      </c>
      <c r="H332">
        <v>55000</v>
      </c>
      <c r="I332">
        <v>33836</v>
      </c>
      <c r="J332" t="s">
        <v>22</v>
      </c>
      <c r="K332" t="s">
        <v>23</v>
      </c>
      <c r="L332">
        <f>SUM(Clean_Data[[#This Row],[Units_Sold]]*Clean_Data[[#This Row],[Unit_Price]])</f>
        <v>330000</v>
      </c>
      <c r="M332">
        <f>Clean_Data[[#This Row],[Units_Sold]]*Clean_Data[[#This Row],[Cost_Price]]</f>
        <v>203016</v>
      </c>
      <c r="N332">
        <f>Clean_Data[[#This Row],[Total_Sales]]-Clean_Data[[#This Row],[Total_Cost]]</f>
        <v>126984</v>
      </c>
      <c r="O332" s="2">
        <f>Clean_Data[[#This Row],[Profit]]/Clean_Data[[#This Row],[Total_Sales]]</f>
        <v>0.38479999999999998</v>
      </c>
      <c r="P332" t="str">
        <f>_xlfn.XLOOKUP(Clean_Data[[#This Row],[Product_Code]],Product_Catalog!A:A,Product_Catalog!C:C)</f>
        <v>Electronics</v>
      </c>
      <c r="Q332">
        <f>IF(Clean_Data[[#This Row],[Order_Date]]="","",YEAR(Clean_Data[[#This Row],[Order_Date]]))</f>
        <v>2025</v>
      </c>
      <c r="R332" t="str">
        <f>TEXT(Clean_Data[[#This Row],[Order_Date]],"mmm")</f>
        <v>Oct</v>
      </c>
      <c r="S332" t="str">
        <f>TEXT(Clean_Data[[#This Row],[Order_Date]],"mmm-yy")</f>
        <v>Oct-25</v>
      </c>
      <c r="V332"/>
    </row>
    <row r="333" spans="1:22" x14ac:dyDescent="0.25">
      <c r="A333" t="s">
        <v>390</v>
      </c>
      <c r="B333" s="1">
        <v>45819</v>
      </c>
      <c r="C333" t="s">
        <v>19</v>
      </c>
      <c r="D333" t="s">
        <v>36</v>
      </c>
      <c r="E333" t="s">
        <v>55</v>
      </c>
      <c r="F333" t="s">
        <v>34</v>
      </c>
      <c r="G333">
        <v>19</v>
      </c>
      <c r="H333">
        <v>35000</v>
      </c>
      <c r="I333">
        <v>24713</v>
      </c>
      <c r="J333" t="s">
        <v>29</v>
      </c>
      <c r="K333" t="s">
        <v>23</v>
      </c>
      <c r="L333">
        <f>SUM(Clean_Data[[#This Row],[Units_Sold]]*Clean_Data[[#This Row],[Unit_Price]])</f>
        <v>665000</v>
      </c>
      <c r="M333">
        <f>Clean_Data[[#This Row],[Units_Sold]]*Clean_Data[[#This Row],[Cost_Price]]</f>
        <v>469547</v>
      </c>
      <c r="N333">
        <f>Clean_Data[[#This Row],[Total_Sales]]-Clean_Data[[#This Row],[Total_Cost]]</f>
        <v>195453</v>
      </c>
      <c r="O333" s="2">
        <f>Clean_Data[[#This Row],[Profit]]/Clean_Data[[#This Row],[Total_Sales]]</f>
        <v>0.29391428571428574</v>
      </c>
      <c r="P333" t="str">
        <f>_xlfn.XLOOKUP(Clean_Data[[#This Row],[Product_Code]],Product_Catalog!A:A,Product_Catalog!C:C)</f>
        <v>Furniture</v>
      </c>
      <c r="Q333">
        <f>IF(Clean_Data[[#This Row],[Order_Date]]="","",YEAR(Clean_Data[[#This Row],[Order_Date]]))</f>
        <v>2025</v>
      </c>
      <c r="R333" t="str">
        <f>TEXT(Clean_Data[[#This Row],[Order_Date]],"mmm")</f>
        <v>Jun</v>
      </c>
      <c r="S333" t="str">
        <f>TEXT(Clean_Data[[#This Row],[Order_Date]],"mmm-yy")</f>
        <v>Jun-25</v>
      </c>
      <c r="V333"/>
    </row>
    <row r="334" spans="1:22" x14ac:dyDescent="0.25">
      <c r="A334" t="s">
        <v>391</v>
      </c>
      <c r="B334" s="1">
        <v>46130</v>
      </c>
      <c r="C334" t="s">
        <v>73</v>
      </c>
      <c r="D334" t="s">
        <v>40</v>
      </c>
      <c r="E334" t="s">
        <v>55</v>
      </c>
      <c r="F334" t="s">
        <v>34</v>
      </c>
      <c r="G334">
        <v>13</v>
      </c>
      <c r="H334">
        <v>35000</v>
      </c>
      <c r="I334">
        <v>23289</v>
      </c>
      <c r="J334" t="s">
        <v>22</v>
      </c>
      <c r="K334" t="s">
        <v>23</v>
      </c>
      <c r="L334">
        <f>SUM(Clean_Data[[#This Row],[Units_Sold]]*Clean_Data[[#This Row],[Unit_Price]])</f>
        <v>455000</v>
      </c>
      <c r="M334">
        <f>Clean_Data[[#This Row],[Units_Sold]]*Clean_Data[[#This Row],[Cost_Price]]</f>
        <v>302757</v>
      </c>
      <c r="N334">
        <f>Clean_Data[[#This Row],[Total_Sales]]-Clean_Data[[#This Row],[Total_Cost]]</f>
        <v>152243</v>
      </c>
      <c r="O334" s="2">
        <f>Clean_Data[[#This Row],[Profit]]/Clean_Data[[#This Row],[Total_Sales]]</f>
        <v>0.33460000000000001</v>
      </c>
      <c r="P334" t="str">
        <f>_xlfn.XLOOKUP(Clean_Data[[#This Row],[Product_Code]],Product_Catalog!A:A,Product_Catalog!C:C)</f>
        <v>Furniture</v>
      </c>
      <c r="Q334">
        <f>IF(Clean_Data[[#This Row],[Order_Date]]="","",YEAR(Clean_Data[[#This Row],[Order_Date]]))</f>
        <v>2026</v>
      </c>
      <c r="R334" t="str">
        <f>TEXT(Clean_Data[[#This Row],[Order_Date]],"mmm")</f>
        <v>Apr</v>
      </c>
      <c r="S334" t="str">
        <f>TEXT(Clean_Data[[#This Row],[Order_Date]],"mmm-yy")</f>
        <v>Apr-26</v>
      </c>
      <c r="V334"/>
    </row>
    <row r="335" spans="1:22" x14ac:dyDescent="0.25">
      <c r="A335" t="s">
        <v>392</v>
      </c>
      <c r="B335" s="1">
        <v>45779</v>
      </c>
      <c r="C335" t="s">
        <v>62</v>
      </c>
      <c r="D335" t="s">
        <v>40</v>
      </c>
      <c r="E335" t="s">
        <v>49</v>
      </c>
      <c r="F335" t="s">
        <v>50</v>
      </c>
      <c r="G335">
        <v>17</v>
      </c>
      <c r="H335">
        <v>75000</v>
      </c>
      <c r="I335">
        <v>49080</v>
      </c>
      <c r="J335" t="s">
        <v>22</v>
      </c>
      <c r="K335" t="s">
        <v>23</v>
      </c>
      <c r="L335">
        <f>SUM(Clean_Data[[#This Row],[Units_Sold]]*Clean_Data[[#This Row],[Unit_Price]])</f>
        <v>1275000</v>
      </c>
      <c r="M335">
        <f>Clean_Data[[#This Row],[Units_Sold]]*Clean_Data[[#This Row],[Cost_Price]]</f>
        <v>834360</v>
      </c>
      <c r="N335">
        <f>Clean_Data[[#This Row],[Total_Sales]]-Clean_Data[[#This Row],[Total_Cost]]</f>
        <v>440640</v>
      </c>
      <c r="O335" s="2">
        <f>Clean_Data[[#This Row],[Profit]]/Clean_Data[[#This Row],[Total_Sales]]</f>
        <v>0.34560000000000002</v>
      </c>
      <c r="P335" t="str">
        <f>_xlfn.XLOOKUP(Clean_Data[[#This Row],[Product_Code]],Product_Catalog!A:A,Product_Catalog!C:C)</f>
        <v>Electronics</v>
      </c>
      <c r="Q335">
        <f>IF(Clean_Data[[#This Row],[Order_Date]]="","",YEAR(Clean_Data[[#This Row],[Order_Date]]))</f>
        <v>2025</v>
      </c>
      <c r="R335" t="str">
        <f>TEXT(Clean_Data[[#This Row],[Order_Date]],"mmm")</f>
        <v>May</v>
      </c>
      <c r="S335" t="str">
        <f>TEXT(Clean_Data[[#This Row],[Order_Date]],"mmm-yy")</f>
        <v>May-25</v>
      </c>
      <c r="V335"/>
    </row>
    <row r="336" spans="1:22" x14ac:dyDescent="0.25">
      <c r="A336" t="s">
        <v>393</v>
      </c>
      <c r="B336" s="1">
        <v>45676</v>
      </c>
      <c r="C336" t="s">
        <v>53</v>
      </c>
      <c r="D336" t="s">
        <v>13</v>
      </c>
      <c r="E336" t="s">
        <v>55</v>
      </c>
      <c r="F336" t="s">
        <v>34</v>
      </c>
      <c r="G336">
        <v>19</v>
      </c>
      <c r="H336">
        <v>35000</v>
      </c>
      <c r="I336">
        <v>27729</v>
      </c>
      <c r="J336" t="s">
        <v>16</v>
      </c>
      <c r="K336" t="s">
        <v>46</v>
      </c>
      <c r="L336">
        <f>SUM(Clean_Data[[#This Row],[Units_Sold]]*Clean_Data[[#This Row],[Unit_Price]])</f>
        <v>665000</v>
      </c>
      <c r="M336">
        <f>Clean_Data[[#This Row],[Units_Sold]]*Clean_Data[[#This Row],[Cost_Price]]</f>
        <v>526851</v>
      </c>
      <c r="N336">
        <f>Clean_Data[[#This Row],[Total_Sales]]-Clean_Data[[#This Row],[Total_Cost]]</f>
        <v>138149</v>
      </c>
      <c r="O336" s="2">
        <f>Clean_Data[[#This Row],[Profit]]/Clean_Data[[#This Row],[Total_Sales]]</f>
        <v>0.20774285714285715</v>
      </c>
      <c r="P336" t="str">
        <f>_xlfn.XLOOKUP(Clean_Data[[#This Row],[Product_Code]],Product_Catalog!A:A,Product_Catalog!C:C)</f>
        <v>Furniture</v>
      </c>
      <c r="Q336">
        <f>IF(Clean_Data[[#This Row],[Order_Date]]="","",YEAR(Clean_Data[[#This Row],[Order_Date]]))</f>
        <v>2025</v>
      </c>
      <c r="R336" t="str">
        <f>TEXT(Clean_Data[[#This Row],[Order_Date]],"mmm")</f>
        <v>Jan</v>
      </c>
      <c r="S336" t="str">
        <f>TEXT(Clean_Data[[#This Row],[Order_Date]],"mmm-yy")</f>
        <v>Jan-25</v>
      </c>
      <c r="V336"/>
    </row>
    <row r="337" spans="1:22" x14ac:dyDescent="0.25">
      <c r="A337" t="s">
        <v>395</v>
      </c>
      <c r="B337" s="1">
        <v>46117</v>
      </c>
      <c r="C337" t="s">
        <v>53</v>
      </c>
      <c r="D337" t="s">
        <v>36</v>
      </c>
      <c r="E337" t="s">
        <v>27</v>
      </c>
      <c r="F337" t="s">
        <v>28</v>
      </c>
      <c r="G337">
        <v>1</v>
      </c>
      <c r="H337">
        <v>14000</v>
      </c>
      <c r="I337">
        <v>8998</v>
      </c>
      <c r="J337" t="s">
        <v>45</v>
      </c>
      <c r="K337" t="s">
        <v>46</v>
      </c>
      <c r="L337">
        <f>SUM(Clean_Data[[#This Row],[Units_Sold]]*Clean_Data[[#This Row],[Unit_Price]])</f>
        <v>14000</v>
      </c>
      <c r="M337">
        <f>Clean_Data[[#This Row],[Units_Sold]]*Clean_Data[[#This Row],[Cost_Price]]</f>
        <v>8998</v>
      </c>
      <c r="N337">
        <f>Clean_Data[[#This Row],[Total_Sales]]-Clean_Data[[#This Row],[Total_Cost]]</f>
        <v>5002</v>
      </c>
      <c r="O337" s="2">
        <f>Clean_Data[[#This Row],[Profit]]/Clean_Data[[#This Row],[Total_Sales]]</f>
        <v>0.35728571428571426</v>
      </c>
      <c r="P337" t="str">
        <f>_xlfn.XLOOKUP(Clean_Data[[#This Row],[Product_Code]],Product_Catalog!A:A,Product_Catalog!C:C)</f>
        <v>Furniture</v>
      </c>
      <c r="Q337">
        <f>IF(Clean_Data[[#This Row],[Order_Date]]="","",YEAR(Clean_Data[[#This Row],[Order_Date]]))</f>
        <v>2026</v>
      </c>
      <c r="R337" t="str">
        <f>TEXT(Clean_Data[[#This Row],[Order_Date]],"mmm")</f>
        <v>Apr</v>
      </c>
      <c r="S337" t="str">
        <f>TEXT(Clean_Data[[#This Row],[Order_Date]],"mmm-yy")</f>
        <v>Apr-26</v>
      </c>
      <c r="V337"/>
    </row>
    <row r="338" spans="1:22" x14ac:dyDescent="0.25">
      <c r="A338" t="s">
        <v>396</v>
      </c>
      <c r="B338" s="1">
        <v>45884</v>
      </c>
      <c r="C338" t="s">
        <v>73</v>
      </c>
      <c r="D338" t="s">
        <v>26</v>
      </c>
      <c r="E338" t="s">
        <v>20</v>
      </c>
      <c r="F338" t="s">
        <v>21</v>
      </c>
      <c r="G338">
        <v>15</v>
      </c>
      <c r="H338">
        <v>8500</v>
      </c>
      <c r="I338">
        <v>6571</v>
      </c>
      <c r="J338" t="s">
        <v>16</v>
      </c>
      <c r="K338" t="s">
        <v>46</v>
      </c>
      <c r="L338">
        <f>SUM(Clean_Data[[#This Row],[Units_Sold]]*Clean_Data[[#This Row],[Unit_Price]])</f>
        <v>127500</v>
      </c>
      <c r="M338">
        <f>Clean_Data[[#This Row],[Units_Sold]]*Clean_Data[[#This Row],[Cost_Price]]</f>
        <v>98565</v>
      </c>
      <c r="N338">
        <f>Clean_Data[[#This Row],[Total_Sales]]-Clean_Data[[#This Row],[Total_Cost]]</f>
        <v>28935</v>
      </c>
      <c r="O338" s="2">
        <f>Clean_Data[[#This Row],[Profit]]/Clean_Data[[#This Row],[Total_Sales]]</f>
        <v>0.22694117647058823</v>
      </c>
      <c r="P338" t="str">
        <f>_xlfn.XLOOKUP(Clean_Data[[#This Row],[Product_Code]],Product_Catalog!A:A,Product_Catalog!C:C)</f>
        <v>Accessories</v>
      </c>
      <c r="Q338">
        <f>IF(Clean_Data[[#This Row],[Order_Date]]="","",YEAR(Clean_Data[[#This Row],[Order_Date]]))</f>
        <v>2025</v>
      </c>
      <c r="R338" t="str">
        <f>TEXT(Clean_Data[[#This Row],[Order_Date]],"mmm")</f>
        <v>Aug</v>
      </c>
      <c r="S338" t="str">
        <f>TEXT(Clean_Data[[#This Row],[Order_Date]],"mmm-yy")</f>
        <v>Aug-25</v>
      </c>
      <c r="V338"/>
    </row>
    <row r="339" spans="1:22" x14ac:dyDescent="0.25">
      <c r="A339" t="s">
        <v>397</v>
      </c>
      <c r="B339" s="1">
        <v>46201</v>
      </c>
      <c r="C339" t="s">
        <v>73</v>
      </c>
      <c r="D339" t="s">
        <v>33</v>
      </c>
      <c r="E339" t="s">
        <v>37</v>
      </c>
      <c r="F339" t="s">
        <v>38</v>
      </c>
      <c r="G339">
        <v>6</v>
      </c>
      <c r="H339">
        <v>55000</v>
      </c>
      <c r="I339">
        <v>38457</v>
      </c>
      <c r="J339" t="s">
        <v>22</v>
      </c>
      <c r="K339" t="s">
        <v>23</v>
      </c>
      <c r="L339">
        <f>SUM(Clean_Data[[#This Row],[Units_Sold]]*Clean_Data[[#This Row],[Unit_Price]])</f>
        <v>330000</v>
      </c>
      <c r="M339">
        <f>Clean_Data[[#This Row],[Units_Sold]]*Clean_Data[[#This Row],[Cost_Price]]</f>
        <v>230742</v>
      </c>
      <c r="N339">
        <f>Clean_Data[[#This Row],[Total_Sales]]-Clean_Data[[#This Row],[Total_Cost]]</f>
        <v>99258</v>
      </c>
      <c r="O339" s="2">
        <f>Clean_Data[[#This Row],[Profit]]/Clean_Data[[#This Row],[Total_Sales]]</f>
        <v>0.30078181818181821</v>
      </c>
      <c r="P339" t="str">
        <f>_xlfn.XLOOKUP(Clean_Data[[#This Row],[Product_Code]],Product_Catalog!A:A,Product_Catalog!C:C)</f>
        <v>Electronics</v>
      </c>
      <c r="Q339">
        <f>IF(Clean_Data[[#This Row],[Order_Date]]="","",YEAR(Clean_Data[[#This Row],[Order_Date]]))</f>
        <v>2026</v>
      </c>
      <c r="R339" t="str">
        <f>TEXT(Clean_Data[[#This Row],[Order_Date]],"mmm")</f>
        <v>Jun</v>
      </c>
      <c r="S339" t="str">
        <f>TEXT(Clean_Data[[#This Row],[Order_Date]],"mmm-yy")</f>
        <v>Jun-26</v>
      </c>
      <c r="V339"/>
    </row>
    <row r="340" spans="1:22" x14ac:dyDescent="0.25">
      <c r="A340" t="s">
        <v>398</v>
      </c>
      <c r="B340" s="1">
        <v>45810</v>
      </c>
      <c r="C340" t="s">
        <v>12</v>
      </c>
      <c r="D340" t="s">
        <v>13</v>
      </c>
      <c r="E340" t="s">
        <v>41</v>
      </c>
      <c r="F340" t="s">
        <v>42</v>
      </c>
      <c r="G340">
        <v>9</v>
      </c>
      <c r="H340">
        <v>28000</v>
      </c>
      <c r="I340">
        <v>17846</v>
      </c>
      <c r="J340" t="s">
        <v>22</v>
      </c>
      <c r="K340" t="s">
        <v>23</v>
      </c>
      <c r="L340">
        <f>SUM(Clean_Data[[#This Row],[Units_Sold]]*Clean_Data[[#This Row],[Unit_Price]])</f>
        <v>252000</v>
      </c>
      <c r="M340">
        <f>Clean_Data[[#This Row],[Units_Sold]]*Clean_Data[[#This Row],[Cost_Price]]</f>
        <v>160614</v>
      </c>
      <c r="N340">
        <f>Clean_Data[[#This Row],[Total_Sales]]-Clean_Data[[#This Row],[Total_Cost]]</f>
        <v>91386</v>
      </c>
      <c r="O340" s="2">
        <f>Clean_Data[[#This Row],[Profit]]/Clean_Data[[#This Row],[Total_Sales]]</f>
        <v>0.36264285714285716</v>
      </c>
      <c r="P340" t="str">
        <f>_xlfn.XLOOKUP(Clean_Data[[#This Row],[Product_Code]],Product_Catalog!A:A,Product_Catalog!C:C)</f>
        <v>Electronics</v>
      </c>
      <c r="Q340">
        <f>IF(Clean_Data[[#This Row],[Order_Date]]="","",YEAR(Clean_Data[[#This Row],[Order_Date]]))</f>
        <v>2025</v>
      </c>
      <c r="R340" t="str">
        <f>TEXT(Clean_Data[[#This Row],[Order_Date]],"mmm")</f>
        <v>Jun</v>
      </c>
      <c r="S340" t="str">
        <f>TEXT(Clean_Data[[#This Row],[Order_Date]],"mmm-yy")</f>
        <v>Jun-25</v>
      </c>
      <c r="V340"/>
    </row>
    <row r="341" spans="1:22" x14ac:dyDescent="0.25">
      <c r="A341" t="s">
        <v>399</v>
      </c>
      <c r="B341" s="1">
        <v>45930</v>
      </c>
      <c r="C341" t="s">
        <v>25</v>
      </c>
      <c r="D341" t="s">
        <v>33</v>
      </c>
      <c r="E341" t="s">
        <v>27</v>
      </c>
      <c r="F341" t="s">
        <v>28</v>
      </c>
      <c r="G341">
        <v>18</v>
      </c>
      <c r="H341">
        <v>14000</v>
      </c>
      <c r="I341">
        <v>10021</v>
      </c>
      <c r="J341" t="s">
        <v>29</v>
      </c>
      <c r="K341" t="s">
        <v>17</v>
      </c>
      <c r="L341">
        <f>SUM(Clean_Data[[#This Row],[Units_Sold]]*Clean_Data[[#This Row],[Unit_Price]])</f>
        <v>252000</v>
      </c>
      <c r="M341">
        <f>Clean_Data[[#This Row],[Units_Sold]]*Clean_Data[[#This Row],[Cost_Price]]</f>
        <v>180378</v>
      </c>
      <c r="N341">
        <f>Clean_Data[[#This Row],[Total_Sales]]-Clean_Data[[#This Row],[Total_Cost]]</f>
        <v>71622</v>
      </c>
      <c r="O341" s="2">
        <f>Clean_Data[[#This Row],[Profit]]/Clean_Data[[#This Row],[Total_Sales]]</f>
        <v>0.2842142857142857</v>
      </c>
      <c r="P341" t="str">
        <f>_xlfn.XLOOKUP(Clean_Data[[#This Row],[Product_Code]],Product_Catalog!A:A,Product_Catalog!C:C)</f>
        <v>Furniture</v>
      </c>
      <c r="Q341">
        <f>IF(Clean_Data[[#This Row],[Order_Date]]="","",YEAR(Clean_Data[[#This Row],[Order_Date]]))</f>
        <v>2025</v>
      </c>
      <c r="R341" t="str">
        <f>TEXT(Clean_Data[[#This Row],[Order_Date]],"mmm")</f>
        <v>Sep</v>
      </c>
      <c r="S341" t="str">
        <f>TEXT(Clean_Data[[#This Row],[Order_Date]],"mmm-yy")</f>
        <v>Sep-25</v>
      </c>
      <c r="V341"/>
    </row>
    <row r="342" spans="1:22" x14ac:dyDescent="0.25">
      <c r="A342" t="s">
        <v>400</v>
      </c>
      <c r="B342" s="1">
        <v>46084</v>
      </c>
      <c r="C342" t="s">
        <v>53</v>
      </c>
      <c r="D342" t="s">
        <v>40</v>
      </c>
      <c r="E342" t="s">
        <v>20</v>
      </c>
      <c r="F342" t="s">
        <v>21</v>
      </c>
      <c r="G342">
        <v>14</v>
      </c>
      <c r="H342">
        <v>8500</v>
      </c>
      <c r="I342">
        <v>6542</v>
      </c>
      <c r="J342" t="s">
        <v>45</v>
      </c>
      <c r="K342" t="s">
        <v>17</v>
      </c>
      <c r="L342">
        <f>SUM(Clean_Data[[#This Row],[Units_Sold]]*Clean_Data[[#This Row],[Unit_Price]])</f>
        <v>119000</v>
      </c>
      <c r="M342">
        <f>Clean_Data[[#This Row],[Units_Sold]]*Clean_Data[[#This Row],[Cost_Price]]</f>
        <v>91588</v>
      </c>
      <c r="N342">
        <f>Clean_Data[[#This Row],[Total_Sales]]-Clean_Data[[#This Row],[Total_Cost]]</f>
        <v>27412</v>
      </c>
      <c r="O342" s="2">
        <f>Clean_Data[[#This Row],[Profit]]/Clean_Data[[#This Row],[Total_Sales]]</f>
        <v>0.23035294117647059</v>
      </c>
      <c r="P342" t="str">
        <f>_xlfn.XLOOKUP(Clean_Data[[#This Row],[Product_Code]],Product_Catalog!A:A,Product_Catalog!C:C)</f>
        <v>Accessories</v>
      </c>
      <c r="Q342">
        <f>IF(Clean_Data[[#This Row],[Order_Date]]="","",YEAR(Clean_Data[[#This Row],[Order_Date]]))</f>
        <v>2026</v>
      </c>
      <c r="R342" t="str">
        <f>TEXT(Clean_Data[[#This Row],[Order_Date]],"mmm")</f>
        <v>Mar</v>
      </c>
      <c r="S342" t="str">
        <f>TEXT(Clean_Data[[#This Row],[Order_Date]],"mmm-yy")</f>
        <v>Mar-26</v>
      </c>
      <c r="V342"/>
    </row>
    <row r="343" spans="1:22" x14ac:dyDescent="0.25">
      <c r="A343" t="s">
        <v>401</v>
      </c>
      <c r="B343" s="1">
        <v>45712</v>
      </c>
      <c r="C343" t="s">
        <v>31</v>
      </c>
      <c r="D343" t="s">
        <v>33</v>
      </c>
      <c r="E343" t="s">
        <v>14</v>
      </c>
      <c r="F343" t="s">
        <v>15</v>
      </c>
      <c r="G343">
        <v>14</v>
      </c>
      <c r="H343">
        <v>12500</v>
      </c>
      <c r="I343">
        <v>8438</v>
      </c>
      <c r="J343" t="s">
        <v>45</v>
      </c>
      <c r="K343" t="s">
        <v>17</v>
      </c>
      <c r="L343">
        <f>SUM(Clean_Data[[#This Row],[Units_Sold]]*Clean_Data[[#This Row],[Unit_Price]])</f>
        <v>175000</v>
      </c>
      <c r="M343">
        <f>Clean_Data[[#This Row],[Units_Sold]]*Clean_Data[[#This Row],[Cost_Price]]</f>
        <v>118132</v>
      </c>
      <c r="N343">
        <f>Clean_Data[[#This Row],[Total_Sales]]-Clean_Data[[#This Row],[Total_Cost]]</f>
        <v>56868</v>
      </c>
      <c r="O343" s="2">
        <f>Clean_Data[[#This Row],[Profit]]/Clean_Data[[#This Row],[Total_Sales]]</f>
        <v>0.32496000000000003</v>
      </c>
      <c r="P343" t="str">
        <f>_xlfn.XLOOKUP(Clean_Data[[#This Row],[Product_Code]],Product_Catalog!A:A,Product_Catalog!C:C)</f>
        <v>Accessories</v>
      </c>
      <c r="Q343">
        <f>IF(Clean_Data[[#This Row],[Order_Date]]="","",YEAR(Clean_Data[[#This Row],[Order_Date]]))</f>
        <v>2025</v>
      </c>
      <c r="R343" t="str">
        <f>TEXT(Clean_Data[[#This Row],[Order_Date]],"mmm")</f>
        <v>Feb</v>
      </c>
      <c r="S343" t="str">
        <f>TEXT(Clean_Data[[#This Row],[Order_Date]],"mmm-yy")</f>
        <v>Feb-25</v>
      </c>
      <c r="V343"/>
    </row>
    <row r="344" spans="1:22" x14ac:dyDescent="0.25">
      <c r="A344" t="s">
        <v>402</v>
      </c>
      <c r="B344" s="1">
        <v>46250</v>
      </c>
      <c r="C344" t="s">
        <v>73</v>
      </c>
      <c r="D344" t="s">
        <v>40</v>
      </c>
      <c r="E344" t="s">
        <v>20</v>
      </c>
      <c r="F344" t="s">
        <v>21</v>
      </c>
      <c r="G344">
        <v>12</v>
      </c>
      <c r="H344">
        <v>8500</v>
      </c>
      <c r="I344">
        <v>6180</v>
      </c>
      <c r="J344" t="s">
        <v>29</v>
      </c>
      <c r="K344" t="s">
        <v>23</v>
      </c>
      <c r="L344">
        <f>SUM(Clean_Data[[#This Row],[Units_Sold]]*Clean_Data[[#This Row],[Unit_Price]])</f>
        <v>102000</v>
      </c>
      <c r="M344">
        <f>Clean_Data[[#This Row],[Units_Sold]]*Clean_Data[[#This Row],[Cost_Price]]</f>
        <v>74160</v>
      </c>
      <c r="N344">
        <f>Clean_Data[[#This Row],[Total_Sales]]-Clean_Data[[#This Row],[Total_Cost]]</f>
        <v>27840</v>
      </c>
      <c r="O344" s="2">
        <f>Clean_Data[[#This Row],[Profit]]/Clean_Data[[#This Row],[Total_Sales]]</f>
        <v>0.27294117647058824</v>
      </c>
      <c r="P344" t="str">
        <f>_xlfn.XLOOKUP(Clean_Data[[#This Row],[Product_Code]],Product_Catalog!A:A,Product_Catalog!C:C)</f>
        <v>Accessories</v>
      </c>
      <c r="Q344">
        <f>IF(Clean_Data[[#This Row],[Order_Date]]="","",YEAR(Clean_Data[[#This Row],[Order_Date]]))</f>
        <v>2026</v>
      </c>
      <c r="R344" t="str">
        <f>TEXT(Clean_Data[[#This Row],[Order_Date]],"mmm")</f>
        <v>Aug</v>
      </c>
      <c r="S344" t="str">
        <f>TEXT(Clean_Data[[#This Row],[Order_Date]],"mmm-yy")</f>
        <v>Aug-26</v>
      </c>
      <c r="V344"/>
    </row>
    <row r="345" spans="1:22" x14ac:dyDescent="0.25">
      <c r="A345" t="s">
        <v>403</v>
      </c>
      <c r="B345" s="1">
        <v>45990</v>
      </c>
      <c r="C345" t="s">
        <v>44</v>
      </c>
      <c r="D345" t="s">
        <v>26</v>
      </c>
      <c r="E345" t="s">
        <v>41</v>
      </c>
      <c r="F345" t="s">
        <v>42</v>
      </c>
      <c r="G345">
        <v>7</v>
      </c>
      <c r="H345">
        <v>28000</v>
      </c>
      <c r="I345">
        <v>19338</v>
      </c>
      <c r="J345" t="s">
        <v>45</v>
      </c>
      <c r="K345" t="s">
        <v>17</v>
      </c>
      <c r="L345">
        <f>SUM(Clean_Data[[#This Row],[Units_Sold]]*Clean_Data[[#This Row],[Unit_Price]])</f>
        <v>196000</v>
      </c>
      <c r="M345">
        <f>Clean_Data[[#This Row],[Units_Sold]]*Clean_Data[[#This Row],[Cost_Price]]</f>
        <v>135366</v>
      </c>
      <c r="N345">
        <f>Clean_Data[[#This Row],[Total_Sales]]-Clean_Data[[#This Row],[Total_Cost]]</f>
        <v>60634</v>
      </c>
      <c r="O345" s="2">
        <f>Clean_Data[[#This Row],[Profit]]/Clean_Data[[#This Row],[Total_Sales]]</f>
        <v>0.30935714285714283</v>
      </c>
      <c r="P345" t="str">
        <f>_xlfn.XLOOKUP(Clean_Data[[#This Row],[Product_Code]],Product_Catalog!A:A,Product_Catalog!C:C)</f>
        <v>Electronics</v>
      </c>
      <c r="Q345">
        <f>IF(Clean_Data[[#This Row],[Order_Date]]="","",YEAR(Clean_Data[[#This Row],[Order_Date]]))</f>
        <v>2025</v>
      </c>
      <c r="R345" t="str">
        <f>TEXT(Clean_Data[[#This Row],[Order_Date]],"mmm")</f>
        <v>Nov</v>
      </c>
      <c r="S345" t="str">
        <f>TEXT(Clean_Data[[#This Row],[Order_Date]],"mmm-yy")</f>
        <v>Nov-25</v>
      </c>
      <c r="V345"/>
    </row>
    <row r="346" spans="1:22" x14ac:dyDescent="0.25">
      <c r="A346" t="s">
        <v>404</v>
      </c>
      <c r="B346" s="1">
        <v>45741</v>
      </c>
      <c r="C346" t="s">
        <v>73</v>
      </c>
      <c r="D346" t="s">
        <v>40</v>
      </c>
      <c r="E346" t="s">
        <v>27</v>
      </c>
      <c r="F346" t="s">
        <v>28</v>
      </c>
      <c r="G346">
        <v>4</v>
      </c>
      <c r="H346">
        <v>14000</v>
      </c>
      <c r="I346">
        <v>9584</v>
      </c>
      <c r="J346" t="s">
        <v>22</v>
      </c>
      <c r="K346" t="s">
        <v>84</v>
      </c>
      <c r="L346">
        <f>SUM(Clean_Data[[#This Row],[Units_Sold]]*Clean_Data[[#This Row],[Unit_Price]])</f>
        <v>56000</v>
      </c>
      <c r="M346">
        <f>Clean_Data[[#This Row],[Units_Sold]]*Clean_Data[[#This Row],[Cost_Price]]</f>
        <v>38336</v>
      </c>
      <c r="N346">
        <f>Clean_Data[[#This Row],[Total_Sales]]-Clean_Data[[#This Row],[Total_Cost]]</f>
        <v>17664</v>
      </c>
      <c r="O346" s="2">
        <f>Clean_Data[[#This Row],[Profit]]/Clean_Data[[#This Row],[Total_Sales]]</f>
        <v>0.31542857142857145</v>
      </c>
      <c r="P346" t="str">
        <f>_xlfn.XLOOKUP(Clean_Data[[#This Row],[Product_Code]],Product_Catalog!A:A,Product_Catalog!C:C)</f>
        <v>Furniture</v>
      </c>
      <c r="Q346">
        <f>IF(Clean_Data[[#This Row],[Order_Date]]="","",YEAR(Clean_Data[[#This Row],[Order_Date]]))</f>
        <v>2025</v>
      </c>
      <c r="R346" t="str">
        <f>TEXT(Clean_Data[[#This Row],[Order_Date]],"mmm")</f>
        <v>Mar</v>
      </c>
      <c r="S346" t="str">
        <f>TEXT(Clean_Data[[#This Row],[Order_Date]],"mmm-yy")</f>
        <v>Mar-25</v>
      </c>
      <c r="V346"/>
    </row>
    <row r="347" spans="1:22" x14ac:dyDescent="0.25">
      <c r="A347" t="s">
        <v>405</v>
      </c>
      <c r="B347" s="1">
        <v>46185</v>
      </c>
      <c r="C347" t="s">
        <v>53</v>
      </c>
      <c r="D347" t="s">
        <v>13</v>
      </c>
      <c r="E347" t="s">
        <v>37</v>
      </c>
      <c r="F347" t="s">
        <v>38</v>
      </c>
      <c r="G347">
        <v>3</v>
      </c>
      <c r="H347">
        <v>55000</v>
      </c>
      <c r="I347">
        <v>35600</v>
      </c>
      <c r="J347" t="s">
        <v>16</v>
      </c>
      <c r="K347" t="s">
        <v>17</v>
      </c>
      <c r="L347">
        <f>SUM(Clean_Data[[#This Row],[Units_Sold]]*Clean_Data[[#This Row],[Unit_Price]])</f>
        <v>165000</v>
      </c>
      <c r="M347">
        <f>Clean_Data[[#This Row],[Units_Sold]]*Clean_Data[[#This Row],[Cost_Price]]</f>
        <v>106800</v>
      </c>
      <c r="N347">
        <f>Clean_Data[[#This Row],[Total_Sales]]-Clean_Data[[#This Row],[Total_Cost]]</f>
        <v>58200</v>
      </c>
      <c r="O347" s="2">
        <f>Clean_Data[[#This Row],[Profit]]/Clean_Data[[#This Row],[Total_Sales]]</f>
        <v>0.35272727272727272</v>
      </c>
      <c r="P347" t="str">
        <f>_xlfn.XLOOKUP(Clean_Data[[#This Row],[Product_Code]],Product_Catalog!A:A,Product_Catalog!C:C)</f>
        <v>Electronics</v>
      </c>
      <c r="Q347">
        <f>IF(Clean_Data[[#This Row],[Order_Date]]="","",YEAR(Clean_Data[[#This Row],[Order_Date]]))</f>
        <v>2026</v>
      </c>
      <c r="R347" t="str">
        <f>TEXT(Clean_Data[[#This Row],[Order_Date]],"mmm")</f>
        <v>Jun</v>
      </c>
      <c r="S347" t="str">
        <f>TEXT(Clean_Data[[#This Row],[Order_Date]],"mmm-yy")</f>
        <v>Jun-26</v>
      </c>
      <c r="V347"/>
    </row>
    <row r="348" spans="1:22" x14ac:dyDescent="0.25">
      <c r="A348" t="s">
        <v>406</v>
      </c>
      <c r="B348" s="1">
        <v>46164</v>
      </c>
      <c r="C348" t="s">
        <v>19</v>
      </c>
      <c r="D348" t="s">
        <v>33</v>
      </c>
      <c r="E348" t="s">
        <v>66</v>
      </c>
      <c r="F348" t="s">
        <v>67</v>
      </c>
      <c r="G348">
        <v>11</v>
      </c>
      <c r="H348">
        <v>2500</v>
      </c>
      <c r="I348">
        <v>1924</v>
      </c>
      <c r="J348" t="s">
        <v>45</v>
      </c>
      <c r="K348" t="s">
        <v>46</v>
      </c>
      <c r="L348">
        <f>SUM(Clean_Data[[#This Row],[Units_Sold]]*Clean_Data[[#This Row],[Unit_Price]])</f>
        <v>27500</v>
      </c>
      <c r="M348">
        <f>Clean_Data[[#This Row],[Units_Sold]]*Clean_Data[[#This Row],[Cost_Price]]</f>
        <v>21164</v>
      </c>
      <c r="N348">
        <f>Clean_Data[[#This Row],[Total_Sales]]-Clean_Data[[#This Row],[Total_Cost]]</f>
        <v>6336</v>
      </c>
      <c r="O348" s="2">
        <f>Clean_Data[[#This Row],[Profit]]/Clean_Data[[#This Row],[Total_Sales]]</f>
        <v>0.23039999999999999</v>
      </c>
      <c r="P348" t="str">
        <f>_xlfn.XLOOKUP(Clean_Data[[#This Row],[Product_Code]],Product_Catalog!A:A,Product_Catalog!C:C)</f>
        <v>Electronics</v>
      </c>
      <c r="Q348">
        <f>IF(Clean_Data[[#This Row],[Order_Date]]="","",YEAR(Clean_Data[[#This Row],[Order_Date]]))</f>
        <v>2026</v>
      </c>
      <c r="R348" t="str">
        <f>TEXT(Clean_Data[[#This Row],[Order_Date]],"mmm")</f>
        <v>May</v>
      </c>
      <c r="S348" t="str">
        <f>TEXT(Clean_Data[[#This Row],[Order_Date]],"mmm-yy")</f>
        <v>May-26</v>
      </c>
      <c r="V348"/>
    </row>
    <row r="349" spans="1:22" x14ac:dyDescent="0.25">
      <c r="A349" t="s">
        <v>407</v>
      </c>
      <c r="B349" s="1">
        <v>46196</v>
      </c>
      <c r="C349" t="s">
        <v>31</v>
      </c>
      <c r="D349" t="s">
        <v>13</v>
      </c>
      <c r="E349" t="s">
        <v>63</v>
      </c>
      <c r="F349" t="s">
        <v>59</v>
      </c>
      <c r="G349">
        <v>16</v>
      </c>
      <c r="H349">
        <v>4500</v>
      </c>
      <c r="I349">
        <v>3030</v>
      </c>
      <c r="J349" t="s">
        <v>29</v>
      </c>
      <c r="K349" t="s">
        <v>23</v>
      </c>
      <c r="L349">
        <f>SUM(Clean_Data[[#This Row],[Units_Sold]]*Clean_Data[[#This Row],[Unit_Price]])</f>
        <v>72000</v>
      </c>
      <c r="M349">
        <f>Clean_Data[[#This Row],[Units_Sold]]*Clean_Data[[#This Row],[Cost_Price]]</f>
        <v>48480</v>
      </c>
      <c r="N349">
        <f>Clean_Data[[#This Row],[Total_Sales]]-Clean_Data[[#This Row],[Total_Cost]]</f>
        <v>23520</v>
      </c>
      <c r="O349" s="2">
        <f>Clean_Data[[#This Row],[Profit]]/Clean_Data[[#This Row],[Total_Sales]]</f>
        <v>0.32666666666666666</v>
      </c>
      <c r="P349" t="str">
        <f>_xlfn.XLOOKUP(Clean_Data[[#This Row],[Product_Code]],Product_Catalog!A:A,Product_Catalog!C:C)</f>
        <v>Electronics</v>
      </c>
      <c r="Q349">
        <f>IF(Clean_Data[[#This Row],[Order_Date]]="","",YEAR(Clean_Data[[#This Row],[Order_Date]]))</f>
        <v>2026</v>
      </c>
      <c r="R349" t="str">
        <f>TEXT(Clean_Data[[#This Row],[Order_Date]],"mmm")</f>
        <v>Jun</v>
      </c>
      <c r="S349" t="str">
        <f>TEXT(Clean_Data[[#This Row],[Order_Date]],"mmm-yy")</f>
        <v>Jun-26</v>
      </c>
      <c r="V349"/>
    </row>
    <row r="350" spans="1:22" x14ac:dyDescent="0.25">
      <c r="A350" t="s">
        <v>408</v>
      </c>
      <c r="B350" s="1">
        <v>46199</v>
      </c>
      <c r="C350" t="s">
        <v>53</v>
      </c>
      <c r="D350" t="s">
        <v>33</v>
      </c>
      <c r="E350" t="s">
        <v>27</v>
      </c>
      <c r="F350" t="s">
        <v>28</v>
      </c>
      <c r="G350">
        <v>12</v>
      </c>
      <c r="H350">
        <v>14000</v>
      </c>
      <c r="I350">
        <v>9544</v>
      </c>
      <c r="J350" t="s">
        <v>29</v>
      </c>
      <c r="K350" t="s">
        <v>17</v>
      </c>
      <c r="L350">
        <f>SUM(Clean_Data[[#This Row],[Units_Sold]]*Clean_Data[[#This Row],[Unit_Price]])</f>
        <v>168000</v>
      </c>
      <c r="M350">
        <f>Clean_Data[[#This Row],[Units_Sold]]*Clean_Data[[#This Row],[Cost_Price]]</f>
        <v>114528</v>
      </c>
      <c r="N350">
        <f>Clean_Data[[#This Row],[Total_Sales]]-Clean_Data[[#This Row],[Total_Cost]]</f>
        <v>53472</v>
      </c>
      <c r="O350" s="2">
        <f>Clean_Data[[#This Row],[Profit]]/Clean_Data[[#This Row],[Total_Sales]]</f>
        <v>0.31828571428571428</v>
      </c>
      <c r="P350" t="str">
        <f>_xlfn.XLOOKUP(Clean_Data[[#This Row],[Product_Code]],Product_Catalog!A:A,Product_Catalog!C:C)</f>
        <v>Furniture</v>
      </c>
      <c r="Q350">
        <f>IF(Clean_Data[[#This Row],[Order_Date]]="","",YEAR(Clean_Data[[#This Row],[Order_Date]]))</f>
        <v>2026</v>
      </c>
      <c r="R350" t="str">
        <f>TEXT(Clean_Data[[#This Row],[Order_Date]],"mmm")</f>
        <v>Jun</v>
      </c>
      <c r="S350" t="str">
        <f>TEXT(Clean_Data[[#This Row],[Order_Date]],"mmm-yy")</f>
        <v>Jun-26</v>
      </c>
      <c r="V350"/>
    </row>
    <row r="351" spans="1:22" x14ac:dyDescent="0.25">
      <c r="A351" t="s">
        <v>409</v>
      </c>
      <c r="B351" s="1">
        <v>45947</v>
      </c>
      <c r="C351" t="s">
        <v>62</v>
      </c>
      <c r="D351" t="s">
        <v>13</v>
      </c>
      <c r="E351" t="s">
        <v>41</v>
      </c>
      <c r="F351" t="s">
        <v>42</v>
      </c>
      <c r="G351">
        <v>7</v>
      </c>
      <c r="H351">
        <v>28000</v>
      </c>
      <c r="I351">
        <v>18594</v>
      </c>
      <c r="J351" t="s">
        <v>22</v>
      </c>
      <c r="K351" t="s">
        <v>23</v>
      </c>
      <c r="L351">
        <f>SUM(Clean_Data[[#This Row],[Units_Sold]]*Clean_Data[[#This Row],[Unit_Price]])</f>
        <v>196000</v>
      </c>
      <c r="M351">
        <f>Clean_Data[[#This Row],[Units_Sold]]*Clean_Data[[#This Row],[Cost_Price]]</f>
        <v>130158</v>
      </c>
      <c r="N351">
        <f>Clean_Data[[#This Row],[Total_Sales]]-Clean_Data[[#This Row],[Total_Cost]]</f>
        <v>65842</v>
      </c>
      <c r="O351" s="2">
        <f>Clean_Data[[#This Row],[Profit]]/Clean_Data[[#This Row],[Total_Sales]]</f>
        <v>0.33592857142857141</v>
      </c>
      <c r="P351" t="str">
        <f>_xlfn.XLOOKUP(Clean_Data[[#This Row],[Product_Code]],Product_Catalog!A:A,Product_Catalog!C:C)</f>
        <v>Electronics</v>
      </c>
      <c r="Q351">
        <f>IF(Clean_Data[[#This Row],[Order_Date]]="","",YEAR(Clean_Data[[#This Row],[Order_Date]]))</f>
        <v>2025</v>
      </c>
      <c r="R351" t="str">
        <f>TEXT(Clean_Data[[#This Row],[Order_Date]],"mmm")</f>
        <v>Oct</v>
      </c>
      <c r="S351" t="str">
        <f>TEXT(Clean_Data[[#This Row],[Order_Date]],"mmm-yy")</f>
        <v>Oct-25</v>
      </c>
      <c r="V351"/>
    </row>
    <row r="352" spans="1:22" x14ac:dyDescent="0.25">
      <c r="A352" t="s">
        <v>410</v>
      </c>
      <c r="B352" s="1">
        <v>45945</v>
      </c>
      <c r="C352" t="s">
        <v>25</v>
      </c>
      <c r="D352" t="s">
        <v>13</v>
      </c>
      <c r="E352" t="s">
        <v>14</v>
      </c>
      <c r="F352" t="s">
        <v>15</v>
      </c>
      <c r="G352">
        <v>4</v>
      </c>
      <c r="H352">
        <v>12500</v>
      </c>
      <c r="I352">
        <v>8556</v>
      </c>
      <c r="J352" t="s">
        <v>16</v>
      </c>
      <c r="K352" t="s">
        <v>23</v>
      </c>
      <c r="L352">
        <f>SUM(Clean_Data[[#This Row],[Units_Sold]]*Clean_Data[[#This Row],[Unit_Price]])</f>
        <v>50000</v>
      </c>
      <c r="M352">
        <f>Clean_Data[[#This Row],[Units_Sold]]*Clean_Data[[#This Row],[Cost_Price]]</f>
        <v>34224</v>
      </c>
      <c r="N352">
        <f>Clean_Data[[#This Row],[Total_Sales]]-Clean_Data[[#This Row],[Total_Cost]]</f>
        <v>15776</v>
      </c>
      <c r="O352" s="2">
        <f>Clean_Data[[#This Row],[Profit]]/Clean_Data[[#This Row],[Total_Sales]]</f>
        <v>0.31552000000000002</v>
      </c>
      <c r="P352" t="str">
        <f>_xlfn.XLOOKUP(Clean_Data[[#This Row],[Product_Code]],Product_Catalog!A:A,Product_Catalog!C:C)</f>
        <v>Accessories</v>
      </c>
      <c r="Q352">
        <f>IF(Clean_Data[[#This Row],[Order_Date]]="","",YEAR(Clean_Data[[#This Row],[Order_Date]]))</f>
        <v>2025</v>
      </c>
      <c r="R352" t="str">
        <f>TEXT(Clean_Data[[#This Row],[Order_Date]],"mmm")</f>
        <v>Oct</v>
      </c>
      <c r="S352" t="str">
        <f>TEXT(Clean_Data[[#This Row],[Order_Date]],"mmm-yy")</f>
        <v>Oct-25</v>
      </c>
      <c r="V352"/>
    </row>
    <row r="353" spans="1:22" x14ac:dyDescent="0.25">
      <c r="A353" t="s">
        <v>411</v>
      </c>
      <c r="B353" s="1">
        <v>45787</v>
      </c>
      <c r="C353" t="s">
        <v>62</v>
      </c>
      <c r="D353" t="s">
        <v>13</v>
      </c>
      <c r="E353" t="s">
        <v>41</v>
      </c>
      <c r="F353" t="s">
        <v>42</v>
      </c>
      <c r="G353">
        <v>7</v>
      </c>
      <c r="H353">
        <v>28000</v>
      </c>
      <c r="I353">
        <v>21465</v>
      </c>
      <c r="J353" t="s">
        <v>29</v>
      </c>
      <c r="K353" t="s">
        <v>23</v>
      </c>
      <c r="L353">
        <f>SUM(Clean_Data[[#This Row],[Units_Sold]]*Clean_Data[[#This Row],[Unit_Price]])</f>
        <v>196000</v>
      </c>
      <c r="M353">
        <f>Clean_Data[[#This Row],[Units_Sold]]*Clean_Data[[#This Row],[Cost_Price]]</f>
        <v>150255</v>
      </c>
      <c r="N353">
        <f>Clean_Data[[#This Row],[Total_Sales]]-Clean_Data[[#This Row],[Total_Cost]]</f>
        <v>45745</v>
      </c>
      <c r="O353" s="2">
        <f>Clean_Data[[#This Row],[Profit]]/Clean_Data[[#This Row],[Total_Sales]]</f>
        <v>0.23339285714285715</v>
      </c>
      <c r="P353" t="str">
        <f>_xlfn.XLOOKUP(Clean_Data[[#This Row],[Product_Code]],Product_Catalog!A:A,Product_Catalog!C:C)</f>
        <v>Electronics</v>
      </c>
      <c r="Q353">
        <f>IF(Clean_Data[[#This Row],[Order_Date]]="","",YEAR(Clean_Data[[#This Row],[Order_Date]]))</f>
        <v>2025</v>
      </c>
      <c r="R353" t="str">
        <f>TEXT(Clean_Data[[#This Row],[Order_Date]],"mmm")</f>
        <v>May</v>
      </c>
      <c r="S353" t="str">
        <f>TEXT(Clean_Data[[#This Row],[Order_Date]],"mmm-yy")</f>
        <v>May-25</v>
      </c>
      <c r="V353"/>
    </row>
    <row r="354" spans="1:22" x14ac:dyDescent="0.25">
      <c r="A354" t="s">
        <v>412</v>
      </c>
      <c r="B354" s="1">
        <v>46120</v>
      </c>
      <c r="C354" t="s">
        <v>48</v>
      </c>
      <c r="D354" t="s">
        <v>33</v>
      </c>
      <c r="E354" t="s">
        <v>63</v>
      </c>
      <c r="F354" t="s">
        <v>59</v>
      </c>
      <c r="G354">
        <v>6</v>
      </c>
      <c r="H354">
        <v>4500</v>
      </c>
      <c r="I354">
        <v>3445</v>
      </c>
      <c r="J354" t="s">
        <v>16</v>
      </c>
      <c r="K354" t="s">
        <v>23</v>
      </c>
      <c r="L354">
        <f>SUM(Clean_Data[[#This Row],[Units_Sold]]*Clean_Data[[#This Row],[Unit_Price]])</f>
        <v>27000</v>
      </c>
      <c r="M354">
        <f>Clean_Data[[#This Row],[Units_Sold]]*Clean_Data[[#This Row],[Cost_Price]]</f>
        <v>20670</v>
      </c>
      <c r="N354">
        <f>Clean_Data[[#This Row],[Total_Sales]]-Clean_Data[[#This Row],[Total_Cost]]</f>
        <v>6330</v>
      </c>
      <c r="O354" s="2">
        <f>Clean_Data[[#This Row],[Profit]]/Clean_Data[[#This Row],[Total_Sales]]</f>
        <v>0.23444444444444446</v>
      </c>
      <c r="P354" t="str">
        <f>_xlfn.XLOOKUP(Clean_Data[[#This Row],[Product_Code]],Product_Catalog!A:A,Product_Catalog!C:C)</f>
        <v>Electronics</v>
      </c>
      <c r="Q354">
        <f>IF(Clean_Data[[#This Row],[Order_Date]]="","",YEAR(Clean_Data[[#This Row],[Order_Date]]))</f>
        <v>2026</v>
      </c>
      <c r="R354" t="str">
        <f>TEXT(Clean_Data[[#This Row],[Order_Date]],"mmm")</f>
        <v>Apr</v>
      </c>
      <c r="S354" t="str">
        <f>TEXT(Clean_Data[[#This Row],[Order_Date]],"mmm-yy")</f>
        <v>Apr-26</v>
      </c>
      <c r="V354"/>
    </row>
    <row r="355" spans="1:22" x14ac:dyDescent="0.25">
      <c r="A355" t="s">
        <v>413</v>
      </c>
      <c r="B355" s="1">
        <v>46049</v>
      </c>
      <c r="C355" t="s">
        <v>19</v>
      </c>
      <c r="D355" t="s">
        <v>26</v>
      </c>
      <c r="E355" t="s">
        <v>14</v>
      </c>
      <c r="F355" t="s">
        <v>15</v>
      </c>
      <c r="G355">
        <v>10</v>
      </c>
      <c r="H355">
        <v>12500</v>
      </c>
      <c r="I355">
        <v>9255</v>
      </c>
      <c r="J355" t="s">
        <v>45</v>
      </c>
      <c r="K355" t="s">
        <v>23</v>
      </c>
      <c r="L355">
        <f>SUM(Clean_Data[[#This Row],[Units_Sold]]*Clean_Data[[#This Row],[Unit_Price]])</f>
        <v>125000</v>
      </c>
      <c r="M355">
        <f>Clean_Data[[#This Row],[Units_Sold]]*Clean_Data[[#This Row],[Cost_Price]]</f>
        <v>92550</v>
      </c>
      <c r="N355">
        <f>Clean_Data[[#This Row],[Total_Sales]]-Clean_Data[[#This Row],[Total_Cost]]</f>
        <v>32450</v>
      </c>
      <c r="O355" s="2">
        <f>Clean_Data[[#This Row],[Profit]]/Clean_Data[[#This Row],[Total_Sales]]</f>
        <v>0.2596</v>
      </c>
      <c r="P355" t="str">
        <f>_xlfn.XLOOKUP(Clean_Data[[#This Row],[Product_Code]],Product_Catalog!A:A,Product_Catalog!C:C)</f>
        <v>Accessories</v>
      </c>
      <c r="Q355">
        <f>IF(Clean_Data[[#This Row],[Order_Date]]="","",YEAR(Clean_Data[[#This Row],[Order_Date]]))</f>
        <v>2026</v>
      </c>
      <c r="R355" t="str">
        <f>TEXT(Clean_Data[[#This Row],[Order_Date]],"mmm")</f>
        <v>Jan</v>
      </c>
      <c r="S355" t="str">
        <f>TEXT(Clean_Data[[#This Row],[Order_Date]],"mmm-yy")</f>
        <v>Jan-26</v>
      </c>
      <c r="V355"/>
    </row>
    <row r="356" spans="1:22" x14ac:dyDescent="0.25">
      <c r="A356" t="s">
        <v>414</v>
      </c>
      <c r="B356" s="1">
        <v>46166</v>
      </c>
      <c r="C356" t="s">
        <v>48</v>
      </c>
      <c r="D356" t="s">
        <v>36</v>
      </c>
      <c r="E356" t="s">
        <v>14</v>
      </c>
      <c r="F356" t="s">
        <v>15</v>
      </c>
      <c r="G356">
        <v>3</v>
      </c>
      <c r="H356">
        <v>12500</v>
      </c>
      <c r="I356">
        <v>9588</v>
      </c>
      <c r="J356" t="s">
        <v>29</v>
      </c>
      <c r="K356" t="s">
        <v>23</v>
      </c>
      <c r="L356">
        <f>SUM(Clean_Data[[#This Row],[Units_Sold]]*Clean_Data[[#This Row],[Unit_Price]])</f>
        <v>37500</v>
      </c>
      <c r="M356">
        <f>Clean_Data[[#This Row],[Units_Sold]]*Clean_Data[[#This Row],[Cost_Price]]</f>
        <v>28764</v>
      </c>
      <c r="N356">
        <f>Clean_Data[[#This Row],[Total_Sales]]-Clean_Data[[#This Row],[Total_Cost]]</f>
        <v>8736</v>
      </c>
      <c r="O356" s="2">
        <f>Clean_Data[[#This Row],[Profit]]/Clean_Data[[#This Row],[Total_Sales]]</f>
        <v>0.23296</v>
      </c>
      <c r="P356" t="str">
        <f>_xlfn.XLOOKUP(Clean_Data[[#This Row],[Product_Code]],Product_Catalog!A:A,Product_Catalog!C:C)</f>
        <v>Accessories</v>
      </c>
      <c r="Q356">
        <f>IF(Clean_Data[[#This Row],[Order_Date]]="","",YEAR(Clean_Data[[#This Row],[Order_Date]]))</f>
        <v>2026</v>
      </c>
      <c r="R356" t="str">
        <f>TEXT(Clean_Data[[#This Row],[Order_Date]],"mmm")</f>
        <v>May</v>
      </c>
      <c r="S356" t="str">
        <f>TEXT(Clean_Data[[#This Row],[Order_Date]],"mmm-yy")</f>
        <v>May-26</v>
      </c>
      <c r="V356"/>
    </row>
    <row r="357" spans="1:22" x14ac:dyDescent="0.25">
      <c r="A357" t="s">
        <v>415</v>
      </c>
      <c r="B357" s="1">
        <v>45756</v>
      </c>
      <c r="C357" t="s">
        <v>53</v>
      </c>
      <c r="D357" t="s">
        <v>40</v>
      </c>
      <c r="E357" t="s">
        <v>27</v>
      </c>
      <c r="F357" t="s">
        <v>28</v>
      </c>
      <c r="G357">
        <v>5</v>
      </c>
      <c r="H357">
        <v>14000</v>
      </c>
      <c r="I357">
        <v>10720</v>
      </c>
      <c r="J357" t="s">
        <v>22</v>
      </c>
      <c r="K357" t="s">
        <v>46</v>
      </c>
      <c r="L357">
        <f>SUM(Clean_Data[[#This Row],[Units_Sold]]*Clean_Data[[#This Row],[Unit_Price]])</f>
        <v>70000</v>
      </c>
      <c r="M357">
        <f>Clean_Data[[#This Row],[Units_Sold]]*Clean_Data[[#This Row],[Cost_Price]]</f>
        <v>53600</v>
      </c>
      <c r="N357">
        <f>Clean_Data[[#This Row],[Total_Sales]]-Clean_Data[[#This Row],[Total_Cost]]</f>
        <v>16400</v>
      </c>
      <c r="O357" s="2">
        <f>Clean_Data[[#This Row],[Profit]]/Clean_Data[[#This Row],[Total_Sales]]</f>
        <v>0.23428571428571429</v>
      </c>
      <c r="P357" t="str">
        <f>_xlfn.XLOOKUP(Clean_Data[[#This Row],[Product_Code]],Product_Catalog!A:A,Product_Catalog!C:C)</f>
        <v>Furniture</v>
      </c>
      <c r="Q357">
        <f>IF(Clean_Data[[#This Row],[Order_Date]]="","",YEAR(Clean_Data[[#This Row],[Order_Date]]))</f>
        <v>2025</v>
      </c>
      <c r="R357" t="str">
        <f>TEXT(Clean_Data[[#This Row],[Order_Date]],"mmm")</f>
        <v>Apr</v>
      </c>
      <c r="S357" t="str">
        <f>TEXT(Clean_Data[[#This Row],[Order_Date]],"mmm-yy")</f>
        <v>Apr-25</v>
      </c>
      <c r="V357"/>
    </row>
    <row r="358" spans="1:22" x14ac:dyDescent="0.25">
      <c r="A358" t="s">
        <v>416</v>
      </c>
      <c r="B358" s="1">
        <v>46236</v>
      </c>
      <c r="C358" t="s">
        <v>31</v>
      </c>
      <c r="D358" t="s">
        <v>13</v>
      </c>
      <c r="E358" t="s">
        <v>63</v>
      </c>
      <c r="F358" t="s">
        <v>59</v>
      </c>
      <c r="G358">
        <v>14</v>
      </c>
      <c r="H358">
        <v>4500</v>
      </c>
      <c r="I358">
        <v>2803</v>
      </c>
      <c r="J358" t="s">
        <v>45</v>
      </c>
      <c r="K358" t="s">
        <v>17</v>
      </c>
      <c r="L358">
        <f>SUM(Clean_Data[[#This Row],[Units_Sold]]*Clean_Data[[#This Row],[Unit_Price]])</f>
        <v>63000</v>
      </c>
      <c r="M358">
        <f>Clean_Data[[#This Row],[Units_Sold]]*Clean_Data[[#This Row],[Cost_Price]]</f>
        <v>39242</v>
      </c>
      <c r="N358">
        <f>Clean_Data[[#This Row],[Total_Sales]]-Clean_Data[[#This Row],[Total_Cost]]</f>
        <v>23758</v>
      </c>
      <c r="O358" s="2">
        <f>Clean_Data[[#This Row],[Profit]]/Clean_Data[[#This Row],[Total_Sales]]</f>
        <v>0.37711111111111112</v>
      </c>
      <c r="P358" t="str">
        <f>_xlfn.XLOOKUP(Clean_Data[[#This Row],[Product_Code]],Product_Catalog!A:A,Product_Catalog!C:C)</f>
        <v>Electronics</v>
      </c>
      <c r="Q358">
        <f>IF(Clean_Data[[#This Row],[Order_Date]]="","",YEAR(Clean_Data[[#This Row],[Order_Date]]))</f>
        <v>2026</v>
      </c>
      <c r="R358" t="str">
        <f>TEXT(Clean_Data[[#This Row],[Order_Date]],"mmm")</f>
        <v>Aug</v>
      </c>
      <c r="S358" t="str">
        <f>TEXT(Clean_Data[[#This Row],[Order_Date]],"mmm-yy")</f>
        <v>Aug-26</v>
      </c>
      <c r="V358"/>
    </row>
    <row r="359" spans="1:22" x14ac:dyDescent="0.25">
      <c r="A359" t="s">
        <v>417</v>
      </c>
      <c r="B359" s="1">
        <v>46100</v>
      </c>
      <c r="C359" t="s">
        <v>12</v>
      </c>
      <c r="D359" t="s">
        <v>13</v>
      </c>
      <c r="E359" t="s">
        <v>41</v>
      </c>
      <c r="F359" t="s">
        <v>42</v>
      </c>
      <c r="G359">
        <v>3</v>
      </c>
      <c r="H359">
        <v>28000</v>
      </c>
      <c r="I359">
        <v>22130</v>
      </c>
      <c r="J359" t="s">
        <v>29</v>
      </c>
      <c r="K359" t="s">
        <v>17</v>
      </c>
      <c r="L359">
        <f>SUM(Clean_Data[[#This Row],[Units_Sold]]*Clean_Data[[#This Row],[Unit_Price]])</f>
        <v>84000</v>
      </c>
      <c r="M359">
        <f>Clean_Data[[#This Row],[Units_Sold]]*Clean_Data[[#This Row],[Cost_Price]]</f>
        <v>66390</v>
      </c>
      <c r="N359">
        <f>Clean_Data[[#This Row],[Total_Sales]]-Clean_Data[[#This Row],[Total_Cost]]</f>
        <v>17610</v>
      </c>
      <c r="O359" s="2">
        <f>Clean_Data[[#This Row],[Profit]]/Clean_Data[[#This Row],[Total_Sales]]</f>
        <v>0.20964285714285713</v>
      </c>
      <c r="P359" t="str">
        <f>_xlfn.XLOOKUP(Clean_Data[[#This Row],[Product_Code]],Product_Catalog!A:A,Product_Catalog!C:C)</f>
        <v>Electronics</v>
      </c>
      <c r="Q359">
        <f>IF(Clean_Data[[#This Row],[Order_Date]]="","",YEAR(Clean_Data[[#This Row],[Order_Date]]))</f>
        <v>2026</v>
      </c>
      <c r="R359" t="str">
        <f>TEXT(Clean_Data[[#This Row],[Order_Date]],"mmm")</f>
        <v>Mar</v>
      </c>
      <c r="S359" t="str">
        <f>TEXT(Clean_Data[[#This Row],[Order_Date]],"mmm-yy")</f>
        <v>Mar-26</v>
      </c>
      <c r="V359"/>
    </row>
    <row r="360" spans="1:22" x14ac:dyDescent="0.25">
      <c r="A360" t="s">
        <v>418</v>
      </c>
      <c r="B360" s="1">
        <v>45684</v>
      </c>
      <c r="C360" t="s">
        <v>73</v>
      </c>
      <c r="D360" t="s">
        <v>33</v>
      </c>
      <c r="E360" t="s">
        <v>20</v>
      </c>
      <c r="F360" t="s">
        <v>21</v>
      </c>
      <c r="G360">
        <v>17</v>
      </c>
      <c r="H360">
        <v>8500</v>
      </c>
      <c r="I360">
        <v>6206</v>
      </c>
      <c r="J360" t="s">
        <v>29</v>
      </c>
      <c r="K360" t="s">
        <v>23</v>
      </c>
      <c r="L360">
        <f>SUM(Clean_Data[[#This Row],[Units_Sold]]*Clean_Data[[#This Row],[Unit_Price]])</f>
        <v>144500</v>
      </c>
      <c r="M360">
        <f>Clean_Data[[#This Row],[Units_Sold]]*Clean_Data[[#This Row],[Cost_Price]]</f>
        <v>105502</v>
      </c>
      <c r="N360">
        <f>Clean_Data[[#This Row],[Total_Sales]]-Clean_Data[[#This Row],[Total_Cost]]</f>
        <v>38998</v>
      </c>
      <c r="O360" s="2">
        <f>Clean_Data[[#This Row],[Profit]]/Clean_Data[[#This Row],[Total_Sales]]</f>
        <v>0.26988235294117646</v>
      </c>
      <c r="P360" t="str">
        <f>_xlfn.XLOOKUP(Clean_Data[[#This Row],[Product_Code]],Product_Catalog!A:A,Product_Catalog!C:C)</f>
        <v>Accessories</v>
      </c>
      <c r="Q360">
        <f>IF(Clean_Data[[#This Row],[Order_Date]]="","",YEAR(Clean_Data[[#This Row],[Order_Date]]))</f>
        <v>2025</v>
      </c>
      <c r="R360" t="str">
        <f>TEXT(Clean_Data[[#This Row],[Order_Date]],"mmm")</f>
        <v>Jan</v>
      </c>
      <c r="S360" t="str">
        <f>TEXT(Clean_Data[[#This Row],[Order_Date]],"mmm-yy")</f>
        <v>Jan-25</v>
      </c>
      <c r="V360"/>
    </row>
    <row r="361" spans="1:22" x14ac:dyDescent="0.25">
      <c r="A361" t="s">
        <v>419</v>
      </c>
      <c r="B361" s="1">
        <v>46079</v>
      </c>
      <c r="C361" t="s">
        <v>12</v>
      </c>
      <c r="D361" t="s">
        <v>40</v>
      </c>
      <c r="E361" t="s">
        <v>55</v>
      </c>
      <c r="F361" t="s">
        <v>34</v>
      </c>
      <c r="G361">
        <v>3</v>
      </c>
      <c r="H361">
        <v>35000</v>
      </c>
      <c r="I361">
        <v>24869</v>
      </c>
      <c r="J361" t="s">
        <v>16</v>
      </c>
      <c r="K361" t="s">
        <v>17</v>
      </c>
      <c r="L361">
        <f>SUM(Clean_Data[[#This Row],[Units_Sold]]*Clean_Data[[#This Row],[Unit_Price]])</f>
        <v>105000</v>
      </c>
      <c r="M361">
        <f>Clean_Data[[#This Row],[Units_Sold]]*Clean_Data[[#This Row],[Cost_Price]]</f>
        <v>74607</v>
      </c>
      <c r="N361">
        <f>Clean_Data[[#This Row],[Total_Sales]]-Clean_Data[[#This Row],[Total_Cost]]</f>
        <v>30393</v>
      </c>
      <c r="O361" s="2">
        <f>Clean_Data[[#This Row],[Profit]]/Clean_Data[[#This Row],[Total_Sales]]</f>
        <v>0.28945714285714286</v>
      </c>
      <c r="P361" t="str">
        <f>_xlfn.XLOOKUP(Clean_Data[[#This Row],[Product_Code]],Product_Catalog!A:A,Product_Catalog!C:C)</f>
        <v>Furniture</v>
      </c>
      <c r="Q361">
        <f>IF(Clean_Data[[#This Row],[Order_Date]]="","",YEAR(Clean_Data[[#This Row],[Order_Date]]))</f>
        <v>2026</v>
      </c>
      <c r="R361" t="str">
        <f>TEXT(Clean_Data[[#This Row],[Order_Date]],"mmm")</f>
        <v>Feb</v>
      </c>
      <c r="S361" t="str">
        <f>TEXT(Clean_Data[[#This Row],[Order_Date]],"mmm-yy")</f>
        <v>Feb-26</v>
      </c>
      <c r="V361"/>
    </row>
    <row r="362" spans="1:22" x14ac:dyDescent="0.25">
      <c r="A362" t="s">
        <v>420</v>
      </c>
      <c r="B362" s="1">
        <v>45937</v>
      </c>
      <c r="C362" t="s">
        <v>31</v>
      </c>
      <c r="D362" t="s">
        <v>13</v>
      </c>
      <c r="E362" t="s">
        <v>14</v>
      </c>
      <c r="F362" t="s">
        <v>15</v>
      </c>
      <c r="G362">
        <v>6</v>
      </c>
      <c r="H362">
        <v>12500</v>
      </c>
      <c r="I362">
        <v>8676</v>
      </c>
      <c r="J362" t="s">
        <v>29</v>
      </c>
      <c r="K362" t="s">
        <v>17</v>
      </c>
      <c r="L362">
        <f>SUM(Clean_Data[[#This Row],[Units_Sold]]*Clean_Data[[#This Row],[Unit_Price]])</f>
        <v>75000</v>
      </c>
      <c r="M362">
        <f>Clean_Data[[#This Row],[Units_Sold]]*Clean_Data[[#This Row],[Cost_Price]]</f>
        <v>52056</v>
      </c>
      <c r="N362">
        <f>Clean_Data[[#This Row],[Total_Sales]]-Clean_Data[[#This Row],[Total_Cost]]</f>
        <v>22944</v>
      </c>
      <c r="O362" s="2">
        <f>Clean_Data[[#This Row],[Profit]]/Clean_Data[[#This Row],[Total_Sales]]</f>
        <v>0.30592000000000003</v>
      </c>
      <c r="P362" t="str">
        <f>_xlfn.XLOOKUP(Clean_Data[[#This Row],[Product_Code]],Product_Catalog!A:A,Product_Catalog!C:C)</f>
        <v>Accessories</v>
      </c>
      <c r="Q362">
        <f>IF(Clean_Data[[#This Row],[Order_Date]]="","",YEAR(Clean_Data[[#This Row],[Order_Date]]))</f>
        <v>2025</v>
      </c>
      <c r="R362" t="str">
        <f>TEXT(Clean_Data[[#This Row],[Order_Date]],"mmm")</f>
        <v>Oct</v>
      </c>
      <c r="S362" t="str">
        <f>TEXT(Clean_Data[[#This Row],[Order_Date]],"mmm-yy")</f>
        <v>Oct-25</v>
      </c>
      <c r="V362"/>
    </row>
    <row r="363" spans="1:22" x14ac:dyDescent="0.25">
      <c r="A363" t="s">
        <v>421</v>
      </c>
      <c r="B363" s="1">
        <v>45675</v>
      </c>
      <c r="C363" t="s">
        <v>62</v>
      </c>
      <c r="D363" t="s">
        <v>36</v>
      </c>
      <c r="E363" t="s">
        <v>37</v>
      </c>
      <c r="F363" t="s">
        <v>38</v>
      </c>
      <c r="G363">
        <v>4</v>
      </c>
      <c r="H363">
        <v>55000</v>
      </c>
      <c r="I363">
        <v>38163</v>
      </c>
      <c r="J363" t="s">
        <v>29</v>
      </c>
      <c r="K363" t="s">
        <v>17</v>
      </c>
      <c r="L363">
        <f>SUM(Clean_Data[[#This Row],[Units_Sold]]*Clean_Data[[#This Row],[Unit_Price]])</f>
        <v>220000</v>
      </c>
      <c r="M363">
        <f>Clean_Data[[#This Row],[Units_Sold]]*Clean_Data[[#This Row],[Cost_Price]]</f>
        <v>152652</v>
      </c>
      <c r="N363">
        <f>Clean_Data[[#This Row],[Total_Sales]]-Clean_Data[[#This Row],[Total_Cost]]</f>
        <v>67348</v>
      </c>
      <c r="O363" s="2">
        <f>Clean_Data[[#This Row],[Profit]]/Clean_Data[[#This Row],[Total_Sales]]</f>
        <v>0.30612727272727275</v>
      </c>
      <c r="P363" t="str">
        <f>_xlfn.XLOOKUP(Clean_Data[[#This Row],[Product_Code]],Product_Catalog!A:A,Product_Catalog!C:C)</f>
        <v>Electronics</v>
      </c>
      <c r="Q363">
        <f>IF(Clean_Data[[#This Row],[Order_Date]]="","",YEAR(Clean_Data[[#This Row],[Order_Date]]))</f>
        <v>2025</v>
      </c>
      <c r="R363" t="str">
        <f>TEXT(Clean_Data[[#This Row],[Order_Date]],"mmm")</f>
        <v>Jan</v>
      </c>
      <c r="S363" t="str">
        <f>TEXT(Clean_Data[[#This Row],[Order_Date]],"mmm-yy")</f>
        <v>Jan-25</v>
      </c>
      <c r="V363"/>
    </row>
    <row r="364" spans="1:22" x14ac:dyDescent="0.25">
      <c r="A364" t="s">
        <v>422</v>
      </c>
      <c r="B364" s="1">
        <v>46111</v>
      </c>
      <c r="C364" t="s">
        <v>31</v>
      </c>
      <c r="D364" t="s">
        <v>13</v>
      </c>
      <c r="E364" t="s">
        <v>49</v>
      </c>
      <c r="F364" t="s">
        <v>50</v>
      </c>
      <c r="G364">
        <v>19</v>
      </c>
      <c r="H364">
        <v>75000</v>
      </c>
      <c r="I364">
        <v>54797</v>
      </c>
      <c r="J364" t="s">
        <v>45</v>
      </c>
      <c r="K364" t="s">
        <v>46</v>
      </c>
      <c r="L364">
        <f>SUM(Clean_Data[[#This Row],[Units_Sold]]*Clean_Data[[#This Row],[Unit_Price]])</f>
        <v>1425000</v>
      </c>
      <c r="M364">
        <f>Clean_Data[[#This Row],[Units_Sold]]*Clean_Data[[#This Row],[Cost_Price]]</f>
        <v>1041143</v>
      </c>
      <c r="N364">
        <f>Clean_Data[[#This Row],[Total_Sales]]-Clean_Data[[#This Row],[Total_Cost]]</f>
        <v>383857</v>
      </c>
      <c r="O364" s="2">
        <f>Clean_Data[[#This Row],[Profit]]/Clean_Data[[#This Row],[Total_Sales]]</f>
        <v>0.26937333333333335</v>
      </c>
      <c r="P364" t="str">
        <f>_xlfn.XLOOKUP(Clean_Data[[#This Row],[Product_Code]],Product_Catalog!A:A,Product_Catalog!C:C)</f>
        <v>Electronics</v>
      </c>
      <c r="Q364">
        <f>IF(Clean_Data[[#This Row],[Order_Date]]="","",YEAR(Clean_Data[[#This Row],[Order_Date]]))</f>
        <v>2026</v>
      </c>
      <c r="R364" t="str">
        <f>TEXT(Clean_Data[[#This Row],[Order_Date]],"mmm")</f>
        <v>Mar</v>
      </c>
      <c r="S364" t="str">
        <f>TEXT(Clean_Data[[#This Row],[Order_Date]],"mmm-yy")</f>
        <v>Mar-26</v>
      </c>
      <c r="V364"/>
    </row>
    <row r="365" spans="1:22" x14ac:dyDescent="0.25">
      <c r="A365" t="s">
        <v>423</v>
      </c>
      <c r="B365" s="1">
        <v>45820</v>
      </c>
      <c r="C365" t="s">
        <v>31</v>
      </c>
      <c r="D365" t="s">
        <v>33</v>
      </c>
      <c r="E365" t="s">
        <v>14</v>
      </c>
      <c r="F365" t="s">
        <v>15</v>
      </c>
      <c r="G365">
        <v>15</v>
      </c>
      <c r="H365">
        <v>12500</v>
      </c>
      <c r="I365">
        <v>9935</v>
      </c>
      <c r="J365" t="s">
        <v>29</v>
      </c>
      <c r="K365" t="s">
        <v>23</v>
      </c>
      <c r="L365">
        <f>SUM(Clean_Data[[#This Row],[Units_Sold]]*Clean_Data[[#This Row],[Unit_Price]])</f>
        <v>187500</v>
      </c>
      <c r="M365">
        <f>Clean_Data[[#This Row],[Units_Sold]]*Clean_Data[[#This Row],[Cost_Price]]</f>
        <v>149025</v>
      </c>
      <c r="N365">
        <f>Clean_Data[[#This Row],[Total_Sales]]-Clean_Data[[#This Row],[Total_Cost]]</f>
        <v>38475</v>
      </c>
      <c r="O365" s="2">
        <f>Clean_Data[[#This Row],[Profit]]/Clean_Data[[#This Row],[Total_Sales]]</f>
        <v>0.20519999999999999</v>
      </c>
      <c r="P365" t="str">
        <f>_xlfn.XLOOKUP(Clean_Data[[#This Row],[Product_Code]],Product_Catalog!A:A,Product_Catalog!C:C)</f>
        <v>Accessories</v>
      </c>
      <c r="Q365">
        <f>IF(Clean_Data[[#This Row],[Order_Date]]="","",YEAR(Clean_Data[[#This Row],[Order_Date]]))</f>
        <v>2025</v>
      </c>
      <c r="R365" t="str">
        <f>TEXT(Clean_Data[[#This Row],[Order_Date]],"mmm")</f>
        <v>Jun</v>
      </c>
      <c r="S365" t="str">
        <f>TEXT(Clean_Data[[#This Row],[Order_Date]],"mmm-yy")</f>
        <v>Jun-25</v>
      </c>
      <c r="V365"/>
    </row>
    <row r="366" spans="1:22" x14ac:dyDescent="0.25">
      <c r="A366" t="s">
        <v>424</v>
      </c>
      <c r="B366" s="1">
        <v>46169</v>
      </c>
      <c r="C366" t="s">
        <v>44</v>
      </c>
      <c r="D366" t="s">
        <v>13</v>
      </c>
      <c r="E366" t="s">
        <v>37</v>
      </c>
      <c r="F366" t="s">
        <v>38</v>
      </c>
      <c r="G366">
        <v>2</v>
      </c>
      <c r="H366">
        <v>55000</v>
      </c>
      <c r="I366">
        <v>33936</v>
      </c>
      <c r="J366" t="s">
        <v>45</v>
      </c>
      <c r="K366" t="s">
        <v>23</v>
      </c>
      <c r="L366">
        <f>SUM(Clean_Data[[#This Row],[Units_Sold]]*Clean_Data[[#This Row],[Unit_Price]])</f>
        <v>110000</v>
      </c>
      <c r="M366">
        <f>Clean_Data[[#This Row],[Units_Sold]]*Clean_Data[[#This Row],[Cost_Price]]</f>
        <v>67872</v>
      </c>
      <c r="N366">
        <f>Clean_Data[[#This Row],[Total_Sales]]-Clean_Data[[#This Row],[Total_Cost]]</f>
        <v>42128</v>
      </c>
      <c r="O366" s="2">
        <f>Clean_Data[[#This Row],[Profit]]/Clean_Data[[#This Row],[Total_Sales]]</f>
        <v>0.3829818181818182</v>
      </c>
      <c r="P366" t="str">
        <f>_xlfn.XLOOKUP(Clean_Data[[#This Row],[Product_Code]],Product_Catalog!A:A,Product_Catalog!C:C)</f>
        <v>Electronics</v>
      </c>
      <c r="Q366">
        <f>IF(Clean_Data[[#This Row],[Order_Date]]="","",YEAR(Clean_Data[[#This Row],[Order_Date]]))</f>
        <v>2026</v>
      </c>
      <c r="R366" t="str">
        <f>TEXT(Clean_Data[[#This Row],[Order_Date]],"mmm")</f>
        <v>May</v>
      </c>
      <c r="S366" t="str">
        <f>TEXT(Clean_Data[[#This Row],[Order_Date]],"mmm-yy")</f>
        <v>May-26</v>
      </c>
      <c r="V366"/>
    </row>
    <row r="367" spans="1:22" x14ac:dyDescent="0.25">
      <c r="A367" t="s">
        <v>425</v>
      </c>
      <c r="B367" s="1">
        <v>45833</v>
      </c>
      <c r="C367" t="s">
        <v>25</v>
      </c>
      <c r="D367" t="s">
        <v>13</v>
      </c>
      <c r="E367" t="s">
        <v>41</v>
      </c>
      <c r="F367" t="s">
        <v>42</v>
      </c>
      <c r="G367">
        <v>3</v>
      </c>
      <c r="H367">
        <v>28000</v>
      </c>
      <c r="I367">
        <v>17501</v>
      </c>
      <c r="J367" t="s">
        <v>22</v>
      </c>
      <c r="K367" t="s">
        <v>17</v>
      </c>
      <c r="L367">
        <f>SUM(Clean_Data[[#This Row],[Units_Sold]]*Clean_Data[[#This Row],[Unit_Price]])</f>
        <v>84000</v>
      </c>
      <c r="M367">
        <f>Clean_Data[[#This Row],[Units_Sold]]*Clean_Data[[#This Row],[Cost_Price]]</f>
        <v>52503</v>
      </c>
      <c r="N367">
        <f>Clean_Data[[#This Row],[Total_Sales]]-Clean_Data[[#This Row],[Total_Cost]]</f>
        <v>31497</v>
      </c>
      <c r="O367" s="2">
        <f>Clean_Data[[#This Row],[Profit]]/Clean_Data[[#This Row],[Total_Sales]]</f>
        <v>0.37496428571428569</v>
      </c>
      <c r="P367" t="str">
        <f>_xlfn.XLOOKUP(Clean_Data[[#This Row],[Product_Code]],Product_Catalog!A:A,Product_Catalog!C:C)</f>
        <v>Electronics</v>
      </c>
      <c r="Q367">
        <f>IF(Clean_Data[[#This Row],[Order_Date]]="","",YEAR(Clean_Data[[#This Row],[Order_Date]]))</f>
        <v>2025</v>
      </c>
      <c r="R367" t="str">
        <f>TEXT(Clean_Data[[#This Row],[Order_Date]],"mmm")</f>
        <v>Jun</v>
      </c>
      <c r="S367" t="str">
        <f>TEXT(Clean_Data[[#This Row],[Order_Date]],"mmm-yy")</f>
        <v>Jun-25</v>
      </c>
      <c r="V367"/>
    </row>
    <row r="368" spans="1:22" x14ac:dyDescent="0.25">
      <c r="A368" t="s">
        <v>426</v>
      </c>
      <c r="B368" s="1">
        <v>45907</v>
      </c>
      <c r="C368" t="s">
        <v>19</v>
      </c>
      <c r="D368" t="s">
        <v>33</v>
      </c>
      <c r="E368" t="s">
        <v>66</v>
      </c>
      <c r="F368" t="s">
        <v>67</v>
      </c>
      <c r="G368">
        <v>16</v>
      </c>
      <c r="H368">
        <v>2500</v>
      </c>
      <c r="I368">
        <v>1789</v>
      </c>
      <c r="J368" t="s">
        <v>16</v>
      </c>
      <c r="K368" t="s">
        <v>17</v>
      </c>
      <c r="L368">
        <f>SUM(Clean_Data[[#This Row],[Units_Sold]]*Clean_Data[[#This Row],[Unit_Price]])</f>
        <v>40000</v>
      </c>
      <c r="M368">
        <f>Clean_Data[[#This Row],[Units_Sold]]*Clean_Data[[#This Row],[Cost_Price]]</f>
        <v>28624</v>
      </c>
      <c r="N368">
        <f>Clean_Data[[#This Row],[Total_Sales]]-Clean_Data[[#This Row],[Total_Cost]]</f>
        <v>11376</v>
      </c>
      <c r="O368" s="2">
        <f>Clean_Data[[#This Row],[Profit]]/Clean_Data[[#This Row],[Total_Sales]]</f>
        <v>0.28439999999999999</v>
      </c>
      <c r="P368" t="str">
        <f>_xlfn.XLOOKUP(Clean_Data[[#This Row],[Product_Code]],Product_Catalog!A:A,Product_Catalog!C:C)</f>
        <v>Electronics</v>
      </c>
      <c r="Q368">
        <f>IF(Clean_Data[[#This Row],[Order_Date]]="","",YEAR(Clean_Data[[#This Row],[Order_Date]]))</f>
        <v>2025</v>
      </c>
      <c r="R368" t="str">
        <f>TEXT(Clean_Data[[#This Row],[Order_Date]],"mmm")</f>
        <v>Sep</v>
      </c>
      <c r="S368" t="str">
        <f>TEXT(Clean_Data[[#This Row],[Order_Date]],"mmm-yy")</f>
        <v>Sep-25</v>
      </c>
      <c r="V368"/>
    </row>
    <row r="369" spans="1:22" x14ac:dyDescent="0.25">
      <c r="A369" t="s">
        <v>427</v>
      </c>
      <c r="B369" s="1">
        <v>45837</v>
      </c>
      <c r="C369" t="s">
        <v>19</v>
      </c>
      <c r="D369" t="s">
        <v>36</v>
      </c>
      <c r="E369" t="s">
        <v>37</v>
      </c>
      <c r="F369" t="s">
        <v>38</v>
      </c>
      <c r="G369">
        <v>8</v>
      </c>
      <c r="H369">
        <v>55000</v>
      </c>
      <c r="I369">
        <v>38299</v>
      </c>
      <c r="J369" t="s">
        <v>29</v>
      </c>
      <c r="K369" t="s">
        <v>17</v>
      </c>
      <c r="L369">
        <f>SUM(Clean_Data[[#This Row],[Units_Sold]]*Clean_Data[[#This Row],[Unit_Price]])</f>
        <v>440000</v>
      </c>
      <c r="M369">
        <f>Clean_Data[[#This Row],[Units_Sold]]*Clean_Data[[#This Row],[Cost_Price]]</f>
        <v>306392</v>
      </c>
      <c r="N369">
        <f>Clean_Data[[#This Row],[Total_Sales]]-Clean_Data[[#This Row],[Total_Cost]]</f>
        <v>133608</v>
      </c>
      <c r="O369" s="2">
        <f>Clean_Data[[#This Row],[Profit]]/Clean_Data[[#This Row],[Total_Sales]]</f>
        <v>0.30365454545454545</v>
      </c>
      <c r="P369" t="str">
        <f>_xlfn.XLOOKUP(Clean_Data[[#This Row],[Product_Code]],Product_Catalog!A:A,Product_Catalog!C:C)</f>
        <v>Electronics</v>
      </c>
      <c r="Q369">
        <f>IF(Clean_Data[[#This Row],[Order_Date]]="","",YEAR(Clean_Data[[#This Row],[Order_Date]]))</f>
        <v>2025</v>
      </c>
      <c r="R369" t="str">
        <f>TEXT(Clean_Data[[#This Row],[Order_Date]],"mmm")</f>
        <v>Jun</v>
      </c>
      <c r="S369" t="str">
        <f>TEXT(Clean_Data[[#This Row],[Order_Date]],"mmm-yy")</f>
        <v>Jun-25</v>
      </c>
      <c r="V369"/>
    </row>
    <row r="370" spans="1:22" x14ac:dyDescent="0.25">
      <c r="A370" t="s">
        <v>428</v>
      </c>
      <c r="B370" s="1">
        <v>45940</v>
      </c>
      <c r="C370" t="s">
        <v>19</v>
      </c>
      <c r="D370" t="s">
        <v>33</v>
      </c>
      <c r="E370" t="s">
        <v>37</v>
      </c>
      <c r="F370" t="s">
        <v>38</v>
      </c>
      <c r="G370">
        <v>12</v>
      </c>
      <c r="H370">
        <v>55000</v>
      </c>
      <c r="I370">
        <v>35204</v>
      </c>
      <c r="J370" t="s">
        <v>22</v>
      </c>
      <c r="K370" t="s">
        <v>46</v>
      </c>
      <c r="L370">
        <f>SUM(Clean_Data[[#This Row],[Units_Sold]]*Clean_Data[[#This Row],[Unit_Price]])</f>
        <v>660000</v>
      </c>
      <c r="M370">
        <f>Clean_Data[[#This Row],[Units_Sold]]*Clean_Data[[#This Row],[Cost_Price]]</f>
        <v>422448</v>
      </c>
      <c r="N370">
        <f>Clean_Data[[#This Row],[Total_Sales]]-Clean_Data[[#This Row],[Total_Cost]]</f>
        <v>237552</v>
      </c>
      <c r="O370" s="2">
        <f>Clean_Data[[#This Row],[Profit]]/Clean_Data[[#This Row],[Total_Sales]]</f>
        <v>0.35992727272727271</v>
      </c>
      <c r="P370" t="str">
        <f>_xlfn.XLOOKUP(Clean_Data[[#This Row],[Product_Code]],Product_Catalog!A:A,Product_Catalog!C:C)</f>
        <v>Electronics</v>
      </c>
      <c r="Q370">
        <f>IF(Clean_Data[[#This Row],[Order_Date]]="","",YEAR(Clean_Data[[#This Row],[Order_Date]]))</f>
        <v>2025</v>
      </c>
      <c r="R370" t="str">
        <f>TEXT(Clean_Data[[#This Row],[Order_Date]],"mmm")</f>
        <v>Oct</v>
      </c>
      <c r="S370" t="str">
        <f>TEXT(Clean_Data[[#This Row],[Order_Date]],"mmm-yy")</f>
        <v>Oct-25</v>
      </c>
      <c r="V370"/>
    </row>
    <row r="371" spans="1:22" x14ac:dyDescent="0.25">
      <c r="A371" t="s">
        <v>430</v>
      </c>
      <c r="B371" s="1">
        <v>45970</v>
      </c>
      <c r="C371" t="s">
        <v>73</v>
      </c>
      <c r="D371" t="s">
        <v>40</v>
      </c>
      <c r="E371" t="s">
        <v>37</v>
      </c>
      <c r="F371" t="s">
        <v>38</v>
      </c>
      <c r="G371">
        <v>19</v>
      </c>
      <c r="H371">
        <v>55000</v>
      </c>
      <c r="I371">
        <v>33672</v>
      </c>
      <c r="J371" t="s">
        <v>22</v>
      </c>
      <c r="K371" t="s">
        <v>17</v>
      </c>
      <c r="L371">
        <f>SUM(Clean_Data[[#This Row],[Units_Sold]]*Clean_Data[[#This Row],[Unit_Price]])</f>
        <v>1045000</v>
      </c>
      <c r="M371">
        <f>Clean_Data[[#This Row],[Units_Sold]]*Clean_Data[[#This Row],[Cost_Price]]</f>
        <v>639768</v>
      </c>
      <c r="N371">
        <f>Clean_Data[[#This Row],[Total_Sales]]-Clean_Data[[#This Row],[Total_Cost]]</f>
        <v>405232</v>
      </c>
      <c r="O371" s="2">
        <f>Clean_Data[[#This Row],[Profit]]/Clean_Data[[#This Row],[Total_Sales]]</f>
        <v>0.38778181818181817</v>
      </c>
      <c r="P371" t="str">
        <f>_xlfn.XLOOKUP(Clean_Data[[#This Row],[Product_Code]],Product_Catalog!A:A,Product_Catalog!C:C)</f>
        <v>Electronics</v>
      </c>
      <c r="Q371">
        <f>IF(Clean_Data[[#This Row],[Order_Date]]="","",YEAR(Clean_Data[[#This Row],[Order_Date]]))</f>
        <v>2025</v>
      </c>
      <c r="R371" t="str">
        <f>TEXT(Clean_Data[[#This Row],[Order_Date]],"mmm")</f>
        <v>Nov</v>
      </c>
      <c r="S371" t="str">
        <f>TEXT(Clean_Data[[#This Row],[Order_Date]],"mmm-yy")</f>
        <v>Nov-25</v>
      </c>
      <c r="V371"/>
    </row>
    <row r="372" spans="1:22" x14ac:dyDescent="0.25">
      <c r="A372" t="s">
        <v>431</v>
      </c>
      <c r="B372" s="1">
        <v>45665</v>
      </c>
      <c r="C372" t="s">
        <v>48</v>
      </c>
      <c r="D372" t="s">
        <v>26</v>
      </c>
      <c r="E372" t="s">
        <v>63</v>
      </c>
      <c r="F372" t="s">
        <v>59</v>
      </c>
      <c r="G372">
        <v>15</v>
      </c>
      <c r="H372">
        <v>4500</v>
      </c>
      <c r="I372">
        <v>2985</v>
      </c>
      <c r="J372" t="s">
        <v>29</v>
      </c>
      <c r="K372" t="s">
        <v>17</v>
      </c>
      <c r="L372">
        <f>SUM(Clean_Data[[#This Row],[Units_Sold]]*Clean_Data[[#This Row],[Unit_Price]])</f>
        <v>67500</v>
      </c>
      <c r="M372">
        <f>Clean_Data[[#This Row],[Units_Sold]]*Clean_Data[[#This Row],[Cost_Price]]</f>
        <v>44775</v>
      </c>
      <c r="N372">
        <f>Clean_Data[[#This Row],[Total_Sales]]-Clean_Data[[#This Row],[Total_Cost]]</f>
        <v>22725</v>
      </c>
      <c r="O372" s="2">
        <f>Clean_Data[[#This Row],[Profit]]/Clean_Data[[#This Row],[Total_Sales]]</f>
        <v>0.33666666666666667</v>
      </c>
      <c r="P372" t="str">
        <f>_xlfn.XLOOKUP(Clean_Data[[#This Row],[Product_Code]],Product_Catalog!A:A,Product_Catalog!C:C)</f>
        <v>Electronics</v>
      </c>
      <c r="Q372">
        <f>IF(Clean_Data[[#This Row],[Order_Date]]="","",YEAR(Clean_Data[[#This Row],[Order_Date]]))</f>
        <v>2025</v>
      </c>
      <c r="R372" t="str">
        <f>TEXT(Clean_Data[[#This Row],[Order_Date]],"mmm")</f>
        <v>Jan</v>
      </c>
      <c r="S372" t="str">
        <f>TEXT(Clean_Data[[#This Row],[Order_Date]],"mmm-yy")</f>
        <v>Jan-25</v>
      </c>
      <c r="V372"/>
    </row>
    <row r="373" spans="1:22" x14ac:dyDescent="0.25">
      <c r="A373" t="s">
        <v>432</v>
      </c>
      <c r="B373" s="1">
        <v>46032</v>
      </c>
      <c r="C373" t="s">
        <v>12</v>
      </c>
      <c r="D373" t="s">
        <v>33</v>
      </c>
      <c r="E373" t="s">
        <v>55</v>
      </c>
      <c r="F373" t="s">
        <v>34</v>
      </c>
      <c r="G373">
        <v>15</v>
      </c>
      <c r="H373">
        <v>35000</v>
      </c>
      <c r="I373">
        <v>22329</v>
      </c>
      <c r="J373" t="s">
        <v>29</v>
      </c>
      <c r="K373" t="s">
        <v>23</v>
      </c>
      <c r="L373">
        <f>SUM(Clean_Data[[#This Row],[Units_Sold]]*Clean_Data[[#This Row],[Unit_Price]])</f>
        <v>525000</v>
      </c>
      <c r="M373">
        <f>Clean_Data[[#This Row],[Units_Sold]]*Clean_Data[[#This Row],[Cost_Price]]</f>
        <v>334935</v>
      </c>
      <c r="N373">
        <f>Clean_Data[[#This Row],[Total_Sales]]-Clean_Data[[#This Row],[Total_Cost]]</f>
        <v>190065</v>
      </c>
      <c r="O373" s="2">
        <f>Clean_Data[[#This Row],[Profit]]/Clean_Data[[#This Row],[Total_Sales]]</f>
        <v>0.36202857142857142</v>
      </c>
      <c r="P373" t="str">
        <f>_xlfn.XLOOKUP(Clean_Data[[#This Row],[Product_Code]],Product_Catalog!A:A,Product_Catalog!C:C)</f>
        <v>Furniture</v>
      </c>
      <c r="Q373">
        <f>IF(Clean_Data[[#This Row],[Order_Date]]="","",YEAR(Clean_Data[[#This Row],[Order_Date]]))</f>
        <v>2026</v>
      </c>
      <c r="R373" t="str">
        <f>TEXT(Clean_Data[[#This Row],[Order_Date]],"mmm")</f>
        <v>Jan</v>
      </c>
      <c r="S373" t="str">
        <f>TEXT(Clean_Data[[#This Row],[Order_Date]],"mmm-yy")</f>
        <v>Jan-26</v>
      </c>
      <c r="V373"/>
    </row>
    <row r="374" spans="1:22" x14ac:dyDescent="0.25">
      <c r="A374" t="s">
        <v>433</v>
      </c>
      <c r="B374" s="1">
        <v>45940</v>
      </c>
      <c r="C374" t="s">
        <v>53</v>
      </c>
      <c r="D374" t="s">
        <v>13</v>
      </c>
      <c r="E374" t="s">
        <v>27</v>
      </c>
      <c r="F374" t="s">
        <v>28</v>
      </c>
      <c r="G374">
        <v>11</v>
      </c>
      <c r="H374">
        <v>14000</v>
      </c>
      <c r="I374">
        <v>10279</v>
      </c>
      <c r="J374" t="s">
        <v>29</v>
      </c>
      <c r="K374" t="s">
        <v>17</v>
      </c>
      <c r="L374">
        <f>SUM(Clean_Data[[#This Row],[Units_Sold]]*Clean_Data[[#This Row],[Unit_Price]])</f>
        <v>154000</v>
      </c>
      <c r="M374">
        <f>Clean_Data[[#This Row],[Units_Sold]]*Clean_Data[[#This Row],[Cost_Price]]</f>
        <v>113069</v>
      </c>
      <c r="N374">
        <f>Clean_Data[[#This Row],[Total_Sales]]-Clean_Data[[#This Row],[Total_Cost]]</f>
        <v>40931</v>
      </c>
      <c r="O374" s="2">
        <f>Clean_Data[[#This Row],[Profit]]/Clean_Data[[#This Row],[Total_Sales]]</f>
        <v>0.26578571428571429</v>
      </c>
      <c r="P374" t="str">
        <f>_xlfn.XLOOKUP(Clean_Data[[#This Row],[Product_Code]],Product_Catalog!A:A,Product_Catalog!C:C)</f>
        <v>Furniture</v>
      </c>
      <c r="Q374">
        <f>IF(Clean_Data[[#This Row],[Order_Date]]="","",YEAR(Clean_Data[[#This Row],[Order_Date]]))</f>
        <v>2025</v>
      </c>
      <c r="R374" t="str">
        <f>TEXT(Clean_Data[[#This Row],[Order_Date]],"mmm")</f>
        <v>Oct</v>
      </c>
      <c r="S374" t="str">
        <f>TEXT(Clean_Data[[#This Row],[Order_Date]],"mmm-yy")</f>
        <v>Oct-25</v>
      </c>
      <c r="V374"/>
    </row>
    <row r="375" spans="1:22" x14ac:dyDescent="0.25">
      <c r="A375" t="s">
        <v>434</v>
      </c>
      <c r="B375" s="1">
        <v>45949</v>
      </c>
      <c r="C375" t="s">
        <v>44</v>
      </c>
      <c r="D375" t="s">
        <v>13</v>
      </c>
      <c r="E375" t="s">
        <v>20</v>
      </c>
      <c r="F375" t="s">
        <v>21</v>
      </c>
      <c r="G375">
        <v>18</v>
      </c>
      <c r="H375">
        <v>8500</v>
      </c>
      <c r="I375">
        <v>6623</v>
      </c>
      <c r="J375" t="s">
        <v>45</v>
      </c>
      <c r="K375" t="s">
        <v>23</v>
      </c>
      <c r="L375">
        <f>SUM(Clean_Data[[#This Row],[Units_Sold]]*Clean_Data[[#This Row],[Unit_Price]])</f>
        <v>153000</v>
      </c>
      <c r="M375">
        <f>Clean_Data[[#This Row],[Units_Sold]]*Clean_Data[[#This Row],[Cost_Price]]</f>
        <v>119214</v>
      </c>
      <c r="N375">
        <f>Clean_Data[[#This Row],[Total_Sales]]-Clean_Data[[#This Row],[Total_Cost]]</f>
        <v>33786</v>
      </c>
      <c r="O375" s="2">
        <f>Clean_Data[[#This Row],[Profit]]/Clean_Data[[#This Row],[Total_Sales]]</f>
        <v>0.2208235294117647</v>
      </c>
      <c r="P375" t="str">
        <f>_xlfn.XLOOKUP(Clean_Data[[#This Row],[Product_Code]],Product_Catalog!A:A,Product_Catalog!C:C)</f>
        <v>Accessories</v>
      </c>
      <c r="Q375">
        <f>IF(Clean_Data[[#This Row],[Order_Date]]="","",YEAR(Clean_Data[[#This Row],[Order_Date]]))</f>
        <v>2025</v>
      </c>
      <c r="R375" t="str">
        <f>TEXT(Clean_Data[[#This Row],[Order_Date]],"mmm")</f>
        <v>Oct</v>
      </c>
      <c r="S375" t="str">
        <f>TEXT(Clean_Data[[#This Row],[Order_Date]],"mmm-yy")</f>
        <v>Oct-25</v>
      </c>
      <c r="V375"/>
    </row>
    <row r="376" spans="1:22" x14ac:dyDescent="0.25">
      <c r="A376" t="s">
        <v>435</v>
      </c>
      <c r="B376" s="1">
        <v>45867</v>
      </c>
      <c r="C376" t="s">
        <v>73</v>
      </c>
      <c r="D376" t="s">
        <v>26</v>
      </c>
      <c r="E376" t="s">
        <v>66</v>
      </c>
      <c r="F376" t="s">
        <v>67</v>
      </c>
      <c r="G376">
        <v>11</v>
      </c>
      <c r="H376">
        <v>2500</v>
      </c>
      <c r="I376">
        <v>1996</v>
      </c>
      <c r="J376" t="s">
        <v>29</v>
      </c>
      <c r="K376" t="s">
        <v>46</v>
      </c>
      <c r="L376">
        <f>SUM(Clean_Data[[#This Row],[Units_Sold]]*Clean_Data[[#This Row],[Unit_Price]])</f>
        <v>27500</v>
      </c>
      <c r="M376">
        <f>Clean_Data[[#This Row],[Units_Sold]]*Clean_Data[[#This Row],[Cost_Price]]</f>
        <v>21956</v>
      </c>
      <c r="N376">
        <f>Clean_Data[[#This Row],[Total_Sales]]-Clean_Data[[#This Row],[Total_Cost]]</f>
        <v>5544</v>
      </c>
      <c r="O376" s="2">
        <f>Clean_Data[[#This Row],[Profit]]/Clean_Data[[#This Row],[Total_Sales]]</f>
        <v>0.2016</v>
      </c>
      <c r="P376" t="str">
        <f>_xlfn.XLOOKUP(Clean_Data[[#This Row],[Product_Code]],Product_Catalog!A:A,Product_Catalog!C:C)</f>
        <v>Electronics</v>
      </c>
      <c r="Q376">
        <f>IF(Clean_Data[[#This Row],[Order_Date]]="","",YEAR(Clean_Data[[#This Row],[Order_Date]]))</f>
        <v>2025</v>
      </c>
      <c r="R376" t="str">
        <f>TEXT(Clean_Data[[#This Row],[Order_Date]],"mmm")</f>
        <v>Jul</v>
      </c>
      <c r="S376" t="str">
        <f>TEXT(Clean_Data[[#This Row],[Order_Date]],"mmm-yy")</f>
        <v>Jul-25</v>
      </c>
      <c r="V376"/>
    </row>
    <row r="377" spans="1:22" x14ac:dyDescent="0.25">
      <c r="A377" t="s">
        <v>436</v>
      </c>
      <c r="B377" s="1">
        <v>45658</v>
      </c>
      <c r="C377" t="s">
        <v>19</v>
      </c>
      <c r="D377" t="s">
        <v>13</v>
      </c>
      <c r="E377" t="s">
        <v>20</v>
      </c>
      <c r="F377" t="s">
        <v>21</v>
      </c>
      <c r="G377">
        <v>5</v>
      </c>
      <c r="H377">
        <v>8500</v>
      </c>
      <c r="I377">
        <v>5516</v>
      </c>
      <c r="J377" t="s">
        <v>16</v>
      </c>
      <c r="K377" t="s">
        <v>17</v>
      </c>
      <c r="L377">
        <f>SUM(Clean_Data[[#This Row],[Units_Sold]]*Clean_Data[[#This Row],[Unit_Price]])</f>
        <v>42500</v>
      </c>
      <c r="M377">
        <f>Clean_Data[[#This Row],[Units_Sold]]*Clean_Data[[#This Row],[Cost_Price]]</f>
        <v>27580</v>
      </c>
      <c r="N377">
        <f>Clean_Data[[#This Row],[Total_Sales]]-Clean_Data[[#This Row],[Total_Cost]]</f>
        <v>14920</v>
      </c>
      <c r="O377" s="2">
        <f>Clean_Data[[#This Row],[Profit]]/Clean_Data[[#This Row],[Total_Sales]]</f>
        <v>0.35105882352941176</v>
      </c>
      <c r="P377" t="str">
        <f>_xlfn.XLOOKUP(Clean_Data[[#This Row],[Product_Code]],Product_Catalog!A:A,Product_Catalog!C:C)</f>
        <v>Accessories</v>
      </c>
      <c r="Q377">
        <f>IF(Clean_Data[[#This Row],[Order_Date]]="","",YEAR(Clean_Data[[#This Row],[Order_Date]]))</f>
        <v>2025</v>
      </c>
      <c r="R377" t="str">
        <f>TEXT(Clean_Data[[#This Row],[Order_Date]],"mmm")</f>
        <v>Jan</v>
      </c>
      <c r="S377" t="str">
        <f>TEXT(Clean_Data[[#This Row],[Order_Date]],"mmm-yy")</f>
        <v>Jan-25</v>
      </c>
      <c r="V377"/>
    </row>
    <row r="378" spans="1:22" x14ac:dyDescent="0.25">
      <c r="A378" t="s">
        <v>437</v>
      </c>
      <c r="B378" s="1">
        <v>45910</v>
      </c>
      <c r="C378" t="s">
        <v>62</v>
      </c>
      <c r="D378" t="s">
        <v>33</v>
      </c>
      <c r="E378" t="s">
        <v>49</v>
      </c>
      <c r="F378" t="s">
        <v>50</v>
      </c>
      <c r="G378">
        <v>10</v>
      </c>
      <c r="H378">
        <v>75000</v>
      </c>
      <c r="I378">
        <v>51183</v>
      </c>
      <c r="J378" t="s">
        <v>22</v>
      </c>
      <c r="K378" t="s">
        <v>17</v>
      </c>
      <c r="L378">
        <f>SUM(Clean_Data[[#This Row],[Units_Sold]]*Clean_Data[[#This Row],[Unit_Price]])</f>
        <v>750000</v>
      </c>
      <c r="M378">
        <f>Clean_Data[[#This Row],[Units_Sold]]*Clean_Data[[#This Row],[Cost_Price]]</f>
        <v>511830</v>
      </c>
      <c r="N378">
        <f>Clean_Data[[#This Row],[Total_Sales]]-Clean_Data[[#This Row],[Total_Cost]]</f>
        <v>238170</v>
      </c>
      <c r="O378" s="2">
        <f>Clean_Data[[#This Row],[Profit]]/Clean_Data[[#This Row],[Total_Sales]]</f>
        <v>0.31756000000000001</v>
      </c>
      <c r="P378" t="str">
        <f>_xlfn.XLOOKUP(Clean_Data[[#This Row],[Product_Code]],Product_Catalog!A:A,Product_Catalog!C:C)</f>
        <v>Electronics</v>
      </c>
      <c r="Q378">
        <f>IF(Clean_Data[[#This Row],[Order_Date]]="","",YEAR(Clean_Data[[#This Row],[Order_Date]]))</f>
        <v>2025</v>
      </c>
      <c r="R378" t="str">
        <f>TEXT(Clean_Data[[#This Row],[Order_Date]],"mmm")</f>
        <v>Sep</v>
      </c>
      <c r="S378" t="str">
        <f>TEXT(Clean_Data[[#This Row],[Order_Date]],"mmm-yy")</f>
        <v>Sep-25</v>
      </c>
      <c r="V378"/>
    </row>
    <row r="379" spans="1:22" x14ac:dyDescent="0.25">
      <c r="A379" t="s">
        <v>438</v>
      </c>
      <c r="B379" s="1">
        <v>45758</v>
      </c>
      <c r="C379" t="s">
        <v>31</v>
      </c>
      <c r="D379" t="s">
        <v>13</v>
      </c>
      <c r="E379" t="s">
        <v>41</v>
      </c>
      <c r="F379" t="s">
        <v>42</v>
      </c>
      <c r="G379">
        <v>1</v>
      </c>
      <c r="H379">
        <v>28000</v>
      </c>
      <c r="I379">
        <v>17015</v>
      </c>
      <c r="J379" t="s">
        <v>45</v>
      </c>
      <c r="K379" t="s">
        <v>46</v>
      </c>
      <c r="L379">
        <f>SUM(Clean_Data[[#This Row],[Units_Sold]]*Clean_Data[[#This Row],[Unit_Price]])</f>
        <v>28000</v>
      </c>
      <c r="M379">
        <f>Clean_Data[[#This Row],[Units_Sold]]*Clean_Data[[#This Row],[Cost_Price]]</f>
        <v>17015</v>
      </c>
      <c r="N379">
        <f>Clean_Data[[#This Row],[Total_Sales]]-Clean_Data[[#This Row],[Total_Cost]]</f>
        <v>10985</v>
      </c>
      <c r="O379" s="2">
        <f>Clean_Data[[#This Row],[Profit]]/Clean_Data[[#This Row],[Total_Sales]]</f>
        <v>0.3923214285714286</v>
      </c>
      <c r="P379" t="str">
        <f>_xlfn.XLOOKUP(Clean_Data[[#This Row],[Product_Code]],Product_Catalog!A:A,Product_Catalog!C:C)</f>
        <v>Electronics</v>
      </c>
      <c r="Q379">
        <f>IF(Clean_Data[[#This Row],[Order_Date]]="","",YEAR(Clean_Data[[#This Row],[Order_Date]]))</f>
        <v>2025</v>
      </c>
      <c r="R379" t="str">
        <f>TEXT(Clean_Data[[#This Row],[Order_Date]],"mmm")</f>
        <v>Apr</v>
      </c>
      <c r="S379" t="str">
        <f>TEXT(Clean_Data[[#This Row],[Order_Date]],"mmm-yy")</f>
        <v>Apr-25</v>
      </c>
      <c r="V379"/>
    </row>
    <row r="380" spans="1:22" x14ac:dyDescent="0.25">
      <c r="A380" t="s">
        <v>439</v>
      </c>
      <c r="B380" s="1">
        <v>45713</v>
      </c>
      <c r="C380" t="s">
        <v>44</v>
      </c>
      <c r="D380" t="s">
        <v>13</v>
      </c>
      <c r="E380" t="s">
        <v>20</v>
      </c>
      <c r="F380" t="s">
        <v>21</v>
      </c>
      <c r="G380">
        <v>14</v>
      </c>
      <c r="H380">
        <v>8500</v>
      </c>
      <c r="I380">
        <v>6791</v>
      </c>
      <c r="J380" t="s">
        <v>16</v>
      </c>
      <c r="K380" t="s">
        <v>17</v>
      </c>
      <c r="L380">
        <f>SUM(Clean_Data[[#This Row],[Units_Sold]]*Clean_Data[[#This Row],[Unit_Price]])</f>
        <v>119000</v>
      </c>
      <c r="M380">
        <f>Clean_Data[[#This Row],[Units_Sold]]*Clean_Data[[#This Row],[Cost_Price]]</f>
        <v>95074</v>
      </c>
      <c r="N380">
        <f>Clean_Data[[#This Row],[Total_Sales]]-Clean_Data[[#This Row],[Total_Cost]]</f>
        <v>23926</v>
      </c>
      <c r="O380" s="2">
        <f>Clean_Data[[#This Row],[Profit]]/Clean_Data[[#This Row],[Total_Sales]]</f>
        <v>0.20105882352941176</v>
      </c>
      <c r="P380" t="str">
        <f>_xlfn.XLOOKUP(Clean_Data[[#This Row],[Product_Code]],Product_Catalog!A:A,Product_Catalog!C:C)</f>
        <v>Accessories</v>
      </c>
      <c r="Q380">
        <f>IF(Clean_Data[[#This Row],[Order_Date]]="","",YEAR(Clean_Data[[#This Row],[Order_Date]]))</f>
        <v>2025</v>
      </c>
      <c r="R380" t="str">
        <f>TEXT(Clean_Data[[#This Row],[Order_Date]],"mmm")</f>
        <v>Feb</v>
      </c>
      <c r="S380" t="str">
        <f>TEXT(Clean_Data[[#This Row],[Order_Date]],"mmm-yy")</f>
        <v>Feb-25</v>
      </c>
      <c r="V380"/>
    </row>
    <row r="381" spans="1:22" x14ac:dyDescent="0.25">
      <c r="A381" t="s">
        <v>440</v>
      </c>
      <c r="B381" s="1">
        <v>46162</v>
      </c>
      <c r="C381" t="s">
        <v>73</v>
      </c>
      <c r="D381" t="s">
        <v>40</v>
      </c>
      <c r="E381" t="s">
        <v>41</v>
      </c>
      <c r="F381" t="s">
        <v>42</v>
      </c>
      <c r="G381">
        <v>4</v>
      </c>
      <c r="H381">
        <v>28000</v>
      </c>
      <c r="I381">
        <v>19673</v>
      </c>
      <c r="J381" t="s">
        <v>16</v>
      </c>
      <c r="K381" t="s">
        <v>17</v>
      </c>
      <c r="L381">
        <f>SUM(Clean_Data[[#This Row],[Units_Sold]]*Clean_Data[[#This Row],[Unit_Price]])</f>
        <v>112000</v>
      </c>
      <c r="M381">
        <f>Clean_Data[[#This Row],[Units_Sold]]*Clean_Data[[#This Row],[Cost_Price]]</f>
        <v>78692</v>
      </c>
      <c r="N381">
        <f>Clean_Data[[#This Row],[Total_Sales]]-Clean_Data[[#This Row],[Total_Cost]]</f>
        <v>33308</v>
      </c>
      <c r="O381" s="2">
        <f>Clean_Data[[#This Row],[Profit]]/Clean_Data[[#This Row],[Total_Sales]]</f>
        <v>0.29739285714285713</v>
      </c>
      <c r="P381" t="str">
        <f>_xlfn.XLOOKUP(Clean_Data[[#This Row],[Product_Code]],Product_Catalog!A:A,Product_Catalog!C:C)</f>
        <v>Electronics</v>
      </c>
      <c r="Q381">
        <f>IF(Clean_Data[[#This Row],[Order_Date]]="","",YEAR(Clean_Data[[#This Row],[Order_Date]]))</f>
        <v>2026</v>
      </c>
      <c r="R381" t="str">
        <f>TEXT(Clean_Data[[#This Row],[Order_Date]],"mmm")</f>
        <v>May</v>
      </c>
      <c r="S381" t="str">
        <f>TEXT(Clean_Data[[#This Row],[Order_Date]],"mmm-yy")</f>
        <v>May-26</v>
      </c>
      <c r="V381"/>
    </row>
    <row r="382" spans="1:22" x14ac:dyDescent="0.25">
      <c r="A382" t="s">
        <v>441</v>
      </c>
      <c r="B382" s="1">
        <v>45663</v>
      </c>
      <c r="C382" t="s">
        <v>48</v>
      </c>
      <c r="D382" t="s">
        <v>40</v>
      </c>
      <c r="E382" t="s">
        <v>20</v>
      </c>
      <c r="F382" t="s">
        <v>21</v>
      </c>
      <c r="G382">
        <v>7</v>
      </c>
      <c r="H382">
        <v>8500</v>
      </c>
      <c r="I382">
        <v>6593</v>
      </c>
      <c r="J382" t="s">
        <v>45</v>
      </c>
      <c r="K382" t="s">
        <v>23</v>
      </c>
      <c r="L382">
        <f>SUM(Clean_Data[[#This Row],[Units_Sold]]*Clean_Data[[#This Row],[Unit_Price]])</f>
        <v>59500</v>
      </c>
      <c r="M382">
        <f>Clean_Data[[#This Row],[Units_Sold]]*Clean_Data[[#This Row],[Cost_Price]]</f>
        <v>46151</v>
      </c>
      <c r="N382">
        <f>Clean_Data[[#This Row],[Total_Sales]]-Clean_Data[[#This Row],[Total_Cost]]</f>
        <v>13349</v>
      </c>
      <c r="O382" s="2">
        <f>Clean_Data[[#This Row],[Profit]]/Clean_Data[[#This Row],[Total_Sales]]</f>
        <v>0.22435294117647059</v>
      </c>
      <c r="P382" t="str">
        <f>_xlfn.XLOOKUP(Clean_Data[[#This Row],[Product_Code]],Product_Catalog!A:A,Product_Catalog!C:C)</f>
        <v>Accessories</v>
      </c>
      <c r="Q382">
        <f>IF(Clean_Data[[#This Row],[Order_Date]]="","",YEAR(Clean_Data[[#This Row],[Order_Date]]))</f>
        <v>2025</v>
      </c>
      <c r="R382" t="str">
        <f>TEXT(Clean_Data[[#This Row],[Order_Date]],"mmm")</f>
        <v>Jan</v>
      </c>
      <c r="S382" t="str">
        <f>TEXT(Clean_Data[[#This Row],[Order_Date]],"mmm-yy")</f>
        <v>Jan-25</v>
      </c>
      <c r="V382"/>
    </row>
    <row r="383" spans="1:22" x14ac:dyDescent="0.25">
      <c r="A383" t="s">
        <v>442</v>
      </c>
      <c r="B383" s="1">
        <v>45903</v>
      </c>
      <c r="C383" t="s">
        <v>25</v>
      </c>
      <c r="D383" t="s">
        <v>26</v>
      </c>
      <c r="E383" t="s">
        <v>63</v>
      </c>
      <c r="F383" t="s">
        <v>59</v>
      </c>
      <c r="G383">
        <v>7</v>
      </c>
      <c r="H383">
        <v>4500</v>
      </c>
      <c r="I383">
        <v>3250</v>
      </c>
      <c r="J383" t="s">
        <v>22</v>
      </c>
      <c r="K383" t="s">
        <v>23</v>
      </c>
      <c r="L383">
        <f>SUM(Clean_Data[[#This Row],[Units_Sold]]*Clean_Data[[#This Row],[Unit_Price]])</f>
        <v>31500</v>
      </c>
      <c r="M383">
        <f>Clean_Data[[#This Row],[Units_Sold]]*Clean_Data[[#This Row],[Cost_Price]]</f>
        <v>22750</v>
      </c>
      <c r="N383">
        <f>Clean_Data[[#This Row],[Total_Sales]]-Clean_Data[[#This Row],[Total_Cost]]</f>
        <v>8750</v>
      </c>
      <c r="O383" s="2">
        <f>Clean_Data[[#This Row],[Profit]]/Clean_Data[[#This Row],[Total_Sales]]</f>
        <v>0.27777777777777779</v>
      </c>
      <c r="P383" t="str">
        <f>_xlfn.XLOOKUP(Clean_Data[[#This Row],[Product_Code]],Product_Catalog!A:A,Product_Catalog!C:C)</f>
        <v>Electronics</v>
      </c>
      <c r="Q383">
        <f>IF(Clean_Data[[#This Row],[Order_Date]]="","",YEAR(Clean_Data[[#This Row],[Order_Date]]))</f>
        <v>2025</v>
      </c>
      <c r="R383" t="str">
        <f>TEXT(Clean_Data[[#This Row],[Order_Date]],"mmm")</f>
        <v>Sep</v>
      </c>
      <c r="S383" t="str">
        <f>TEXT(Clean_Data[[#This Row],[Order_Date]],"mmm-yy")</f>
        <v>Sep-25</v>
      </c>
      <c r="V383"/>
    </row>
    <row r="384" spans="1:22" x14ac:dyDescent="0.25">
      <c r="A384" t="s">
        <v>443</v>
      </c>
      <c r="B384" s="1">
        <v>45862</v>
      </c>
      <c r="C384" t="s">
        <v>53</v>
      </c>
      <c r="D384" t="s">
        <v>13</v>
      </c>
      <c r="E384" t="s">
        <v>37</v>
      </c>
      <c r="F384" t="s">
        <v>38</v>
      </c>
      <c r="G384">
        <v>13</v>
      </c>
      <c r="H384">
        <v>55000</v>
      </c>
      <c r="I384">
        <v>41528</v>
      </c>
      <c r="J384" t="s">
        <v>22</v>
      </c>
      <c r="K384" t="s">
        <v>46</v>
      </c>
      <c r="L384">
        <f>SUM(Clean_Data[[#This Row],[Units_Sold]]*Clean_Data[[#This Row],[Unit_Price]])</f>
        <v>715000</v>
      </c>
      <c r="M384">
        <f>Clean_Data[[#This Row],[Units_Sold]]*Clean_Data[[#This Row],[Cost_Price]]</f>
        <v>539864</v>
      </c>
      <c r="N384">
        <f>Clean_Data[[#This Row],[Total_Sales]]-Clean_Data[[#This Row],[Total_Cost]]</f>
        <v>175136</v>
      </c>
      <c r="O384" s="2">
        <f>Clean_Data[[#This Row],[Profit]]/Clean_Data[[#This Row],[Total_Sales]]</f>
        <v>0.24494545454545455</v>
      </c>
      <c r="P384" t="str">
        <f>_xlfn.XLOOKUP(Clean_Data[[#This Row],[Product_Code]],Product_Catalog!A:A,Product_Catalog!C:C)</f>
        <v>Electronics</v>
      </c>
      <c r="Q384">
        <f>IF(Clean_Data[[#This Row],[Order_Date]]="","",YEAR(Clean_Data[[#This Row],[Order_Date]]))</f>
        <v>2025</v>
      </c>
      <c r="R384" t="str">
        <f>TEXT(Clean_Data[[#This Row],[Order_Date]],"mmm")</f>
        <v>Jul</v>
      </c>
      <c r="S384" t="str">
        <f>TEXT(Clean_Data[[#This Row],[Order_Date]],"mmm-yy")</f>
        <v>Jul-25</v>
      </c>
      <c r="V384"/>
    </row>
    <row r="385" spans="1:22" x14ac:dyDescent="0.25">
      <c r="A385" t="s">
        <v>444</v>
      </c>
      <c r="B385" s="1">
        <v>46161</v>
      </c>
      <c r="C385" t="s">
        <v>12</v>
      </c>
      <c r="D385" t="s">
        <v>13</v>
      </c>
      <c r="E385" t="s">
        <v>20</v>
      </c>
      <c r="F385" t="s">
        <v>21</v>
      </c>
      <c r="G385">
        <v>10</v>
      </c>
      <c r="H385">
        <v>8500</v>
      </c>
      <c r="I385">
        <v>6768</v>
      </c>
      <c r="J385" t="s">
        <v>16</v>
      </c>
      <c r="K385" t="s">
        <v>17</v>
      </c>
      <c r="L385">
        <f>SUM(Clean_Data[[#This Row],[Units_Sold]]*Clean_Data[[#This Row],[Unit_Price]])</f>
        <v>85000</v>
      </c>
      <c r="M385">
        <f>Clean_Data[[#This Row],[Units_Sold]]*Clean_Data[[#This Row],[Cost_Price]]</f>
        <v>67680</v>
      </c>
      <c r="N385">
        <f>Clean_Data[[#This Row],[Total_Sales]]-Clean_Data[[#This Row],[Total_Cost]]</f>
        <v>17320</v>
      </c>
      <c r="O385" s="2">
        <f>Clean_Data[[#This Row],[Profit]]/Clean_Data[[#This Row],[Total_Sales]]</f>
        <v>0.20376470588235293</v>
      </c>
      <c r="P385" t="str">
        <f>_xlfn.XLOOKUP(Clean_Data[[#This Row],[Product_Code]],Product_Catalog!A:A,Product_Catalog!C:C)</f>
        <v>Accessories</v>
      </c>
      <c r="Q385">
        <f>IF(Clean_Data[[#This Row],[Order_Date]]="","",YEAR(Clean_Data[[#This Row],[Order_Date]]))</f>
        <v>2026</v>
      </c>
      <c r="R385" t="str">
        <f>TEXT(Clean_Data[[#This Row],[Order_Date]],"mmm")</f>
        <v>May</v>
      </c>
      <c r="S385" t="str">
        <f>TEXT(Clean_Data[[#This Row],[Order_Date]],"mmm-yy")</f>
        <v>May-26</v>
      </c>
      <c r="V385"/>
    </row>
    <row r="386" spans="1:22" x14ac:dyDescent="0.25">
      <c r="A386" t="s">
        <v>445</v>
      </c>
      <c r="B386" s="1">
        <v>45809</v>
      </c>
      <c r="C386" t="s">
        <v>62</v>
      </c>
      <c r="D386" t="s">
        <v>40</v>
      </c>
      <c r="E386" t="s">
        <v>27</v>
      </c>
      <c r="F386" t="s">
        <v>28</v>
      </c>
      <c r="G386">
        <v>6</v>
      </c>
      <c r="H386">
        <v>14000</v>
      </c>
      <c r="I386">
        <v>9025</v>
      </c>
      <c r="J386" t="s">
        <v>16</v>
      </c>
      <c r="K386" t="s">
        <v>17</v>
      </c>
      <c r="L386">
        <f>SUM(Clean_Data[[#This Row],[Units_Sold]]*Clean_Data[[#This Row],[Unit_Price]])</f>
        <v>84000</v>
      </c>
      <c r="M386">
        <f>Clean_Data[[#This Row],[Units_Sold]]*Clean_Data[[#This Row],[Cost_Price]]</f>
        <v>54150</v>
      </c>
      <c r="N386">
        <f>Clean_Data[[#This Row],[Total_Sales]]-Clean_Data[[#This Row],[Total_Cost]]</f>
        <v>29850</v>
      </c>
      <c r="O386" s="2">
        <f>Clean_Data[[#This Row],[Profit]]/Clean_Data[[#This Row],[Total_Sales]]</f>
        <v>0.35535714285714287</v>
      </c>
      <c r="P386" t="str">
        <f>_xlfn.XLOOKUP(Clean_Data[[#This Row],[Product_Code]],Product_Catalog!A:A,Product_Catalog!C:C)</f>
        <v>Furniture</v>
      </c>
      <c r="Q386">
        <f>IF(Clean_Data[[#This Row],[Order_Date]]="","",YEAR(Clean_Data[[#This Row],[Order_Date]]))</f>
        <v>2025</v>
      </c>
      <c r="R386" t="str">
        <f>TEXT(Clean_Data[[#This Row],[Order_Date]],"mmm")</f>
        <v>Jun</v>
      </c>
      <c r="S386" t="str">
        <f>TEXT(Clean_Data[[#This Row],[Order_Date]],"mmm-yy")</f>
        <v>Jun-25</v>
      </c>
      <c r="V386"/>
    </row>
    <row r="387" spans="1:22" x14ac:dyDescent="0.25">
      <c r="A387" t="s">
        <v>446</v>
      </c>
      <c r="B387" s="1">
        <v>45909</v>
      </c>
      <c r="C387" t="s">
        <v>44</v>
      </c>
      <c r="D387" t="s">
        <v>33</v>
      </c>
      <c r="E387" t="s">
        <v>27</v>
      </c>
      <c r="F387" t="s">
        <v>28</v>
      </c>
      <c r="G387">
        <v>12</v>
      </c>
      <c r="H387">
        <v>14000</v>
      </c>
      <c r="I387">
        <v>9443</v>
      </c>
      <c r="J387" t="s">
        <v>22</v>
      </c>
      <c r="K387" t="s">
        <v>23</v>
      </c>
      <c r="L387">
        <f>SUM(Clean_Data[[#This Row],[Units_Sold]]*Clean_Data[[#This Row],[Unit_Price]])</f>
        <v>168000</v>
      </c>
      <c r="M387">
        <f>Clean_Data[[#This Row],[Units_Sold]]*Clean_Data[[#This Row],[Cost_Price]]</f>
        <v>113316</v>
      </c>
      <c r="N387">
        <f>Clean_Data[[#This Row],[Total_Sales]]-Clean_Data[[#This Row],[Total_Cost]]</f>
        <v>54684</v>
      </c>
      <c r="O387" s="2">
        <f>Clean_Data[[#This Row],[Profit]]/Clean_Data[[#This Row],[Total_Sales]]</f>
        <v>0.32550000000000001</v>
      </c>
      <c r="P387" t="str">
        <f>_xlfn.XLOOKUP(Clean_Data[[#This Row],[Product_Code]],Product_Catalog!A:A,Product_Catalog!C:C)</f>
        <v>Furniture</v>
      </c>
      <c r="Q387">
        <f>IF(Clean_Data[[#This Row],[Order_Date]]="","",YEAR(Clean_Data[[#This Row],[Order_Date]]))</f>
        <v>2025</v>
      </c>
      <c r="R387" t="str">
        <f>TEXT(Clean_Data[[#This Row],[Order_Date]],"mmm")</f>
        <v>Sep</v>
      </c>
      <c r="S387" t="str">
        <f>TEXT(Clean_Data[[#This Row],[Order_Date]],"mmm-yy")</f>
        <v>Sep-25</v>
      </c>
      <c r="V387"/>
    </row>
    <row r="388" spans="1:22" x14ac:dyDescent="0.25">
      <c r="A388" t="s">
        <v>447</v>
      </c>
      <c r="B388" s="1">
        <v>46022</v>
      </c>
      <c r="C388" t="s">
        <v>31</v>
      </c>
      <c r="D388" t="s">
        <v>13</v>
      </c>
      <c r="E388" t="s">
        <v>66</v>
      </c>
      <c r="F388" t="s">
        <v>67</v>
      </c>
      <c r="G388">
        <v>10</v>
      </c>
      <c r="H388">
        <v>2500</v>
      </c>
      <c r="I388">
        <v>1819</v>
      </c>
      <c r="J388" t="s">
        <v>29</v>
      </c>
      <c r="K388" t="s">
        <v>23</v>
      </c>
      <c r="L388">
        <f>SUM(Clean_Data[[#This Row],[Units_Sold]]*Clean_Data[[#This Row],[Unit_Price]])</f>
        <v>25000</v>
      </c>
      <c r="M388">
        <f>Clean_Data[[#This Row],[Units_Sold]]*Clean_Data[[#This Row],[Cost_Price]]</f>
        <v>18190</v>
      </c>
      <c r="N388">
        <f>Clean_Data[[#This Row],[Total_Sales]]-Clean_Data[[#This Row],[Total_Cost]]</f>
        <v>6810</v>
      </c>
      <c r="O388" s="2">
        <f>Clean_Data[[#This Row],[Profit]]/Clean_Data[[#This Row],[Total_Sales]]</f>
        <v>0.27239999999999998</v>
      </c>
      <c r="P388" t="str">
        <f>_xlfn.XLOOKUP(Clean_Data[[#This Row],[Product_Code]],Product_Catalog!A:A,Product_Catalog!C:C)</f>
        <v>Electronics</v>
      </c>
      <c r="Q388">
        <f>IF(Clean_Data[[#This Row],[Order_Date]]="","",YEAR(Clean_Data[[#This Row],[Order_Date]]))</f>
        <v>2025</v>
      </c>
      <c r="R388" t="str">
        <f>TEXT(Clean_Data[[#This Row],[Order_Date]],"mmm")</f>
        <v>Dec</v>
      </c>
      <c r="S388" t="str">
        <f>TEXT(Clean_Data[[#This Row],[Order_Date]],"mmm-yy")</f>
        <v>Dec-25</v>
      </c>
      <c r="V388"/>
    </row>
    <row r="389" spans="1:22" x14ac:dyDescent="0.25">
      <c r="A389" t="s">
        <v>448</v>
      </c>
      <c r="B389" s="1">
        <v>46060</v>
      </c>
      <c r="C389" t="s">
        <v>31</v>
      </c>
      <c r="D389" t="s">
        <v>33</v>
      </c>
      <c r="E389" t="s">
        <v>37</v>
      </c>
      <c r="F389" t="s">
        <v>38</v>
      </c>
      <c r="G389">
        <v>13</v>
      </c>
      <c r="H389">
        <v>55000</v>
      </c>
      <c r="I389">
        <v>40675</v>
      </c>
      <c r="J389" t="s">
        <v>29</v>
      </c>
      <c r="K389" t="s">
        <v>46</v>
      </c>
      <c r="L389">
        <f>SUM(Clean_Data[[#This Row],[Units_Sold]]*Clean_Data[[#This Row],[Unit_Price]])</f>
        <v>715000</v>
      </c>
      <c r="M389">
        <f>Clean_Data[[#This Row],[Units_Sold]]*Clean_Data[[#This Row],[Cost_Price]]</f>
        <v>528775</v>
      </c>
      <c r="N389">
        <f>Clean_Data[[#This Row],[Total_Sales]]-Clean_Data[[#This Row],[Total_Cost]]</f>
        <v>186225</v>
      </c>
      <c r="O389" s="2">
        <f>Clean_Data[[#This Row],[Profit]]/Clean_Data[[#This Row],[Total_Sales]]</f>
        <v>0.26045454545454544</v>
      </c>
      <c r="P389" t="str">
        <f>_xlfn.XLOOKUP(Clean_Data[[#This Row],[Product_Code]],Product_Catalog!A:A,Product_Catalog!C:C)</f>
        <v>Electronics</v>
      </c>
      <c r="Q389">
        <f>IF(Clean_Data[[#This Row],[Order_Date]]="","",YEAR(Clean_Data[[#This Row],[Order_Date]]))</f>
        <v>2026</v>
      </c>
      <c r="R389" t="str">
        <f>TEXT(Clean_Data[[#This Row],[Order_Date]],"mmm")</f>
        <v>Feb</v>
      </c>
      <c r="S389" t="str">
        <f>TEXT(Clean_Data[[#This Row],[Order_Date]],"mmm-yy")</f>
        <v>Feb-26</v>
      </c>
      <c r="V389"/>
    </row>
    <row r="390" spans="1:22" x14ac:dyDescent="0.25">
      <c r="A390" t="s">
        <v>449</v>
      </c>
      <c r="B390" s="1">
        <v>45919</v>
      </c>
      <c r="C390" t="s">
        <v>62</v>
      </c>
      <c r="D390" t="s">
        <v>40</v>
      </c>
      <c r="E390" t="s">
        <v>63</v>
      </c>
      <c r="F390" t="s">
        <v>59</v>
      </c>
      <c r="G390">
        <v>3</v>
      </c>
      <c r="H390">
        <v>4500</v>
      </c>
      <c r="I390">
        <v>2971</v>
      </c>
      <c r="J390" t="s">
        <v>29</v>
      </c>
      <c r="K390" t="s">
        <v>84</v>
      </c>
      <c r="L390">
        <f>SUM(Clean_Data[[#This Row],[Units_Sold]]*Clean_Data[[#This Row],[Unit_Price]])</f>
        <v>13500</v>
      </c>
      <c r="M390">
        <f>Clean_Data[[#This Row],[Units_Sold]]*Clean_Data[[#This Row],[Cost_Price]]</f>
        <v>8913</v>
      </c>
      <c r="N390">
        <f>Clean_Data[[#This Row],[Total_Sales]]-Clean_Data[[#This Row],[Total_Cost]]</f>
        <v>4587</v>
      </c>
      <c r="O390" s="2">
        <f>Clean_Data[[#This Row],[Profit]]/Clean_Data[[#This Row],[Total_Sales]]</f>
        <v>0.33977777777777779</v>
      </c>
      <c r="P390" t="str">
        <f>_xlfn.XLOOKUP(Clean_Data[[#This Row],[Product_Code]],Product_Catalog!A:A,Product_Catalog!C:C)</f>
        <v>Electronics</v>
      </c>
      <c r="Q390">
        <f>IF(Clean_Data[[#This Row],[Order_Date]]="","",YEAR(Clean_Data[[#This Row],[Order_Date]]))</f>
        <v>2025</v>
      </c>
      <c r="R390" t="str">
        <f>TEXT(Clean_Data[[#This Row],[Order_Date]],"mmm")</f>
        <v>Sep</v>
      </c>
      <c r="S390" t="str">
        <f>TEXT(Clean_Data[[#This Row],[Order_Date]],"mmm-yy")</f>
        <v>Sep-25</v>
      </c>
      <c r="V390"/>
    </row>
    <row r="391" spans="1:22" x14ac:dyDescent="0.25">
      <c r="A391" t="s">
        <v>450</v>
      </c>
      <c r="B391" s="1">
        <v>45883</v>
      </c>
      <c r="C391" t="s">
        <v>44</v>
      </c>
      <c r="D391" t="s">
        <v>26</v>
      </c>
      <c r="E391" t="s">
        <v>49</v>
      </c>
      <c r="F391" t="s">
        <v>50</v>
      </c>
      <c r="G391">
        <v>15</v>
      </c>
      <c r="H391">
        <v>75000</v>
      </c>
      <c r="I391">
        <v>45332</v>
      </c>
      <c r="J391" t="s">
        <v>45</v>
      </c>
      <c r="K391" t="s">
        <v>17</v>
      </c>
      <c r="L391">
        <f>SUM(Clean_Data[[#This Row],[Units_Sold]]*Clean_Data[[#This Row],[Unit_Price]])</f>
        <v>1125000</v>
      </c>
      <c r="M391">
        <f>Clean_Data[[#This Row],[Units_Sold]]*Clean_Data[[#This Row],[Cost_Price]]</f>
        <v>679980</v>
      </c>
      <c r="N391">
        <f>Clean_Data[[#This Row],[Total_Sales]]-Clean_Data[[#This Row],[Total_Cost]]</f>
        <v>445020</v>
      </c>
      <c r="O391" s="2">
        <f>Clean_Data[[#This Row],[Profit]]/Clean_Data[[#This Row],[Total_Sales]]</f>
        <v>0.39557333333333333</v>
      </c>
      <c r="P391" t="str">
        <f>_xlfn.XLOOKUP(Clean_Data[[#This Row],[Product_Code]],Product_Catalog!A:A,Product_Catalog!C:C)</f>
        <v>Electronics</v>
      </c>
      <c r="Q391">
        <f>IF(Clean_Data[[#This Row],[Order_Date]]="","",YEAR(Clean_Data[[#This Row],[Order_Date]]))</f>
        <v>2025</v>
      </c>
      <c r="R391" t="str">
        <f>TEXT(Clean_Data[[#This Row],[Order_Date]],"mmm")</f>
        <v>Aug</v>
      </c>
      <c r="S391" t="str">
        <f>TEXT(Clean_Data[[#This Row],[Order_Date]],"mmm-yy")</f>
        <v>Aug-25</v>
      </c>
      <c r="V391"/>
    </row>
    <row r="392" spans="1:22" x14ac:dyDescent="0.25">
      <c r="A392" t="s">
        <v>451</v>
      </c>
      <c r="B392" s="1">
        <v>45694</v>
      </c>
      <c r="C392" t="s">
        <v>73</v>
      </c>
      <c r="D392" t="s">
        <v>40</v>
      </c>
      <c r="E392" t="s">
        <v>66</v>
      </c>
      <c r="F392" t="s">
        <v>67</v>
      </c>
      <c r="G392">
        <v>1</v>
      </c>
      <c r="H392">
        <v>2500</v>
      </c>
      <c r="I392">
        <v>1996</v>
      </c>
      <c r="J392" t="s">
        <v>29</v>
      </c>
      <c r="K392" t="s">
        <v>46</v>
      </c>
      <c r="L392">
        <f>SUM(Clean_Data[[#This Row],[Units_Sold]]*Clean_Data[[#This Row],[Unit_Price]])</f>
        <v>2500</v>
      </c>
      <c r="M392">
        <f>Clean_Data[[#This Row],[Units_Sold]]*Clean_Data[[#This Row],[Cost_Price]]</f>
        <v>1996</v>
      </c>
      <c r="N392">
        <f>Clean_Data[[#This Row],[Total_Sales]]-Clean_Data[[#This Row],[Total_Cost]]</f>
        <v>504</v>
      </c>
      <c r="O392" s="2">
        <f>Clean_Data[[#This Row],[Profit]]/Clean_Data[[#This Row],[Total_Sales]]</f>
        <v>0.2016</v>
      </c>
      <c r="P392" t="str">
        <f>_xlfn.XLOOKUP(Clean_Data[[#This Row],[Product_Code]],Product_Catalog!A:A,Product_Catalog!C:C)</f>
        <v>Electronics</v>
      </c>
      <c r="Q392">
        <f>IF(Clean_Data[[#This Row],[Order_Date]]="","",YEAR(Clean_Data[[#This Row],[Order_Date]]))</f>
        <v>2025</v>
      </c>
      <c r="R392" t="str">
        <f>TEXT(Clean_Data[[#This Row],[Order_Date]],"mmm")</f>
        <v>Feb</v>
      </c>
      <c r="S392" t="str">
        <f>TEXT(Clean_Data[[#This Row],[Order_Date]],"mmm-yy")</f>
        <v>Feb-25</v>
      </c>
      <c r="V392"/>
    </row>
    <row r="393" spans="1:22" x14ac:dyDescent="0.25">
      <c r="A393" t="s">
        <v>452</v>
      </c>
      <c r="B393" s="1">
        <v>46011</v>
      </c>
      <c r="C393" t="s">
        <v>48</v>
      </c>
      <c r="D393" t="s">
        <v>26</v>
      </c>
      <c r="E393" t="s">
        <v>55</v>
      </c>
      <c r="F393" t="s">
        <v>34</v>
      </c>
      <c r="G393">
        <v>1</v>
      </c>
      <c r="H393">
        <v>35000</v>
      </c>
      <c r="I393">
        <v>21132</v>
      </c>
      <c r="J393" t="s">
        <v>45</v>
      </c>
      <c r="K393" t="s">
        <v>23</v>
      </c>
      <c r="L393">
        <f>SUM(Clean_Data[[#This Row],[Units_Sold]]*Clean_Data[[#This Row],[Unit_Price]])</f>
        <v>35000</v>
      </c>
      <c r="M393">
        <f>Clean_Data[[#This Row],[Units_Sold]]*Clean_Data[[#This Row],[Cost_Price]]</f>
        <v>21132</v>
      </c>
      <c r="N393">
        <f>Clean_Data[[#This Row],[Total_Sales]]-Clean_Data[[#This Row],[Total_Cost]]</f>
        <v>13868</v>
      </c>
      <c r="O393" s="2">
        <f>Clean_Data[[#This Row],[Profit]]/Clean_Data[[#This Row],[Total_Sales]]</f>
        <v>0.39622857142857143</v>
      </c>
      <c r="P393" t="str">
        <f>_xlfn.XLOOKUP(Clean_Data[[#This Row],[Product_Code]],Product_Catalog!A:A,Product_Catalog!C:C)</f>
        <v>Furniture</v>
      </c>
      <c r="Q393">
        <f>IF(Clean_Data[[#This Row],[Order_Date]]="","",YEAR(Clean_Data[[#This Row],[Order_Date]]))</f>
        <v>2025</v>
      </c>
      <c r="R393" t="str">
        <f>TEXT(Clean_Data[[#This Row],[Order_Date]],"mmm")</f>
        <v>Dec</v>
      </c>
      <c r="S393" t="str">
        <f>TEXT(Clean_Data[[#This Row],[Order_Date]],"mmm-yy")</f>
        <v>Dec-25</v>
      </c>
      <c r="V393"/>
    </row>
    <row r="394" spans="1:22" x14ac:dyDescent="0.25">
      <c r="A394" t="s">
        <v>453</v>
      </c>
      <c r="B394" s="1">
        <v>46248</v>
      </c>
      <c r="C394" t="s">
        <v>48</v>
      </c>
      <c r="D394" t="s">
        <v>36</v>
      </c>
      <c r="E394" t="s">
        <v>14</v>
      </c>
      <c r="F394" t="s">
        <v>15</v>
      </c>
      <c r="G394">
        <v>10</v>
      </c>
      <c r="H394">
        <v>12500</v>
      </c>
      <c r="I394">
        <v>8337</v>
      </c>
      <c r="J394" t="s">
        <v>22</v>
      </c>
      <c r="K394" t="s">
        <v>46</v>
      </c>
      <c r="L394">
        <f>SUM(Clean_Data[[#This Row],[Units_Sold]]*Clean_Data[[#This Row],[Unit_Price]])</f>
        <v>125000</v>
      </c>
      <c r="M394">
        <f>Clean_Data[[#This Row],[Units_Sold]]*Clean_Data[[#This Row],[Cost_Price]]</f>
        <v>83370</v>
      </c>
      <c r="N394">
        <f>Clean_Data[[#This Row],[Total_Sales]]-Clean_Data[[#This Row],[Total_Cost]]</f>
        <v>41630</v>
      </c>
      <c r="O394" s="2">
        <f>Clean_Data[[#This Row],[Profit]]/Clean_Data[[#This Row],[Total_Sales]]</f>
        <v>0.33304</v>
      </c>
      <c r="P394" t="str">
        <f>_xlfn.XLOOKUP(Clean_Data[[#This Row],[Product_Code]],Product_Catalog!A:A,Product_Catalog!C:C)</f>
        <v>Accessories</v>
      </c>
      <c r="Q394">
        <f>IF(Clean_Data[[#This Row],[Order_Date]]="","",YEAR(Clean_Data[[#This Row],[Order_Date]]))</f>
        <v>2026</v>
      </c>
      <c r="R394" t="str">
        <f>TEXT(Clean_Data[[#This Row],[Order_Date]],"mmm")</f>
        <v>Aug</v>
      </c>
      <c r="S394" t="str">
        <f>TEXT(Clean_Data[[#This Row],[Order_Date]],"mmm-yy")</f>
        <v>Aug-26</v>
      </c>
      <c r="V394"/>
    </row>
    <row r="395" spans="1:22" x14ac:dyDescent="0.25">
      <c r="A395" t="s">
        <v>454</v>
      </c>
      <c r="B395" s="1">
        <v>45681</v>
      </c>
      <c r="C395" t="s">
        <v>19</v>
      </c>
      <c r="D395" t="s">
        <v>36</v>
      </c>
      <c r="E395" t="s">
        <v>66</v>
      </c>
      <c r="F395" t="s">
        <v>67</v>
      </c>
      <c r="G395">
        <v>15</v>
      </c>
      <c r="H395">
        <v>2500</v>
      </c>
      <c r="I395">
        <v>1668</v>
      </c>
      <c r="J395" t="s">
        <v>22</v>
      </c>
      <c r="K395" t="s">
        <v>23</v>
      </c>
      <c r="L395">
        <f>SUM(Clean_Data[[#This Row],[Units_Sold]]*Clean_Data[[#This Row],[Unit_Price]])</f>
        <v>37500</v>
      </c>
      <c r="M395">
        <f>Clean_Data[[#This Row],[Units_Sold]]*Clean_Data[[#This Row],[Cost_Price]]</f>
        <v>25020</v>
      </c>
      <c r="N395">
        <f>Clean_Data[[#This Row],[Total_Sales]]-Clean_Data[[#This Row],[Total_Cost]]</f>
        <v>12480</v>
      </c>
      <c r="O395" s="2">
        <f>Clean_Data[[#This Row],[Profit]]/Clean_Data[[#This Row],[Total_Sales]]</f>
        <v>0.33279999999999998</v>
      </c>
      <c r="P395" t="str">
        <f>_xlfn.XLOOKUP(Clean_Data[[#This Row],[Product_Code]],Product_Catalog!A:A,Product_Catalog!C:C)</f>
        <v>Electronics</v>
      </c>
      <c r="Q395">
        <f>IF(Clean_Data[[#This Row],[Order_Date]]="","",YEAR(Clean_Data[[#This Row],[Order_Date]]))</f>
        <v>2025</v>
      </c>
      <c r="R395" t="str">
        <f>TEXT(Clean_Data[[#This Row],[Order_Date]],"mmm")</f>
        <v>Jan</v>
      </c>
      <c r="S395" t="str">
        <f>TEXT(Clean_Data[[#This Row],[Order_Date]],"mmm-yy")</f>
        <v>Jan-25</v>
      </c>
      <c r="V395"/>
    </row>
    <row r="396" spans="1:22" x14ac:dyDescent="0.25">
      <c r="A396" t="s">
        <v>455</v>
      </c>
      <c r="B396" s="1">
        <v>46226</v>
      </c>
      <c r="C396" t="s">
        <v>19</v>
      </c>
      <c r="D396" t="s">
        <v>26</v>
      </c>
      <c r="E396" t="s">
        <v>20</v>
      </c>
      <c r="F396" t="s">
        <v>21</v>
      </c>
      <c r="G396">
        <v>13</v>
      </c>
      <c r="H396">
        <v>8500</v>
      </c>
      <c r="I396">
        <v>5389</v>
      </c>
      <c r="J396" t="s">
        <v>29</v>
      </c>
      <c r="K396" t="s">
        <v>23</v>
      </c>
      <c r="L396">
        <f>SUM(Clean_Data[[#This Row],[Units_Sold]]*Clean_Data[[#This Row],[Unit_Price]])</f>
        <v>110500</v>
      </c>
      <c r="M396">
        <f>Clean_Data[[#This Row],[Units_Sold]]*Clean_Data[[#This Row],[Cost_Price]]</f>
        <v>70057</v>
      </c>
      <c r="N396">
        <f>Clean_Data[[#This Row],[Total_Sales]]-Clean_Data[[#This Row],[Total_Cost]]</f>
        <v>40443</v>
      </c>
      <c r="O396" s="2">
        <f>Clean_Data[[#This Row],[Profit]]/Clean_Data[[#This Row],[Total_Sales]]</f>
        <v>0.36599999999999999</v>
      </c>
      <c r="P396" t="str">
        <f>_xlfn.XLOOKUP(Clean_Data[[#This Row],[Product_Code]],Product_Catalog!A:A,Product_Catalog!C:C)</f>
        <v>Accessories</v>
      </c>
      <c r="Q396">
        <f>IF(Clean_Data[[#This Row],[Order_Date]]="","",YEAR(Clean_Data[[#This Row],[Order_Date]]))</f>
        <v>2026</v>
      </c>
      <c r="R396" t="str">
        <f>TEXT(Clean_Data[[#This Row],[Order_Date]],"mmm")</f>
        <v>Jul</v>
      </c>
      <c r="S396" t="str">
        <f>TEXT(Clean_Data[[#This Row],[Order_Date]],"mmm-yy")</f>
        <v>Jul-26</v>
      </c>
      <c r="V396"/>
    </row>
    <row r="397" spans="1:22" x14ac:dyDescent="0.25">
      <c r="A397" t="s">
        <v>456</v>
      </c>
      <c r="B397" s="1">
        <v>46002</v>
      </c>
      <c r="C397" t="s">
        <v>44</v>
      </c>
      <c r="D397" t="s">
        <v>13</v>
      </c>
      <c r="E397" t="s">
        <v>49</v>
      </c>
      <c r="F397" t="s">
        <v>50</v>
      </c>
      <c r="G397">
        <v>1</v>
      </c>
      <c r="H397">
        <v>75000</v>
      </c>
      <c r="I397">
        <v>53973</v>
      </c>
      <c r="J397" t="s">
        <v>29</v>
      </c>
      <c r="K397" t="s">
        <v>23</v>
      </c>
      <c r="L397">
        <f>SUM(Clean_Data[[#This Row],[Units_Sold]]*Clean_Data[[#This Row],[Unit_Price]])</f>
        <v>75000</v>
      </c>
      <c r="M397">
        <f>Clean_Data[[#This Row],[Units_Sold]]*Clean_Data[[#This Row],[Cost_Price]]</f>
        <v>53973</v>
      </c>
      <c r="N397">
        <f>Clean_Data[[#This Row],[Total_Sales]]-Clean_Data[[#This Row],[Total_Cost]]</f>
        <v>21027</v>
      </c>
      <c r="O397" s="2">
        <f>Clean_Data[[#This Row],[Profit]]/Clean_Data[[#This Row],[Total_Sales]]</f>
        <v>0.28036</v>
      </c>
      <c r="P397" t="str">
        <f>_xlfn.XLOOKUP(Clean_Data[[#This Row],[Product_Code]],Product_Catalog!A:A,Product_Catalog!C:C)</f>
        <v>Electronics</v>
      </c>
      <c r="Q397">
        <f>IF(Clean_Data[[#This Row],[Order_Date]]="","",YEAR(Clean_Data[[#This Row],[Order_Date]]))</f>
        <v>2025</v>
      </c>
      <c r="R397" t="str">
        <f>TEXT(Clean_Data[[#This Row],[Order_Date]],"mmm")</f>
        <v>Dec</v>
      </c>
      <c r="S397" t="str">
        <f>TEXT(Clean_Data[[#This Row],[Order_Date]],"mmm-yy")</f>
        <v>Dec-25</v>
      </c>
      <c r="V397"/>
    </row>
    <row r="398" spans="1:22" x14ac:dyDescent="0.25">
      <c r="A398" t="s">
        <v>457</v>
      </c>
      <c r="B398" s="1">
        <v>46028</v>
      </c>
      <c r="C398" t="s">
        <v>25</v>
      </c>
      <c r="D398" t="s">
        <v>13</v>
      </c>
      <c r="E398" t="s">
        <v>20</v>
      </c>
      <c r="F398" t="s">
        <v>21</v>
      </c>
      <c r="G398">
        <v>10</v>
      </c>
      <c r="H398">
        <v>8500</v>
      </c>
      <c r="I398">
        <v>5759</v>
      </c>
      <c r="J398" t="s">
        <v>16</v>
      </c>
      <c r="K398" t="s">
        <v>17</v>
      </c>
      <c r="L398">
        <f>SUM(Clean_Data[[#This Row],[Units_Sold]]*Clean_Data[[#This Row],[Unit_Price]])</f>
        <v>85000</v>
      </c>
      <c r="M398">
        <f>Clean_Data[[#This Row],[Units_Sold]]*Clean_Data[[#This Row],[Cost_Price]]</f>
        <v>57590</v>
      </c>
      <c r="N398">
        <f>Clean_Data[[#This Row],[Total_Sales]]-Clean_Data[[#This Row],[Total_Cost]]</f>
        <v>27410</v>
      </c>
      <c r="O398" s="2">
        <f>Clean_Data[[#This Row],[Profit]]/Clean_Data[[#This Row],[Total_Sales]]</f>
        <v>0.32247058823529412</v>
      </c>
      <c r="P398" t="str">
        <f>_xlfn.XLOOKUP(Clean_Data[[#This Row],[Product_Code]],Product_Catalog!A:A,Product_Catalog!C:C)</f>
        <v>Accessories</v>
      </c>
      <c r="Q398">
        <f>IF(Clean_Data[[#This Row],[Order_Date]]="","",YEAR(Clean_Data[[#This Row],[Order_Date]]))</f>
        <v>2026</v>
      </c>
      <c r="R398" t="str">
        <f>TEXT(Clean_Data[[#This Row],[Order_Date]],"mmm")</f>
        <v>Jan</v>
      </c>
      <c r="S398" t="str">
        <f>TEXT(Clean_Data[[#This Row],[Order_Date]],"mmm-yy")</f>
        <v>Jan-26</v>
      </c>
      <c r="V398"/>
    </row>
    <row r="399" spans="1:22" x14ac:dyDescent="0.25">
      <c r="A399" t="s">
        <v>458</v>
      </c>
      <c r="B399" s="1">
        <v>46192</v>
      </c>
      <c r="C399" t="s">
        <v>44</v>
      </c>
      <c r="D399" t="s">
        <v>13</v>
      </c>
      <c r="E399" t="s">
        <v>55</v>
      </c>
      <c r="F399" t="s">
        <v>34</v>
      </c>
      <c r="G399">
        <v>12</v>
      </c>
      <c r="H399">
        <v>35000</v>
      </c>
      <c r="I399">
        <v>26842</v>
      </c>
      <c r="J399" t="s">
        <v>22</v>
      </c>
      <c r="K399" t="s">
        <v>17</v>
      </c>
      <c r="L399">
        <f>SUM(Clean_Data[[#This Row],[Units_Sold]]*Clean_Data[[#This Row],[Unit_Price]])</f>
        <v>420000</v>
      </c>
      <c r="M399">
        <f>Clean_Data[[#This Row],[Units_Sold]]*Clean_Data[[#This Row],[Cost_Price]]</f>
        <v>322104</v>
      </c>
      <c r="N399">
        <f>Clean_Data[[#This Row],[Total_Sales]]-Clean_Data[[#This Row],[Total_Cost]]</f>
        <v>97896</v>
      </c>
      <c r="O399" s="2">
        <f>Clean_Data[[#This Row],[Profit]]/Clean_Data[[#This Row],[Total_Sales]]</f>
        <v>0.23308571428571428</v>
      </c>
      <c r="P399" t="str">
        <f>_xlfn.XLOOKUP(Clean_Data[[#This Row],[Product_Code]],Product_Catalog!A:A,Product_Catalog!C:C)</f>
        <v>Furniture</v>
      </c>
      <c r="Q399">
        <f>IF(Clean_Data[[#This Row],[Order_Date]]="","",YEAR(Clean_Data[[#This Row],[Order_Date]]))</f>
        <v>2026</v>
      </c>
      <c r="R399" t="str">
        <f>TEXT(Clean_Data[[#This Row],[Order_Date]],"mmm")</f>
        <v>Jun</v>
      </c>
      <c r="S399" t="str">
        <f>TEXT(Clean_Data[[#This Row],[Order_Date]],"mmm-yy")</f>
        <v>Jun-26</v>
      </c>
      <c r="V399"/>
    </row>
    <row r="400" spans="1:22" x14ac:dyDescent="0.25">
      <c r="A400" t="s">
        <v>459</v>
      </c>
      <c r="B400" s="1">
        <v>45922</v>
      </c>
      <c r="C400" t="s">
        <v>44</v>
      </c>
      <c r="D400" t="s">
        <v>26</v>
      </c>
      <c r="E400" t="s">
        <v>55</v>
      </c>
      <c r="F400" t="s">
        <v>34</v>
      </c>
      <c r="G400">
        <v>5</v>
      </c>
      <c r="H400">
        <v>35000</v>
      </c>
      <c r="I400">
        <v>24637</v>
      </c>
      <c r="J400" t="s">
        <v>29</v>
      </c>
      <c r="K400" t="s">
        <v>23</v>
      </c>
      <c r="L400">
        <f>SUM(Clean_Data[[#This Row],[Units_Sold]]*Clean_Data[[#This Row],[Unit_Price]])</f>
        <v>175000</v>
      </c>
      <c r="M400">
        <f>Clean_Data[[#This Row],[Units_Sold]]*Clean_Data[[#This Row],[Cost_Price]]</f>
        <v>123185</v>
      </c>
      <c r="N400">
        <f>Clean_Data[[#This Row],[Total_Sales]]-Clean_Data[[#This Row],[Total_Cost]]</f>
        <v>51815</v>
      </c>
      <c r="O400" s="2">
        <f>Clean_Data[[#This Row],[Profit]]/Clean_Data[[#This Row],[Total_Sales]]</f>
        <v>0.29608571428571429</v>
      </c>
      <c r="P400" t="str">
        <f>_xlfn.XLOOKUP(Clean_Data[[#This Row],[Product_Code]],Product_Catalog!A:A,Product_Catalog!C:C)</f>
        <v>Furniture</v>
      </c>
      <c r="Q400">
        <f>IF(Clean_Data[[#This Row],[Order_Date]]="","",YEAR(Clean_Data[[#This Row],[Order_Date]]))</f>
        <v>2025</v>
      </c>
      <c r="R400" t="str">
        <f>TEXT(Clean_Data[[#This Row],[Order_Date]],"mmm")</f>
        <v>Sep</v>
      </c>
      <c r="S400" t="str">
        <f>TEXT(Clean_Data[[#This Row],[Order_Date]],"mmm-yy")</f>
        <v>Sep-25</v>
      </c>
      <c r="V400"/>
    </row>
    <row r="401" spans="1:22" x14ac:dyDescent="0.25">
      <c r="A401" t="s">
        <v>460</v>
      </c>
      <c r="B401" s="1">
        <v>45900</v>
      </c>
      <c r="C401" t="s">
        <v>53</v>
      </c>
      <c r="D401" t="s">
        <v>33</v>
      </c>
      <c r="E401" t="s">
        <v>37</v>
      </c>
      <c r="F401" t="s">
        <v>38</v>
      </c>
      <c r="G401">
        <v>19</v>
      </c>
      <c r="H401">
        <v>55000</v>
      </c>
      <c r="I401">
        <v>35132</v>
      </c>
      <c r="J401" t="s">
        <v>22</v>
      </c>
      <c r="K401" t="s">
        <v>46</v>
      </c>
      <c r="L401">
        <f>SUM(Clean_Data[[#This Row],[Units_Sold]]*Clean_Data[[#This Row],[Unit_Price]])</f>
        <v>1045000</v>
      </c>
      <c r="M401">
        <f>Clean_Data[[#This Row],[Units_Sold]]*Clean_Data[[#This Row],[Cost_Price]]</f>
        <v>667508</v>
      </c>
      <c r="N401">
        <f>Clean_Data[[#This Row],[Total_Sales]]-Clean_Data[[#This Row],[Total_Cost]]</f>
        <v>377492</v>
      </c>
      <c r="O401" s="2">
        <f>Clean_Data[[#This Row],[Profit]]/Clean_Data[[#This Row],[Total_Sales]]</f>
        <v>0.36123636363636363</v>
      </c>
      <c r="P401" t="str">
        <f>_xlfn.XLOOKUP(Clean_Data[[#This Row],[Product_Code]],Product_Catalog!A:A,Product_Catalog!C:C)</f>
        <v>Electronics</v>
      </c>
      <c r="Q401">
        <f>IF(Clean_Data[[#This Row],[Order_Date]]="","",YEAR(Clean_Data[[#This Row],[Order_Date]]))</f>
        <v>2025</v>
      </c>
      <c r="R401" t="str">
        <f>TEXT(Clean_Data[[#This Row],[Order_Date]],"mmm")</f>
        <v>Aug</v>
      </c>
      <c r="S401" t="str">
        <f>TEXT(Clean_Data[[#This Row],[Order_Date]],"mmm-yy")</f>
        <v>Aug-25</v>
      </c>
      <c r="V401"/>
    </row>
    <row r="402" spans="1:22" x14ac:dyDescent="0.25">
      <c r="A402" t="s">
        <v>461</v>
      </c>
      <c r="B402" s="1">
        <v>45876</v>
      </c>
      <c r="C402" t="s">
        <v>12</v>
      </c>
      <c r="D402" t="s">
        <v>40</v>
      </c>
      <c r="E402" t="s">
        <v>27</v>
      </c>
      <c r="F402" t="s">
        <v>28</v>
      </c>
      <c r="G402">
        <v>15</v>
      </c>
      <c r="H402">
        <v>14000</v>
      </c>
      <c r="I402">
        <v>8829</v>
      </c>
      <c r="J402" t="s">
        <v>16</v>
      </c>
      <c r="K402" t="s">
        <v>17</v>
      </c>
      <c r="L402">
        <f>SUM(Clean_Data[[#This Row],[Units_Sold]]*Clean_Data[[#This Row],[Unit_Price]])</f>
        <v>210000</v>
      </c>
      <c r="M402">
        <f>Clean_Data[[#This Row],[Units_Sold]]*Clean_Data[[#This Row],[Cost_Price]]</f>
        <v>132435</v>
      </c>
      <c r="N402">
        <f>Clean_Data[[#This Row],[Total_Sales]]-Clean_Data[[#This Row],[Total_Cost]]</f>
        <v>77565</v>
      </c>
      <c r="O402" s="2">
        <f>Clean_Data[[#This Row],[Profit]]/Clean_Data[[#This Row],[Total_Sales]]</f>
        <v>0.36935714285714288</v>
      </c>
      <c r="P402" t="str">
        <f>_xlfn.XLOOKUP(Clean_Data[[#This Row],[Product_Code]],Product_Catalog!A:A,Product_Catalog!C:C)</f>
        <v>Furniture</v>
      </c>
      <c r="Q402">
        <f>IF(Clean_Data[[#This Row],[Order_Date]]="","",YEAR(Clean_Data[[#This Row],[Order_Date]]))</f>
        <v>2025</v>
      </c>
      <c r="R402" t="str">
        <f>TEXT(Clean_Data[[#This Row],[Order_Date]],"mmm")</f>
        <v>Aug</v>
      </c>
      <c r="S402" t="str">
        <f>TEXT(Clean_Data[[#This Row],[Order_Date]],"mmm-yy")</f>
        <v>Aug-25</v>
      </c>
      <c r="V402"/>
    </row>
    <row r="403" spans="1:22" x14ac:dyDescent="0.25">
      <c r="A403" t="s">
        <v>462</v>
      </c>
      <c r="B403" s="1">
        <v>45735</v>
      </c>
      <c r="C403" t="s">
        <v>25</v>
      </c>
      <c r="D403" t="s">
        <v>13</v>
      </c>
      <c r="E403" t="s">
        <v>41</v>
      </c>
      <c r="F403" t="s">
        <v>42</v>
      </c>
      <c r="G403">
        <v>10</v>
      </c>
      <c r="H403">
        <v>28000</v>
      </c>
      <c r="I403">
        <v>17843</v>
      </c>
      <c r="J403" t="s">
        <v>29</v>
      </c>
      <c r="K403" t="s">
        <v>23</v>
      </c>
      <c r="L403">
        <f>SUM(Clean_Data[[#This Row],[Units_Sold]]*Clean_Data[[#This Row],[Unit_Price]])</f>
        <v>280000</v>
      </c>
      <c r="M403">
        <f>Clean_Data[[#This Row],[Units_Sold]]*Clean_Data[[#This Row],[Cost_Price]]</f>
        <v>178430</v>
      </c>
      <c r="N403">
        <f>Clean_Data[[#This Row],[Total_Sales]]-Clean_Data[[#This Row],[Total_Cost]]</f>
        <v>101570</v>
      </c>
      <c r="O403" s="2">
        <f>Clean_Data[[#This Row],[Profit]]/Clean_Data[[#This Row],[Total_Sales]]</f>
        <v>0.36275000000000002</v>
      </c>
      <c r="P403" t="str">
        <f>_xlfn.XLOOKUP(Clean_Data[[#This Row],[Product_Code]],Product_Catalog!A:A,Product_Catalog!C:C)</f>
        <v>Electronics</v>
      </c>
      <c r="Q403">
        <f>IF(Clean_Data[[#This Row],[Order_Date]]="","",YEAR(Clean_Data[[#This Row],[Order_Date]]))</f>
        <v>2025</v>
      </c>
      <c r="R403" t="str">
        <f>TEXT(Clean_Data[[#This Row],[Order_Date]],"mmm")</f>
        <v>Mar</v>
      </c>
      <c r="S403" t="str">
        <f>TEXT(Clean_Data[[#This Row],[Order_Date]],"mmm-yy")</f>
        <v>Mar-25</v>
      </c>
      <c r="V403"/>
    </row>
    <row r="404" spans="1:22" x14ac:dyDescent="0.25">
      <c r="A404" t="s">
        <v>463</v>
      </c>
      <c r="B404" s="1">
        <v>46135</v>
      </c>
      <c r="C404" t="s">
        <v>73</v>
      </c>
      <c r="D404" t="s">
        <v>13</v>
      </c>
      <c r="E404" t="s">
        <v>66</v>
      </c>
      <c r="F404" t="s">
        <v>67</v>
      </c>
      <c r="G404">
        <v>8</v>
      </c>
      <c r="H404">
        <v>2500</v>
      </c>
      <c r="I404">
        <v>1917</v>
      </c>
      <c r="J404" t="s">
        <v>29</v>
      </c>
      <c r="K404" t="s">
        <v>23</v>
      </c>
      <c r="L404">
        <f>SUM(Clean_Data[[#This Row],[Units_Sold]]*Clean_Data[[#This Row],[Unit_Price]])</f>
        <v>20000</v>
      </c>
      <c r="M404">
        <f>Clean_Data[[#This Row],[Units_Sold]]*Clean_Data[[#This Row],[Cost_Price]]</f>
        <v>15336</v>
      </c>
      <c r="N404">
        <f>Clean_Data[[#This Row],[Total_Sales]]-Clean_Data[[#This Row],[Total_Cost]]</f>
        <v>4664</v>
      </c>
      <c r="O404" s="2">
        <f>Clean_Data[[#This Row],[Profit]]/Clean_Data[[#This Row],[Total_Sales]]</f>
        <v>0.23319999999999999</v>
      </c>
      <c r="P404" t="str">
        <f>_xlfn.XLOOKUP(Clean_Data[[#This Row],[Product_Code]],Product_Catalog!A:A,Product_Catalog!C:C)</f>
        <v>Electronics</v>
      </c>
      <c r="Q404">
        <f>IF(Clean_Data[[#This Row],[Order_Date]]="","",YEAR(Clean_Data[[#This Row],[Order_Date]]))</f>
        <v>2026</v>
      </c>
      <c r="R404" t="str">
        <f>TEXT(Clean_Data[[#This Row],[Order_Date]],"mmm")</f>
        <v>Apr</v>
      </c>
      <c r="S404" t="str">
        <f>TEXT(Clean_Data[[#This Row],[Order_Date]],"mmm-yy")</f>
        <v>Apr-26</v>
      </c>
      <c r="V404"/>
    </row>
    <row r="405" spans="1:22" x14ac:dyDescent="0.25">
      <c r="A405" t="s">
        <v>465</v>
      </c>
      <c r="B405" s="1">
        <v>45798</v>
      </c>
      <c r="C405" t="s">
        <v>12</v>
      </c>
      <c r="D405" t="s">
        <v>40</v>
      </c>
      <c r="E405" t="s">
        <v>27</v>
      </c>
      <c r="F405" t="s">
        <v>28</v>
      </c>
      <c r="G405">
        <v>13</v>
      </c>
      <c r="H405">
        <v>14000</v>
      </c>
      <c r="I405">
        <v>9991</v>
      </c>
      <c r="J405" t="s">
        <v>29</v>
      </c>
      <c r="K405" t="s">
        <v>17</v>
      </c>
      <c r="L405">
        <f>SUM(Clean_Data[[#This Row],[Units_Sold]]*Clean_Data[[#This Row],[Unit_Price]])</f>
        <v>182000</v>
      </c>
      <c r="M405">
        <f>Clean_Data[[#This Row],[Units_Sold]]*Clean_Data[[#This Row],[Cost_Price]]</f>
        <v>129883</v>
      </c>
      <c r="N405">
        <f>Clean_Data[[#This Row],[Total_Sales]]-Clean_Data[[#This Row],[Total_Cost]]</f>
        <v>52117</v>
      </c>
      <c r="O405" s="2">
        <f>Clean_Data[[#This Row],[Profit]]/Clean_Data[[#This Row],[Total_Sales]]</f>
        <v>0.28635714285714287</v>
      </c>
      <c r="P405" t="str">
        <f>_xlfn.XLOOKUP(Clean_Data[[#This Row],[Product_Code]],Product_Catalog!A:A,Product_Catalog!C:C)</f>
        <v>Furniture</v>
      </c>
      <c r="Q405">
        <f>IF(Clean_Data[[#This Row],[Order_Date]]="","",YEAR(Clean_Data[[#This Row],[Order_Date]]))</f>
        <v>2025</v>
      </c>
      <c r="R405" t="str">
        <f>TEXT(Clean_Data[[#This Row],[Order_Date]],"mmm")</f>
        <v>May</v>
      </c>
      <c r="S405" t="str">
        <f>TEXT(Clean_Data[[#This Row],[Order_Date]],"mmm-yy")</f>
        <v>May-25</v>
      </c>
      <c r="V405"/>
    </row>
    <row r="406" spans="1:22" x14ac:dyDescent="0.25">
      <c r="A406" t="s">
        <v>466</v>
      </c>
      <c r="B406" s="1">
        <v>46063</v>
      </c>
      <c r="C406" t="s">
        <v>73</v>
      </c>
      <c r="D406" t="s">
        <v>40</v>
      </c>
      <c r="E406" t="s">
        <v>27</v>
      </c>
      <c r="F406" t="s">
        <v>28</v>
      </c>
      <c r="G406">
        <v>17</v>
      </c>
      <c r="H406">
        <v>14000</v>
      </c>
      <c r="I406">
        <v>10063</v>
      </c>
      <c r="J406" t="s">
        <v>16</v>
      </c>
      <c r="K406" t="s">
        <v>17</v>
      </c>
      <c r="L406">
        <f>SUM(Clean_Data[[#This Row],[Units_Sold]]*Clean_Data[[#This Row],[Unit_Price]])</f>
        <v>238000</v>
      </c>
      <c r="M406">
        <f>Clean_Data[[#This Row],[Units_Sold]]*Clean_Data[[#This Row],[Cost_Price]]</f>
        <v>171071</v>
      </c>
      <c r="N406">
        <f>Clean_Data[[#This Row],[Total_Sales]]-Clean_Data[[#This Row],[Total_Cost]]</f>
        <v>66929</v>
      </c>
      <c r="O406" s="2">
        <f>Clean_Data[[#This Row],[Profit]]/Clean_Data[[#This Row],[Total_Sales]]</f>
        <v>0.28121428571428569</v>
      </c>
      <c r="P406" t="str">
        <f>_xlfn.XLOOKUP(Clean_Data[[#This Row],[Product_Code]],Product_Catalog!A:A,Product_Catalog!C:C)</f>
        <v>Furniture</v>
      </c>
      <c r="Q406">
        <f>IF(Clean_Data[[#This Row],[Order_Date]]="","",YEAR(Clean_Data[[#This Row],[Order_Date]]))</f>
        <v>2026</v>
      </c>
      <c r="R406" t="str">
        <f>TEXT(Clean_Data[[#This Row],[Order_Date]],"mmm")</f>
        <v>Feb</v>
      </c>
      <c r="S406" t="str">
        <f>TEXT(Clean_Data[[#This Row],[Order_Date]],"mmm-yy")</f>
        <v>Feb-26</v>
      </c>
      <c r="V406"/>
    </row>
    <row r="407" spans="1:22" x14ac:dyDescent="0.25">
      <c r="A407" t="s">
        <v>467</v>
      </c>
      <c r="B407" s="1">
        <v>45986</v>
      </c>
      <c r="C407" t="s">
        <v>31</v>
      </c>
      <c r="D407" t="s">
        <v>33</v>
      </c>
      <c r="E407" t="s">
        <v>55</v>
      </c>
      <c r="F407" t="s">
        <v>34</v>
      </c>
      <c r="G407">
        <v>16</v>
      </c>
      <c r="H407">
        <v>35000</v>
      </c>
      <c r="I407">
        <v>21711</v>
      </c>
      <c r="J407" t="s">
        <v>22</v>
      </c>
      <c r="K407" t="s">
        <v>17</v>
      </c>
      <c r="L407">
        <f>SUM(Clean_Data[[#This Row],[Units_Sold]]*Clean_Data[[#This Row],[Unit_Price]])</f>
        <v>560000</v>
      </c>
      <c r="M407">
        <f>Clean_Data[[#This Row],[Units_Sold]]*Clean_Data[[#This Row],[Cost_Price]]</f>
        <v>347376</v>
      </c>
      <c r="N407">
        <f>Clean_Data[[#This Row],[Total_Sales]]-Clean_Data[[#This Row],[Total_Cost]]</f>
        <v>212624</v>
      </c>
      <c r="O407" s="2">
        <f>Clean_Data[[#This Row],[Profit]]/Clean_Data[[#This Row],[Total_Sales]]</f>
        <v>0.37968571428571429</v>
      </c>
      <c r="P407" t="str">
        <f>_xlfn.XLOOKUP(Clean_Data[[#This Row],[Product_Code]],Product_Catalog!A:A,Product_Catalog!C:C)</f>
        <v>Furniture</v>
      </c>
      <c r="Q407">
        <f>IF(Clean_Data[[#This Row],[Order_Date]]="","",YEAR(Clean_Data[[#This Row],[Order_Date]]))</f>
        <v>2025</v>
      </c>
      <c r="R407" t="str">
        <f>TEXT(Clean_Data[[#This Row],[Order_Date]],"mmm")</f>
        <v>Nov</v>
      </c>
      <c r="S407" t="str">
        <f>TEXT(Clean_Data[[#This Row],[Order_Date]],"mmm-yy")</f>
        <v>Nov-25</v>
      </c>
      <c r="V407"/>
    </row>
    <row r="408" spans="1:22" x14ac:dyDescent="0.25">
      <c r="A408" t="s">
        <v>468</v>
      </c>
      <c r="B408" s="1">
        <v>46137</v>
      </c>
      <c r="C408" t="s">
        <v>62</v>
      </c>
      <c r="D408" t="s">
        <v>13</v>
      </c>
      <c r="E408" t="s">
        <v>63</v>
      </c>
      <c r="F408" t="s">
        <v>59</v>
      </c>
      <c r="G408">
        <v>9</v>
      </c>
      <c r="H408">
        <v>4500</v>
      </c>
      <c r="I408">
        <v>3145</v>
      </c>
      <c r="J408" t="s">
        <v>29</v>
      </c>
      <c r="K408" t="s">
        <v>17</v>
      </c>
      <c r="L408">
        <f>SUM(Clean_Data[[#This Row],[Units_Sold]]*Clean_Data[[#This Row],[Unit_Price]])</f>
        <v>40500</v>
      </c>
      <c r="M408">
        <f>Clean_Data[[#This Row],[Units_Sold]]*Clean_Data[[#This Row],[Cost_Price]]</f>
        <v>28305</v>
      </c>
      <c r="N408">
        <f>Clean_Data[[#This Row],[Total_Sales]]-Clean_Data[[#This Row],[Total_Cost]]</f>
        <v>12195</v>
      </c>
      <c r="O408" s="2">
        <f>Clean_Data[[#This Row],[Profit]]/Clean_Data[[#This Row],[Total_Sales]]</f>
        <v>0.30111111111111111</v>
      </c>
      <c r="P408" t="str">
        <f>_xlfn.XLOOKUP(Clean_Data[[#This Row],[Product_Code]],Product_Catalog!A:A,Product_Catalog!C:C)</f>
        <v>Electronics</v>
      </c>
      <c r="Q408">
        <f>IF(Clean_Data[[#This Row],[Order_Date]]="","",YEAR(Clean_Data[[#This Row],[Order_Date]]))</f>
        <v>2026</v>
      </c>
      <c r="R408" t="str">
        <f>TEXT(Clean_Data[[#This Row],[Order_Date]],"mmm")</f>
        <v>Apr</v>
      </c>
      <c r="S408" t="str">
        <f>TEXT(Clean_Data[[#This Row],[Order_Date]],"mmm-yy")</f>
        <v>Apr-26</v>
      </c>
      <c r="V408"/>
    </row>
    <row r="409" spans="1:22" x14ac:dyDescent="0.25">
      <c r="A409" t="s">
        <v>469</v>
      </c>
      <c r="B409" s="1">
        <v>46144</v>
      </c>
      <c r="C409" t="s">
        <v>48</v>
      </c>
      <c r="D409" t="s">
        <v>36</v>
      </c>
      <c r="E409" t="s">
        <v>20</v>
      </c>
      <c r="F409" t="s">
        <v>21</v>
      </c>
      <c r="G409">
        <v>1</v>
      </c>
      <c r="H409">
        <v>8500</v>
      </c>
      <c r="I409">
        <v>6165</v>
      </c>
      <c r="J409" t="s">
        <v>22</v>
      </c>
      <c r="K409" t="s">
        <v>17</v>
      </c>
      <c r="L409">
        <f>SUM(Clean_Data[[#This Row],[Units_Sold]]*Clean_Data[[#This Row],[Unit_Price]])</f>
        <v>8500</v>
      </c>
      <c r="M409">
        <f>Clean_Data[[#This Row],[Units_Sold]]*Clean_Data[[#This Row],[Cost_Price]]</f>
        <v>6165</v>
      </c>
      <c r="N409">
        <f>Clean_Data[[#This Row],[Total_Sales]]-Clean_Data[[#This Row],[Total_Cost]]</f>
        <v>2335</v>
      </c>
      <c r="O409" s="2">
        <f>Clean_Data[[#This Row],[Profit]]/Clean_Data[[#This Row],[Total_Sales]]</f>
        <v>0.27470588235294119</v>
      </c>
      <c r="P409" t="str">
        <f>_xlfn.XLOOKUP(Clean_Data[[#This Row],[Product_Code]],Product_Catalog!A:A,Product_Catalog!C:C)</f>
        <v>Accessories</v>
      </c>
      <c r="Q409">
        <f>IF(Clean_Data[[#This Row],[Order_Date]]="","",YEAR(Clean_Data[[#This Row],[Order_Date]]))</f>
        <v>2026</v>
      </c>
      <c r="R409" t="str">
        <f>TEXT(Clean_Data[[#This Row],[Order_Date]],"mmm")</f>
        <v>May</v>
      </c>
      <c r="S409" t="str">
        <f>TEXT(Clean_Data[[#This Row],[Order_Date]],"mmm-yy")</f>
        <v>May-26</v>
      </c>
      <c r="V409"/>
    </row>
    <row r="410" spans="1:22" x14ac:dyDescent="0.25">
      <c r="A410" t="s">
        <v>470</v>
      </c>
      <c r="B410" s="1">
        <v>45707</v>
      </c>
      <c r="C410" t="s">
        <v>25</v>
      </c>
      <c r="D410" t="s">
        <v>33</v>
      </c>
      <c r="E410" t="s">
        <v>55</v>
      </c>
      <c r="F410" t="s">
        <v>34</v>
      </c>
      <c r="G410">
        <v>12</v>
      </c>
      <c r="H410">
        <v>35000</v>
      </c>
      <c r="I410">
        <v>24692</v>
      </c>
      <c r="J410" t="s">
        <v>16</v>
      </c>
      <c r="K410" t="s">
        <v>17</v>
      </c>
      <c r="L410">
        <f>SUM(Clean_Data[[#This Row],[Units_Sold]]*Clean_Data[[#This Row],[Unit_Price]])</f>
        <v>420000</v>
      </c>
      <c r="M410">
        <f>Clean_Data[[#This Row],[Units_Sold]]*Clean_Data[[#This Row],[Cost_Price]]</f>
        <v>296304</v>
      </c>
      <c r="N410">
        <f>Clean_Data[[#This Row],[Total_Sales]]-Clean_Data[[#This Row],[Total_Cost]]</f>
        <v>123696</v>
      </c>
      <c r="O410" s="2">
        <f>Clean_Data[[#This Row],[Profit]]/Clean_Data[[#This Row],[Total_Sales]]</f>
        <v>0.29451428571428573</v>
      </c>
      <c r="P410" t="str">
        <f>_xlfn.XLOOKUP(Clean_Data[[#This Row],[Product_Code]],Product_Catalog!A:A,Product_Catalog!C:C)</f>
        <v>Furniture</v>
      </c>
      <c r="Q410">
        <f>IF(Clean_Data[[#This Row],[Order_Date]]="","",YEAR(Clean_Data[[#This Row],[Order_Date]]))</f>
        <v>2025</v>
      </c>
      <c r="R410" t="str">
        <f>TEXT(Clean_Data[[#This Row],[Order_Date]],"mmm")</f>
        <v>Feb</v>
      </c>
      <c r="S410" t="str">
        <f>TEXT(Clean_Data[[#This Row],[Order_Date]],"mmm-yy")</f>
        <v>Feb-25</v>
      </c>
      <c r="V410"/>
    </row>
    <row r="411" spans="1:22" x14ac:dyDescent="0.25">
      <c r="A411" t="s">
        <v>471</v>
      </c>
      <c r="B411" s="1">
        <v>45721</v>
      </c>
      <c r="C411" t="s">
        <v>62</v>
      </c>
      <c r="D411" t="s">
        <v>40</v>
      </c>
      <c r="E411" t="s">
        <v>37</v>
      </c>
      <c r="F411" t="s">
        <v>38</v>
      </c>
      <c r="G411">
        <v>11</v>
      </c>
      <c r="H411">
        <v>55000</v>
      </c>
      <c r="I411">
        <v>34585</v>
      </c>
      <c r="J411" t="s">
        <v>22</v>
      </c>
      <c r="K411" t="s">
        <v>23</v>
      </c>
      <c r="L411">
        <f>SUM(Clean_Data[[#This Row],[Units_Sold]]*Clean_Data[[#This Row],[Unit_Price]])</f>
        <v>605000</v>
      </c>
      <c r="M411">
        <f>Clean_Data[[#This Row],[Units_Sold]]*Clean_Data[[#This Row],[Cost_Price]]</f>
        <v>380435</v>
      </c>
      <c r="N411">
        <f>Clean_Data[[#This Row],[Total_Sales]]-Clean_Data[[#This Row],[Total_Cost]]</f>
        <v>224565</v>
      </c>
      <c r="O411" s="2">
        <f>Clean_Data[[#This Row],[Profit]]/Clean_Data[[#This Row],[Total_Sales]]</f>
        <v>0.37118181818181817</v>
      </c>
      <c r="P411" t="str">
        <f>_xlfn.XLOOKUP(Clean_Data[[#This Row],[Product_Code]],Product_Catalog!A:A,Product_Catalog!C:C)</f>
        <v>Electronics</v>
      </c>
      <c r="Q411">
        <f>IF(Clean_Data[[#This Row],[Order_Date]]="","",YEAR(Clean_Data[[#This Row],[Order_Date]]))</f>
        <v>2025</v>
      </c>
      <c r="R411" t="str">
        <f>TEXT(Clean_Data[[#This Row],[Order_Date]],"mmm")</f>
        <v>Mar</v>
      </c>
      <c r="S411" t="str">
        <f>TEXT(Clean_Data[[#This Row],[Order_Date]],"mmm-yy")</f>
        <v>Mar-25</v>
      </c>
      <c r="V411"/>
    </row>
    <row r="412" spans="1:22" x14ac:dyDescent="0.25">
      <c r="A412" t="s">
        <v>472</v>
      </c>
      <c r="B412" s="1">
        <v>46045</v>
      </c>
      <c r="C412" t="s">
        <v>62</v>
      </c>
      <c r="D412" t="s">
        <v>36</v>
      </c>
      <c r="E412" t="s">
        <v>55</v>
      </c>
      <c r="F412" t="s">
        <v>34</v>
      </c>
      <c r="G412">
        <v>6</v>
      </c>
      <c r="H412">
        <v>35000</v>
      </c>
      <c r="I412">
        <v>27684</v>
      </c>
      <c r="J412" t="s">
        <v>45</v>
      </c>
      <c r="K412" t="s">
        <v>17</v>
      </c>
      <c r="L412">
        <f>SUM(Clean_Data[[#This Row],[Units_Sold]]*Clean_Data[[#This Row],[Unit_Price]])</f>
        <v>210000</v>
      </c>
      <c r="M412">
        <f>Clean_Data[[#This Row],[Units_Sold]]*Clean_Data[[#This Row],[Cost_Price]]</f>
        <v>166104</v>
      </c>
      <c r="N412">
        <f>Clean_Data[[#This Row],[Total_Sales]]-Clean_Data[[#This Row],[Total_Cost]]</f>
        <v>43896</v>
      </c>
      <c r="O412" s="2">
        <f>Clean_Data[[#This Row],[Profit]]/Clean_Data[[#This Row],[Total_Sales]]</f>
        <v>0.20902857142857142</v>
      </c>
      <c r="P412" t="str">
        <f>_xlfn.XLOOKUP(Clean_Data[[#This Row],[Product_Code]],Product_Catalog!A:A,Product_Catalog!C:C)</f>
        <v>Furniture</v>
      </c>
      <c r="Q412">
        <f>IF(Clean_Data[[#This Row],[Order_Date]]="","",YEAR(Clean_Data[[#This Row],[Order_Date]]))</f>
        <v>2026</v>
      </c>
      <c r="R412" t="str">
        <f>TEXT(Clean_Data[[#This Row],[Order_Date]],"mmm")</f>
        <v>Jan</v>
      </c>
      <c r="S412" t="str">
        <f>TEXT(Clean_Data[[#This Row],[Order_Date]],"mmm-yy")</f>
        <v>Jan-26</v>
      </c>
      <c r="V412"/>
    </row>
    <row r="413" spans="1:22" x14ac:dyDescent="0.25">
      <c r="A413" t="s">
        <v>473</v>
      </c>
      <c r="B413" s="1">
        <v>45865</v>
      </c>
      <c r="C413" t="s">
        <v>25</v>
      </c>
      <c r="D413" t="s">
        <v>36</v>
      </c>
      <c r="E413" t="s">
        <v>14</v>
      </c>
      <c r="F413" t="s">
        <v>15</v>
      </c>
      <c r="G413">
        <v>6</v>
      </c>
      <c r="H413">
        <v>12500</v>
      </c>
      <c r="I413">
        <v>9952</v>
      </c>
      <c r="J413" t="s">
        <v>45</v>
      </c>
      <c r="K413" t="s">
        <v>46</v>
      </c>
      <c r="L413">
        <f>SUM(Clean_Data[[#This Row],[Units_Sold]]*Clean_Data[[#This Row],[Unit_Price]])</f>
        <v>75000</v>
      </c>
      <c r="M413">
        <f>Clean_Data[[#This Row],[Units_Sold]]*Clean_Data[[#This Row],[Cost_Price]]</f>
        <v>59712</v>
      </c>
      <c r="N413">
        <f>Clean_Data[[#This Row],[Total_Sales]]-Clean_Data[[#This Row],[Total_Cost]]</f>
        <v>15288</v>
      </c>
      <c r="O413" s="2">
        <f>Clean_Data[[#This Row],[Profit]]/Clean_Data[[#This Row],[Total_Sales]]</f>
        <v>0.20383999999999999</v>
      </c>
      <c r="P413" t="str">
        <f>_xlfn.XLOOKUP(Clean_Data[[#This Row],[Product_Code]],Product_Catalog!A:A,Product_Catalog!C:C)</f>
        <v>Accessories</v>
      </c>
      <c r="Q413">
        <f>IF(Clean_Data[[#This Row],[Order_Date]]="","",YEAR(Clean_Data[[#This Row],[Order_Date]]))</f>
        <v>2025</v>
      </c>
      <c r="R413" t="str">
        <f>TEXT(Clean_Data[[#This Row],[Order_Date]],"mmm")</f>
        <v>Jul</v>
      </c>
      <c r="S413" t="str">
        <f>TEXT(Clean_Data[[#This Row],[Order_Date]],"mmm-yy")</f>
        <v>Jul-25</v>
      </c>
      <c r="V413"/>
    </row>
    <row r="414" spans="1:22" x14ac:dyDescent="0.25">
      <c r="A414" t="s">
        <v>474</v>
      </c>
      <c r="B414" s="1">
        <v>45871</v>
      </c>
      <c r="C414" t="s">
        <v>31</v>
      </c>
      <c r="D414" t="s">
        <v>13</v>
      </c>
      <c r="E414" t="s">
        <v>14</v>
      </c>
      <c r="F414" t="s">
        <v>15</v>
      </c>
      <c r="G414">
        <v>14</v>
      </c>
      <c r="H414">
        <v>12500</v>
      </c>
      <c r="I414">
        <v>8244</v>
      </c>
      <c r="J414" t="s">
        <v>16</v>
      </c>
      <c r="K414" t="s">
        <v>23</v>
      </c>
      <c r="L414">
        <f>SUM(Clean_Data[[#This Row],[Units_Sold]]*Clean_Data[[#This Row],[Unit_Price]])</f>
        <v>175000</v>
      </c>
      <c r="M414">
        <f>Clean_Data[[#This Row],[Units_Sold]]*Clean_Data[[#This Row],[Cost_Price]]</f>
        <v>115416</v>
      </c>
      <c r="N414">
        <f>Clean_Data[[#This Row],[Total_Sales]]-Clean_Data[[#This Row],[Total_Cost]]</f>
        <v>59584</v>
      </c>
      <c r="O414" s="2">
        <f>Clean_Data[[#This Row],[Profit]]/Clean_Data[[#This Row],[Total_Sales]]</f>
        <v>0.34048</v>
      </c>
      <c r="P414" t="str">
        <f>_xlfn.XLOOKUP(Clean_Data[[#This Row],[Product_Code]],Product_Catalog!A:A,Product_Catalog!C:C)</f>
        <v>Accessories</v>
      </c>
      <c r="Q414">
        <f>IF(Clean_Data[[#This Row],[Order_Date]]="","",YEAR(Clean_Data[[#This Row],[Order_Date]]))</f>
        <v>2025</v>
      </c>
      <c r="R414" t="str">
        <f>TEXT(Clean_Data[[#This Row],[Order_Date]],"mmm")</f>
        <v>Aug</v>
      </c>
      <c r="S414" t="str">
        <f>TEXT(Clean_Data[[#This Row],[Order_Date]],"mmm-yy")</f>
        <v>Aug-25</v>
      </c>
      <c r="V414"/>
    </row>
    <row r="415" spans="1:22" x14ac:dyDescent="0.25">
      <c r="A415" t="s">
        <v>475</v>
      </c>
      <c r="B415" s="1">
        <v>45754</v>
      </c>
      <c r="C415" t="s">
        <v>73</v>
      </c>
      <c r="D415" t="s">
        <v>26</v>
      </c>
      <c r="E415" t="s">
        <v>27</v>
      </c>
      <c r="F415" t="s">
        <v>28</v>
      </c>
      <c r="G415">
        <v>10</v>
      </c>
      <c r="H415">
        <v>14000</v>
      </c>
      <c r="I415">
        <v>10167</v>
      </c>
      <c r="J415" t="s">
        <v>29</v>
      </c>
      <c r="K415" t="s">
        <v>46</v>
      </c>
      <c r="L415">
        <f>SUM(Clean_Data[[#This Row],[Units_Sold]]*Clean_Data[[#This Row],[Unit_Price]])</f>
        <v>140000</v>
      </c>
      <c r="M415">
        <f>Clean_Data[[#This Row],[Units_Sold]]*Clean_Data[[#This Row],[Cost_Price]]</f>
        <v>101670</v>
      </c>
      <c r="N415">
        <f>Clean_Data[[#This Row],[Total_Sales]]-Clean_Data[[#This Row],[Total_Cost]]</f>
        <v>38330</v>
      </c>
      <c r="O415" s="2">
        <f>Clean_Data[[#This Row],[Profit]]/Clean_Data[[#This Row],[Total_Sales]]</f>
        <v>0.2737857142857143</v>
      </c>
      <c r="P415" t="str">
        <f>_xlfn.XLOOKUP(Clean_Data[[#This Row],[Product_Code]],Product_Catalog!A:A,Product_Catalog!C:C)</f>
        <v>Furniture</v>
      </c>
      <c r="Q415">
        <f>IF(Clean_Data[[#This Row],[Order_Date]]="","",YEAR(Clean_Data[[#This Row],[Order_Date]]))</f>
        <v>2025</v>
      </c>
      <c r="R415" t="str">
        <f>TEXT(Clean_Data[[#This Row],[Order_Date]],"mmm")</f>
        <v>Apr</v>
      </c>
      <c r="S415" t="str">
        <f>TEXT(Clean_Data[[#This Row],[Order_Date]],"mmm-yy")</f>
        <v>Apr-25</v>
      </c>
      <c r="V415"/>
    </row>
    <row r="416" spans="1:22" x14ac:dyDescent="0.25">
      <c r="A416" t="s">
        <v>476</v>
      </c>
      <c r="B416" s="1">
        <v>45914</v>
      </c>
      <c r="C416" t="s">
        <v>48</v>
      </c>
      <c r="D416" t="s">
        <v>40</v>
      </c>
      <c r="E416" t="s">
        <v>63</v>
      </c>
      <c r="F416" t="s">
        <v>59</v>
      </c>
      <c r="G416">
        <v>1</v>
      </c>
      <c r="H416">
        <v>4500</v>
      </c>
      <c r="I416">
        <v>2791</v>
      </c>
      <c r="J416" t="s">
        <v>29</v>
      </c>
      <c r="K416" t="s">
        <v>46</v>
      </c>
      <c r="L416">
        <f>SUM(Clean_Data[[#This Row],[Units_Sold]]*Clean_Data[[#This Row],[Unit_Price]])</f>
        <v>4500</v>
      </c>
      <c r="M416">
        <f>Clean_Data[[#This Row],[Units_Sold]]*Clean_Data[[#This Row],[Cost_Price]]</f>
        <v>2791</v>
      </c>
      <c r="N416">
        <f>Clean_Data[[#This Row],[Total_Sales]]-Clean_Data[[#This Row],[Total_Cost]]</f>
        <v>1709</v>
      </c>
      <c r="O416" s="2">
        <f>Clean_Data[[#This Row],[Profit]]/Clean_Data[[#This Row],[Total_Sales]]</f>
        <v>0.37977777777777777</v>
      </c>
      <c r="P416" t="str">
        <f>_xlfn.XLOOKUP(Clean_Data[[#This Row],[Product_Code]],Product_Catalog!A:A,Product_Catalog!C:C)</f>
        <v>Electronics</v>
      </c>
      <c r="Q416">
        <f>IF(Clean_Data[[#This Row],[Order_Date]]="","",YEAR(Clean_Data[[#This Row],[Order_Date]]))</f>
        <v>2025</v>
      </c>
      <c r="R416" t="str">
        <f>TEXT(Clean_Data[[#This Row],[Order_Date]],"mmm")</f>
        <v>Sep</v>
      </c>
      <c r="S416" t="str">
        <f>TEXT(Clean_Data[[#This Row],[Order_Date]],"mmm-yy")</f>
        <v>Sep-25</v>
      </c>
      <c r="V416"/>
    </row>
    <row r="417" spans="1:22" x14ac:dyDescent="0.25">
      <c r="A417" t="s">
        <v>477</v>
      </c>
      <c r="B417" s="1">
        <v>45976</v>
      </c>
      <c r="C417" t="s">
        <v>12</v>
      </c>
      <c r="D417" t="s">
        <v>13</v>
      </c>
      <c r="E417" t="s">
        <v>41</v>
      </c>
      <c r="F417" t="s">
        <v>42</v>
      </c>
      <c r="G417">
        <v>19</v>
      </c>
      <c r="H417">
        <v>28000</v>
      </c>
      <c r="I417">
        <v>18789</v>
      </c>
      <c r="J417" t="s">
        <v>22</v>
      </c>
      <c r="K417" t="s">
        <v>46</v>
      </c>
      <c r="L417">
        <f>SUM(Clean_Data[[#This Row],[Units_Sold]]*Clean_Data[[#This Row],[Unit_Price]])</f>
        <v>532000</v>
      </c>
      <c r="M417">
        <f>Clean_Data[[#This Row],[Units_Sold]]*Clean_Data[[#This Row],[Cost_Price]]</f>
        <v>356991</v>
      </c>
      <c r="N417">
        <f>Clean_Data[[#This Row],[Total_Sales]]-Clean_Data[[#This Row],[Total_Cost]]</f>
        <v>175009</v>
      </c>
      <c r="O417" s="2">
        <f>Clean_Data[[#This Row],[Profit]]/Clean_Data[[#This Row],[Total_Sales]]</f>
        <v>0.32896428571428571</v>
      </c>
      <c r="P417" t="str">
        <f>_xlfn.XLOOKUP(Clean_Data[[#This Row],[Product_Code]],Product_Catalog!A:A,Product_Catalog!C:C)</f>
        <v>Electronics</v>
      </c>
      <c r="Q417">
        <f>IF(Clean_Data[[#This Row],[Order_Date]]="","",YEAR(Clean_Data[[#This Row],[Order_Date]]))</f>
        <v>2025</v>
      </c>
      <c r="R417" t="str">
        <f>TEXT(Clean_Data[[#This Row],[Order_Date]],"mmm")</f>
        <v>Nov</v>
      </c>
      <c r="S417" t="str">
        <f>TEXT(Clean_Data[[#This Row],[Order_Date]],"mmm-yy")</f>
        <v>Nov-25</v>
      </c>
      <c r="V417"/>
    </row>
    <row r="418" spans="1:22" x14ac:dyDescent="0.25">
      <c r="A418" t="s">
        <v>478</v>
      </c>
      <c r="B418" s="1">
        <v>45822</v>
      </c>
      <c r="C418" t="s">
        <v>12</v>
      </c>
      <c r="D418" t="s">
        <v>40</v>
      </c>
      <c r="E418" t="s">
        <v>14</v>
      </c>
      <c r="F418" t="s">
        <v>15</v>
      </c>
      <c r="G418">
        <v>16</v>
      </c>
      <c r="H418">
        <v>12500</v>
      </c>
      <c r="I418">
        <v>9147</v>
      </c>
      <c r="J418" t="s">
        <v>16</v>
      </c>
      <c r="K418" t="s">
        <v>17</v>
      </c>
      <c r="L418">
        <f>SUM(Clean_Data[[#This Row],[Units_Sold]]*Clean_Data[[#This Row],[Unit_Price]])</f>
        <v>200000</v>
      </c>
      <c r="M418">
        <f>Clean_Data[[#This Row],[Units_Sold]]*Clean_Data[[#This Row],[Cost_Price]]</f>
        <v>146352</v>
      </c>
      <c r="N418">
        <f>Clean_Data[[#This Row],[Total_Sales]]-Clean_Data[[#This Row],[Total_Cost]]</f>
        <v>53648</v>
      </c>
      <c r="O418" s="2">
        <f>Clean_Data[[#This Row],[Profit]]/Clean_Data[[#This Row],[Total_Sales]]</f>
        <v>0.26823999999999998</v>
      </c>
      <c r="P418" t="str">
        <f>_xlfn.XLOOKUP(Clean_Data[[#This Row],[Product_Code]],Product_Catalog!A:A,Product_Catalog!C:C)</f>
        <v>Accessories</v>
      </c>
      <c r="Q418">
        <f>IF(Clean_Data[[#This Row],[Order_Date]]="","",YEAR(Clean_Data[[#This Row],[Order_Date]]))</f>
        <v>2025</v>
      </c>
      <c r="R418" t="str">
        <f>TEXT(Clean_Data[[#This Row],[Order_Date]],"mmm")</f>
        <v>Jun</v>
      </c>
      <c r="S418" t="str">
        <f>TEXT(Clean_Data[[#This Row],[Order_Date]],"mmm-yy")</f>
        <v>Jun-25</v>
      </c>
      <c r="V418"/>
    </row>
    <row r="419" spans="1:22" x14ac:dyDescent="0.25">
      <c r="A419" t="s">
        <v>479</v>
      </c>
      <c r="B419" s="1">
        <v>45971</v>
      </c>
      <c r="C419" t="s">
        <v>62</v>
      </c>
      <c r="D419" t="s">
        <v>26</v>
      </c>
      <c r="E419" t="s">
        <v>55</v>
      </c>
      <c r="F419" t="s">
        <v>34</v>
      </c>
      <c r="G419">
        <v>3</v>
      </c>
      <c r="H419">
        <v>35000</v>
      </c>
      <c r="I419">
        <v>21106</v>
      </c>
      <c r="J419" t="s">
        <v>16</v>
      </c>
      <c r="K419" t="s">
        <v>17</v>
      </c>
      <c r="L419">
        <f>SUM(Clean_Data[[#This Row],[Units_Sold]]*Clean_Data[[#This Row],[Unit_Price]])</f>
        <v>105000</v>
      </c>
      <c r="M419">
        <f>Clean_Data[[#This Row],[Units_Sold]]*Clean_Data[[#This Row],[Cost_Price]]</f>
        <v>63318</v>
      </c>
      <c r="N419">
        <f>Clean_Data[[#This Row],[Total_Sales]]-Clean_Data[[#This Row],[Total_Cost]]</f>
        <v>41682</v>
      </c>
      <c r="O419" s="2">
        <f>Clean_Data[[#This Row],[Profit]]/Clean_Data[[#This Row],[Total_Sales]]</f>
        <v>0.39697142857142859</v>
      </c>
      <c r="P419" t="str">
        <f>_xlfn.XLOOKUP(Clean_Data[[#This Row],[Product_Code]],Product_Catalog!A:A,Product_Catalog!C:C)</f>
        <v>Furniture</v>
      </c>
      <c r="Q419">
        <f>IF(Clean_Data[[#This Row],[Order_Date]]="","",YEAR(Clean_Data[[#This Row],[Order_Date]]))</f>
        <v>2025</v>
      </c>
      <c r="R419" t="str">
        <f>TEXT(Clean_Data[[#This Row],[Order_Date]],"mmm")</f>
        <v>Nov</v>
      </c>
      <c r="S419" t="str">
        <f>TEXT(Clean_Data[[#This Row],[Order_Date]],"mmm-yy")</f>
        <v>Nov-25</v>
      </c>
      <c r="V419"/>
    </row>
    <row r="420" spans="1:22" x14ac:dyDescent="0.25">
      <c r="A420" t="s">
        <v>480</v>
      </c>
      <c r="B420" s="1">
        <v>45690</v>
      </c>
      <c r="C420" t="s">
        <v>53</v>
      </c>
      <c r="D420" t="s">
        <v>26</v>
      </c>
      <c r="E420" t="s">
        <v>14</v>
      </c>
      <c r="F420" t="s">
        <v>15</v>
      </c>
      <c r="G420">
        <v>9</v>
      </c>
      <c r="H420">
        <v>12500</v>
      </c>
      <c r="I420">
        <v>7998</v>
      </c>
      <c r="J420" t="s">
        <v>29</v>
      </c>
      <c r="K420" t="s">
        <v>17</v>
      </c>
      <c r="L420">
        <f>SUM(Clean_Data[[#This Row],[Units_Sold]]*Clean_Data[[#This Row],[Unit_Price]])</f>
        <v>112500</v>
      </c>
      <c r="M420">
        <f>Clean_Data[[#This Row],[Units_Sold]]*Clean_Data[[#This Row],[Cost_Price]]</f>
        <v>71982</v>
      </c>
      <c r="N420">
        <f>Clean_Data[[#This Row],[Total_Sales]]-Clean_Data[[#This Row],[Total_Cost]]</f>
        <v>40518</v>
      </c>
      <c r="O420" s="2">
        <f>Clean_Data[[#This Row],[Profit]]/Clean_Data[[#This Row],[Total_Sales]]</f>
        <v>0.36015999999999998</v>
      </c>
      <c r="P420" t="str">
        <f>_xlfn.XLOOKUP(Clean_Data[[#This Row],[Product_Code]],Product_Catalog!A:A,Product_Catalog!C:C)</f>
        <v>Accessories</v>
      </c>
      <c r="Q420">
        <f>IF(Clean_Data[[#This Row],[Order_Date]]="","",YEAR(Clean_Data[[#This Row],[Order_Date]]))</f>
        <v>2025</v>
      </c>
      <c r="R420" t="str">
        <f>TEXT(Clean_Data[[#This Row],[Order_Date]],"mmm")</f>
        <v>Feb</v>
      </c>
      <c r="S420" t="str">
        <f>TEXT(Clean_Data[[#This Row],[Order_Date]],"mmm-yy")</f>
        <v>Feb-25</v>
      </c>
      <c r="V420"/>
    </row>
    <row r="421" spans="1:22" x14ac:dyDescent="0.25">
      <c r="A421" t="s">
        <v>481</v>
      </c>
      <c r="B421" s="1">
        <v>45766</v>
      </c>
      <c r="C421" t="s">
        <v>62</v>
      </c>
      <c r="D421" t="s">
        <v>33</v>
      </c>
      <c r="E421" t="s">
        <v>14</v>
      </c>
      <c r="F421" t="s">
        <v>15</v>
      </c>
      <c r="G421">
        <v>14</v>
      </c>
      <c r="H421">
        <v>12500</v>
      </c>
      <c r="I421">
        <v>8684</v>
      </c>
      <c r="J421" t="s">
        <v>45</v>
      </c>
      <c r="K421" t="s">
        <v>17</v>
      </c>
      <c r="L421">
        <f>SUM(Clean_Data[[#This Row],[Units_Sold]]*Clean_Data[[#This Row],[Unit_Price]])</f>
        <v>175000</v>
      </c>
      <c r="M421">
        <f>Clean_Data[[#This Row],[Units_Sold]]*Clean_Data[[#This Row],[Cost_Price]]</f>
        <v>121576</v>
      </c>
      <c r="N421">
        <f>Clean_Data[[#This Row],[Total_Sales]]-Clean_Data[[#This Row],[Total_Cost]]</f>
        <v>53424</v>
      </c>
      <c r="O421" s="2">
        <f>Clean_Data[[#This Row],[Profit]]/Clean_Data[[#This Row],[Total_Sales]]</f>
        <v>0.30528</v>
      </c>
      <c r="P421" t="str">
        <f>_xlfn.XLOOKUP(Clean_Data[[#This Row],[Product_Code]],Product_Catalog!A:A,Product_Catalog!C:C)</f>
        <v>Accessories</v>
      </c>
      <c r="Q421">
        <f>IF(Clean_Data[[#This Row],[Order_Date]]="","",YEAR(Clean_Data[[#This Row],[Order_Date]]))</f>
        <v>2025</v>
      </c>
      <c r="R421" t="str">
        <f>TEXT(Clean_Data[[#This Row],[Order_Date]],"mmm")</f>
        <v>Apr</v>
      </c>
      <c r="S421" t="str">
        <f>TEXT(Clean_Data[[#This Row],[Order_Date]],"mmm-yy")</f>
        <v>Apr-25</v>
      </c>
      <c r="V421"/>
    </row>
    <row r="422" spans="1:22" x14ac:dyDescent="0.25">
      <c r="A422" t="s">
        <v>482</v>
      </c>
      <c r="B422" s="1">
        <v>45762</v>
      </c>
      <c r="C422" t="s">
        <v>44</v>
      </c>
      <c r="D422" t="s">
        <v>26</v>
      </c>
      <c r="E422" t="s">
        <v>41</v>
      </c>
      <c r="F422" t="s">
        <v>42</v>
      </c>
      <c r="G422">
        <v>11</v>
      </c>
      <c r="H422">
        <v>28000</v>
      </c>
      <c r="I422">
        <v>17996</v>
      </c>
      <c r="J422" t="s">
        <v>29</v>
      </c>
      <c r="K422" t="s">
        <v>17</v>
      </c>
      <c r="L422">
        <f>SUM(Clean_Data[[#This Row],[Units_Sold]]*Clean_Data[[#This Row],[Unit_Price]])</f>
        <v>308000</v>
      </c>
      <c r="M422">
        <f>Clean_Data[[#This Row],[Units_Sold]]*Clean_Data[[#This Row],[Cost_Price]]</f>
        <v>197956</v>
      </c>
      <c r="N422">
        <f>Clean_Data[[#This Row],[Total_Sales]]-Clean_Data[[#This Row],[Total_Cost]]</f>
        <v>110044</v>
      </c>
      <c r="O422" s="2">
        <f>Clean_Data[[#This Row],[Profit]]/Clean_Data[[#This Row],[Total_Sales]]</f>
        <v>0.35728571428571426</v>
      </c>
      <c r="P422" t="str">
        <f>_xlfn.XLOOKUP(Clean_Data[[#This Row],[Product_Code]],Product_Catalog!A:A,Product_Catalog!C:C)</f>
        <v>Electronics</v>
      </c>
      <c r="Q422">
        <f>IF(Clean_Data[[#This Row],[Order_Date]]="","",YEAR(Clean_Data[[#This Row],[Order_Date]]))</f>
        <v>2025</v>
      </c>
      <c r="R422" t="str">
        <f>TEXT(Clean_Data[[#This Row],[Order_Date]],"mmm")</f>
        <v>Apr</v>
      </c>
      <c r="S422" t="str">
        <f>TEXT(Clean_Data[[#This Row],[Order_Date]],"mmm-yy")</f>
        <v>Apr-25</v>
      </c>
      <c r="V422"/>
    </row>
    <row r="423" spans="1:22" x14ac:dyDescent="0.25">
      <c r="A423" t="s">
        <v>483</v>
      </c>
      <c r="B423" s="1">
        <v>45957</v>
      </c>
      <c r="C423" t="s">
        <v>19</v>
      </c>
      <c r="D423" t="s">
        <v>33</v>
      </c>
      <c r="E423" t="s">
        <v>41</v>
      </c>
      <c r="F423" t="s">
        <v>42</v>
      </c>
      <c r="G423">
        <v>13</v>
      </c>
      <c r="H423">
        <v>28000</v>
      </c>
      <c r="I423">
        <v>19386</v>
      </c>
      <c r="J423" t="s">
        <v>45</v>
      </c>
      <c r="K423" t="s">
        <v>17</v>
      </c>
      <c r="L423">
        <f>SUM(Clean_Data[[#This Row],[Units_Sold]]*Clean_Data[[#This Row],[Unit_Price]])</f>
        <v>364000</v>
      </c>
      <c r="M423">
        <f>Clean_Data[[#This Row],[Units_Sold]]*Clean_Data[[#This Row],[Cost_Price]]</f>
        <v>252018</v>
      </c>
      <c r="N423">
        <f>Clean_Data[[#This Row],[Total_Sales]]-Clean_Data[[#This Row],[Total_Cost]]</f>
        <v>111982</v>
      </c>
      <c r="O423" s="2">
        <f>Clean_Data[[#This Row],[Profit]]/Clean_Data[[#This Row],[Total_Sales]]</f>
        <v>0.30764285714285716</v>
      </c>
      <c r="P423" t="str">
        <f>_xlfn.XLOOKUP(Clean_Data[[#This Row],[Product_Code]],Product_Catalog!A:A,Product_Catalog!C:C)</f>
        <v>Electronics</v>
      </c>
      <c r="Q423">
        <f>IF(Clean_Data[[#This Row],[Order_Date]]="","",YEAR(Clean_Data[[#This Row],[Order_Date]]))</f>
        <v>2025</v>
      </c>
      <c r="R423" t="str">
        <f>TEXT(Clean_Data[[#This Row],[Order_Date]],"mmm")</f>
        <v>Oct</v>
      </c>
      <c r="S423" t="str">
        <f>TEXT(Clean_Data[[#This Row],[Order_Date]],"mmm-yy")</f>
        <v>Oct-25</v>
      </c>
      <c r="V423"/>
    </row>
    <row r="424" spans="1:22" x14ac:dyDescent="0.25">
      <c r="A424" t="s">
        <v>484</v>
      </c>
      <c r="B424" s="1">
        <v>46204</v>
      </c>
      <c r="C424" t="s">
        <v>19</v>
      </c>
      <c r="D424" t="s">
        <v>13</v>
      </c>
      <c r="E424" t="s">
        <v>49</v>
      </c>
      <c r="F424" t="s">
        <v>50</v>
      </c>
      <c r="G424">
        <v>12</v>
      </c>
      <c r="H424">
        <v>75000</v>
      </c>
      <c r="I424">
        <v>51192</v>
      </c>
      <c r="J424" t="s">
        <v>45</v>
      </c>
      <c r="K424" t="s">
        <v>17</v>
      </c>
      <c r="L424">
        <f>SUM(Clean_Data[[#This Row],[Units_Sold]]*Clean_Data[[#This Row],[Unit_Price]])</f>
        <v>900000</v>
      </c>
      <c r="M424">
        <f>Clean_Data[[#This Row],[Units_Sold]]*Clean_Data[[#This Row],[Cost_Price]]</f>
        <v>614304</v>
      </c>
      <c r="N424">
        <f>Clean_Data[[#This Row],[Total_Sales]]-Clean_Data[[#This Row],[Total_Cost]]</f>
        <v>285696</v>
      </c>
      <c r="O424" s="2">
        <f>Clean_Data[[#This Row],[Profit]]/Clean_Data[[#This Row],[Total_Sales]]</f>
        <v>0.31744</v>
      </c>
      <c r="P424" t="str">
        <f>_xlfn.XLOOKUP(Clean_Data[[#This Row],[Product_Code]],Product_Catalog!A:A,Product_Catalog!C:C)</f>
        <v>Electronics</v>
      </c>
      <c r="Q424">
        <f>IF(Clean_Data[[#This Row],[Order_Date]]="","",YEAR(Clean_Data[[#This Row],[Order_Date]]))</f>
        <v>2026</v>
      </c>
      <c r="R424" t="str">
        <f>TEXT(Clean_Data[[#This Row],[Order_Date]],"mmm")</f>
        <v>Jul</v>
      </c>
      <c r="S424" t="str">
        <f>TEXT(Clean_Data[[#This Row],[Order_Date]],"mmm-yy")</f>
        <v>Jul-26</v>
      </c>
      <c r="V424"/>
    </row>
    <row r="425" spans="1:22" x14ac:dyDescent="0.25">
      <c r="A425" t="s">
        <v>485</v>
      </c>
      <c r="B425" s="1">
        <v>45661</v>
      </c>
      <c r="C425" t="s">
        <v>19</v>
      </c>
      <c r="D425" t="s">
        <v>33</v>
      </c>
      <c r="E425" t="s">
        <v>20</v>
      </c>
      <c r="F425" t="s">
        <v>21</v>
      </c>
      <c r="G425">
        <v>16</v>
      </c>
      <c r="H425">
        <v>8500</v>
      </c>
      <c r="I425">
        <v>5716</v>
      </c>
      <c r="J425" t="s">
        <v>16</v>
      </c>
      <c r="K425" t="s">
        <v>17</v>
      </c>
      <c r="L425">
        <f>SUM(Clean_Data[[#This Row],[Units_Sold]]*Clean_Data[[#This Row],[Unit_Price]])</f>
        <v>136000</v>
      </c>
      <c r="M425">
        <f>Clean_Data[[#This Row],[Units_Sold]]*Clean_Data[[#This Row],[Cost_Price]]</f>
        <v>91456</v>
      </c>
      <c r="N425">
        <f>Clean_Data[[#This Row],[Total_Sales]]-Clean_Data[[#This Row],[Total_Cost]]</f>
        <v>44544</v>
      </c>
      <c r="O425" s="2">
        <f>Clean_Data[[#This Row],[Profit]]/Clean_Data[[#This Row],[Total_Sales]]</f>
        <v>0.3275294117647059</v>
      </c>
      <c r="P425" t="str">
        <f>_xlfn.XLOOKUP(Clean_Data[[#This Row],[Product_Code]],Product_Catalog!A:A,Product_Catalog!C:C)</f>
        <v>Accessories</v>
      </c>
      <c r="Q425">
        <f>IF(Clean_Data[[#This Row],[Order_Date]]="","",YEAR(Clean_Data[[#This Row],[Order_Date]]))</f>
        <v>2025</v>
      </c>
      <c r="R425" t="str">
        <f>TEXT(Clean_Data[[#This Row],[Order_Date]],"mmm")</f>
        <v>Jan</v>
      </c>
      <c r="S425" t="str">
        <f>TEXT(Clean_Data[[#This Row],[Order_Date]],"mmm-yy")</f>
        <v>Jan-25</v>
      </c>
      <c r="V425"/>
    </row>
    <row r="426" spans="1:22" x14ac:dyDescent="0.25">
      <c r="A426" t="s">
        <v>486</v>
      </c>
      <c r="B426" s="1">
        <v>46094</v>
      </c>
      <c r="C426" t="s">
        <v>12</v>
      </c>
      <c r="D426" t="s">
        <v>26</v>
      </c>
      <c r="E426" t="s">
        <v>49</v>
      </c>
      <c r="F426" t="s">
        <v>50</v>
      </c>
      <c r="G426">
        <v>1</v>
      </c>
      <c r="H426">
        <v>75000</v>
      </c>
      <c r="I426">
        <v>48887</v>
      </c>
      <c r="J426" t="s">
        <v>29</v>
      </c>
      <c r="K426" t="s">
        <v>23</v>
      </c>
      <c r="L426">
        <f>SUM(Clean_Data[[#This Row],[Units_Sold]]*Clean_Data[[#This Row],[Unit_Price]])</f>
        <v>75000</v>
      </c>
      <c r="M426">
        <f>Clean_Data[[#This Row],[Units_Sold]]*Clean_Data[[#This Row],[Cost_Price]]</f>
        <v>48887</v>
      </c>
      <c r="N426">
        <f>Clean_Data[[#This Row],[Total_Sales]]-Clean_Data[[#This Row],[Total_Cost]]</f>
        <v>26113</v>
      </c>
      <c r="O426" s="2">
        <f>Clean_Data[[#This Row],[Profit]]/Clean_Data[[#This Row],[Total_Sales]]</f>
        <v>0.34817333333333333</v>
      </c>
      <c r="P426" t="str">
        <f>_xlfn.XLOOKUP(Clean_Data[[#This Row],[Product_Code]],Product_Catalog!A:A,Product_Catalog!C:C)</f>
        <v>Electronics</v>
      </c>
      <c r="Q426">
        <f>IF(Clean_Data[[#This Row],[Order_Date]]="","",YEAR(Clean_Data[[#This Row],[Order_Date]]))</f>
        <v>2026</v>
      </c>
      <c r="R426" t="str">
        <f>TEXT(Clean_Data[[#This Row],[Order_Date]],"mmm")</f>
        <v>Mar</v>
      </c>
      <c r="S426" t="str">
        <f>TEXT(Clean_Data[[#This Row],[Order_Date]],"mmm-yy")</f>
        <v>Mar-26</v>
      </c>
      <c r="V426"/>
    </row>
    <row r="427" spans="1:22" x14ac:dyDescent="0.25">
      <c r="A427" t="s">
        <v>487</v>
      </c>
      <c r="B427" s="1">
        <v>46009</v>
      </c>
      <c r="C427" t="s">
        <v>73</v>
      </c>
      <c r="D427" t="s">
        <v>13</v>
      </c>
      <c r="E427" t="s">
        <v>27</v>
      </c>
      <c r="F427" t="s">
        <v>28</v>
      </c>
      <c r="G427">
        <v>1</v>
      </c>
      <c r="H427">
        <v>14000</v>
      </c>
      <c r="I427">
        <v>10338</v>
      </c>
      <c r="J427" t="s">
        <v>29</v>
      </c>
      <c r="K427" t="s">
        <v>17</v>
      </c>
      <c r="L427">
        <f>SUM(Clean_Data[[#This Row],[Units_Sold]]*Clean_Data[[#This Row],[Unit_Price]])</f>
        <v>14000</v>
      </c>
      <c r="M427">
        <f>Clean_Data[[#This Row],[Units_Sold]]*Clean_Data[[#This Row],[Cost_Price]]</f>
        <v>10338</v>
      </c>
      <c r="N427">
        <f>Clean_Data[[#This Row],[Total_Sales]]-Clean_Data[[#This Row],[Total_Cost]]</f>
        <v>3662</v>
      </c>
      <c r="O427" s="2">
        <f>Clean_Data[[#This Row],[Profit]]/Clean_Data[[#This Row],[Total_Sales]]</f>
        <v>0.26157142857142857</v>
      </c>
      <c r="P427" t="str">
        <f>_xlfn.XLOOKUP(Clean_Data[[#This Row],[Product_Code]],Product_Catalog!A:A,Product_Catalog!C:C)</f>
        <v>Furniture</v>
      </c>
      <c r="Q427">
        <f>IF(Clean_Data[[#This Row],[Order_Date]]="","",YEAR(Clean_Data[[#This Row],[Order_Date]]))</f>
        <v>2025</v>
      </c>
      <c r="R427" t="str">
        <f>TEXT(Clean_Data[[#This Row],[Order_Date]],"mmm")</f>
        <v>Dec</v>
      </c>
      <c r="S427" t="str">
        <f>TEXT(Clean_Data[[#This Row],[Order_Date]],"mmm-yy")</f>
        <v>Dec-25</v>
      </c>
      <c r="V427"/>
    </row>
    <row r="428" spans="1:22" x14ac:dyDescent="0.25">
      <c r="A428" t="s">
        <v>488</v>
      </c>
      <c r="B428" s="1">
        <v>45960</v>
      </c>
      <c r="C428" t="s">
        <v>44</v>
      </c>
      <c r="D428" t="s">
        <v>26</v>
      </c>
      <c r="E428" t="s">
        <v>55</v>
      </c>
      <c r="F428" t="s">
        <v>34</v>
      </c>
      <c r="G428">
        <v>7</v>
      </c>
      <c r="H428">
        <v>35000</v>
      </c>
      <c r="I428">
        <v>26625</v>
      </c>
      <c r="J428" t="s">
        <v>45</v>
      </c>
      <c r="K428" t="s">
        <v>23</v>
      </c>
      <c r="L428">
        <f>SUM(Clean_Data[[#This Row],[Units_Sold]]*Clean_Data[[#This Row],[Unit_Price]])</f>
        <v>245000</v>
      </c>
      <c r="M428">
        <f>Clean_Data[[#This Row],[Units_Sold]]*Clean_Data[[#This Row],[Cost_Price]]</f>
        <v>186375</v>
      </c>
      <c r="N428">
        <f>Clean_Data[[#This Row],[Total_Sales]]-Clean_Data[[#This Row],[Total_Cost]]</f>
        <v>58625</v>
      </c>
      <c r="O428" s="2">
        <f>Clean_Data[[#This Row],[Profit]]/Clean_Data[[#This Row],[Total_Sales]]</f>
        <v>0.2392857142857143</v>
      </c>
      <c r="P428" t="str">
        <f>_xlfn.XLOOKUP(Clean_Data[[#This Row],[Product_Code]],Product_Catalog!A:A,Product_Catalog!C:C)</f>
        <v>Furniture</v>
      </c>
      <c r="Q428">
        <f>IF(Clean_Data[[#This Row],[Order_Date]]="","",YEAR(Clean_Data[[#This Row],[Order_Date]]))</f>
        <v>2025</v>
      </c>
      <c r="R428" t="str">
        <f>TEXT(Clean_Data[[#This Row],[Order_Date]],"mmm")</f>
        <v>Oct</v>
      </c>
      <c r="S428" t="str">
        <f>TEXT(Clean_Data[[#This Row],[Order_Date]],"mmm-yy")</f>
        <v>Oct-25</v>
      </c>
      <c r="V428"/>
    </row>
    <row r="429" spans="1:22" x14ac:dyDescent="0.25">
      <c r="A429" t="s">
        <v>489</v>
      </c>
      <c r="B429" s="1">
        <v>45800</v>
      </c>
      <c r="C429" t="s">
        <v>44</v>
      </c>
      <c r="D429" t="s">
        <v>40</v>
      </c>
      <c r="E429" t="s">
        <v>14</v>
      </c>
      <c r="F429" t="s">
        <v>15</v>
      </c>
      <c r="G429">
        <v>12</v>
      </c>
      <c r="H429">
        <v>12500</v>
      </c>
      <c r="I429">
        <v>8754</v>
      </c>
      <c r="J429" t="s">
        <v>29</v>
      </c>
      <c r="K429" t="s">
        <v>23</v>
      </c>
      <c r="L429">
        <f>SUM(Clean_Data[[#This Row],[Units_Sold]]*Clean_Data[[#This Row],[Unit_Price]])</f>
        <v>150000</v>
      </c>
      <c r="M429">
        <f>Clean_Data[[#This Row],[Units_Sold]]*Clean_Data[[#This Row],[Cost_Price]]</f>
        <v>105048</v>
      </c>
      <c r="N429">
        <f>Clean_Data[[#This Row],[Total_Sales]]-Clean_Data[[#This Row],[Total_Cost]]</f>
        <v>44952</v>
      </c>
      <c r="O429" s="2">
        <f>Clean_Data[[#This Row],[Profit]]/Clean_Data[[#This Row],[Total_Sales]]</f>
        <v>0.29968</v>
      </c>
      <c r="P429" t="str">
        <f>_xlfn.XLOOKUP(Clean_Data[[#This Row],[Product_Code]],Product_Catalog!A:A,Product_Catalog!C:C)</f>
        <v>Accessories</v>
      </c>
      <c r="Q429">
        <f>IF(Clean_Data[[#This Row],[Order_Date]]="","",YEAR(Clean_Data[[#This Row],[Order_Date]]))</f>
        <v>2025</v>
      </c>
      <c r="R429" t="str">
        <f>TEXT(Clean_Data[[#This Row],[Order_Date]],"mmm")</f>
        <v>May</v>
      </c>
      <c r="S429" t="str">
        <f>TEXT(Clean_Data[[#This Row],[Order_Date]],"mmm-yy")</f>
        <v>May-25</v>
      </c>
      <c r="V429"/>
    </row>
    <row r="430" spans="1:22" x14ac:dyDescent="0.25">
      <c r="A430" t="s">
        <v>490</v>
      </c>
      <c r="B430" s="1">
        <v>46108</v>
      </c>
      <c r="C430" t="s">
        <v>25</v>
      </c>
      <c r="D430" t="s">
        <v>40</v>
      </c>
      <c r="E430" t="s">
        <v>14</v>
      </c>
      <c r="F430" t="s">
        <v>15</v>
      </c>
      <c r="G430">
        <v>17</v>
      </c>
      <c r="H430">
        <v>12500</v>
      </c>
      <c r="I430">
        <v>8252</v>
      </c>
      <c r="J430" t="s">
        <v>22</v>
      </c>
      <c r="K430" t="s">
        <v>23</v>
      </c>
      <c r="L430">
        <f>SUM(Clean_Data[[#This Row],[Units_Sold]]*Clean_Data[[#This Row],[Unit_Price]])</f>
        <v>212500</v>
      </c>
      <c r="M430">
        <f>Clean_Data[[#This Row],[Units_Sold]]*Clean_Data[[#This Row],[Cost_Price]]</f>
        <v>140284</v>
      </c>
      <c r="N430">
        <f>Clean_Data[[#This Row],[Total_Sales]]-Clean_Data[[#This Row],[Total_Cost]]</f>
        <v>72216</v>
      </c>
      <c r="O430" s="2">
        <f>Clean_Data[[#This Row],[Profit]]/Clean_Data[[#This Row],[Total_Sales]]</f>
        <v>0.33983999999999998</v>
      </c>
      <c r="P430" t="str">
        <f>_xlfn.XLOOKUP(Clean_Data[[#This Row],[Product_Code]],Product_Catalog!A:A,Product_Catalog!C:C)</f>
        <v>Accessories</v>
      </c>
      <c r="Q430">
        <f>IF(Clean_Data[[#This Row],[Order_Date]]="","",YEAR(Clean_Data[[#This Row],[Order_Date]]))</f>
        <v>2026</v>
      </c>
      <c r="R430" t="str">
        <f>TEXT(Clean_Data[[#This Row],[Order_Date]],"mmm")</f>
        <v>Mar</v>
      </c>
      <c r="S430" t="str">
        <f>TEXT(Clean_Data[[#This Row],[Order_Date]],"mmm-yy")</f>
        <v>Mar-26</v>
      </c>
      <c r="V430"/>
    </row>
    <row r="431" spans="1:22" x14ac:dyDescent="0.25">
      <c r="A431" t="s">
        <v>491</v>
      </c>
      <c r="B431" s="1">
        <v>46047</v>
      </c>
      <c r="C431" t="s">
        <v>62</v>
      </c>
      <c r="D431" t="s">
        <v>40</v>
      </c>
      <c r="E431" t="s">
        <v>27</v>
      </c>
      <c r="F431" t="s">
        <v>28</v>
      </c>
      <c r="G431">
        <v>15</v>
      </c>
      <c r="H431">
        <v>14000</v>
      </c>
      <c r="I431">
        <v>8817</v>
      </c>
      <c r="J431" t="s">
        <v>16</v>
      </c>
      <c r="K431" t="s">
        <v>17</v>
      </c>
      <c r="L431">
        <f>SUM(Clean_Data[[#This Row],[Units_Sold]]*Clean_Data[[#This Row],[Unit_Price]])</f>
        <v>210000</v>
      </c>
      <c r="M431">
        <f>Clean_Data[[#This Row],[Units_Sold]]*Clean_Data[[#This Row],[Cost_Price]]</f>
        <v>132255</v>
      </c>
      <c r="N431">
        <f>Clean_Data[[#This Row],[Total_Sales]]-Clean_Data[[#This Row],[Total_Cost]]</f>
        <v>77745</v>
      </c>
      <c r="O431" s="2">
        <f>Clean_Data[[#This Row],[Profit]]/Clean_Data[[#This Row],[Total_Sales]]</f>
        <v>0.37021428571428572</v>
      </c>
      <c r="P431" t="str">
        <f>_xlfn.XLOOKUP(Clean_Data[[#This Row],[Product_Code]],Product_Catalog!A:A,Product_Catalog!C:C)</f>
        <v>Furniture</v>
      </c>
      <c r="Q431">
        <f>IF(Clean_Data[[#This Row],[Order_Date]]="","",YEAR(Clean_Data[[#This Row],[Order_Date]]))</f>
        <v>2026</v>
      </c>
      <c r="R431" t="str">
        <f>TEXT(Clean_Data[[#This Row],[Order_Date]],"mmm")</f>
        <v>Jan</v>
      </c>
      <c r="S431" t="str">
        <f>TEXT(Clean_Data[[#This Row],[Order_Date]],"mmm-yy")</f>
        <v>Jan-26</v>
      </c>
      <c r="V431"/>
    </row>
    <row r="432" spans="1:22" x14ac:dyDescent="0.25">
      <c r="A432" t="s">
        <v>492</v>
      </c>
      <c r="B432" s="1">
        <v>46151</v>
      </c>
      <c r="C432" t="s">
        <v>73</v>
      </c>
      <c r="D432" t="s">
        <v>40</v>
      </c>
      <c r="E432" t="s">
        <v>49</v>
      </c>
      <c r="F432" t="s">
        <v>50</v>
      </c>
      <c r="G432">
        <v>7</v>
      </c>
      <c r="H432">
        <v>75000</v>
      </c>
      <c r="I432">
        <v>49830</v>
      </c>
      <c r="J432" t="s">
        <v>22</v>
      </c>
      <c r="K432" t="s">
        <v>23</v>
      </c>
      <c r="L432">
        <f>SUM(Clean_Data[[#This Row],[Units_Sold]]*Clean_Data[[#This Row],[Unit_Price]])</f>
        <v>525000</v>
      </c>
      <c r="M432">
        <f>Clean_Data[[#This Row],[Units_Sold]]*Clean_Data[[#This Row],[Cost_Price]]</f>
        <v>348810</v>
      </c>
      <c r="N432">
        <f>Clean_Data[[#This Row],[Total_Sales]]-Clean_Data[[#This Row],[Total_Cost]]</f>
        <v>176190</v>
      </c>
      <c r="O432" s="2">
        <f>Clean_Data[[#This Row],[Profit]]/Clean_Data[[#This Row],[Total_Sales]]</f>
        <v>0.33560000000000001</v>
      </c>
      <c r="P432" t="str">
        <f>_xlfn.XLOOKUP(Clean_Data[[#This Row],[Product_Code]],Product_Catalog!A:A,Product_Catalog!C:C)</f>
        <v>Electronics</v>
      </c>
      <c r="Q432">
        <f>IF(Clean_Data[[#This Row],[Order_Date]]="","",YEAR(Clean_Data[[#This Row],[Order_Date]]))</f>
        <v>2026</v>
      </c>
      <c r="R432" t="str">
        <f>TEXT(Clean_Data[[#This Row],[Order_Date]],"mmm")</f>
        <v>May</v>
      </c>
      <c r="S432" t="str">
        <f>TEXT(Clean_Data[[#This Row],[Order_Date]],"mmm-yy")</f>
        <v>May-26</v>
      </c>
      <c r="V432"/>
    </row>
    <row r="433" spans="1:22" x14ac:dyDescent="0.25">
      <c r="A433" t="s">
        <v>493</v>
      </c>
      <c r="B433" s="1">
        <v>45661</v>
      </c>
      <c r="C433" t="s">
        <v>62</v>
      </c>
      <c r="D433" t="s">
        <v>26</v>
      </c>
      <c r="E433" t="s">
        <v>66</v>
      </c>
      <c r="F433" t="s">
        <v>67</v>
      </c>
      <c r="G433">
        <v>6</v>
      </c>
      <c r="H433">
        <v>2500</v>
      </c>
      <c r="I433">
        <v>1625</v>
      </c>
      <c r="J433" t="s">
        <v>45</v>
      </c>
      <c r="K433" t="s">
        <v>17</v>
      </c>
      <c r="L433">
        <f>SUM(Clean_Data[[#This Row],[Units_Sold]]*Clean_Data[[#This Row],[Unit_Price]])</f>
        <v>15000</v>
      </c>
      <c r="M433">
        <f>Clean_Data[[#This Row],[Units_Sold]]*Clean_Data[[#This Row],[Cost_Price]]</f>
        <v>9750</v>
      </c>
      <c r="N433">
        <f>Clean_Data[[#This Row],[Total_Sales]]-Clean_Data[[#This Row],[Total_Cost]]</f>
        <v>5250</v>
      </c>
      <c r="O433" s="2">
        <f>Clean_Data[[#This Row],[Profit]]/Clean_Data[[#This Row],[Total_Sales]]</f>
        <v>0.35</v>
      </c>
      <c r="P433" t="str">
        <f>_xlfn.XLOOKUP(Clean_Data[[#This Row],[Product_Code]],Product_Catalog!A:A,Product_Catalog!C:C)</f>
        <v>Electronics</v>
      </c>
      <c r="Q433">
        <f>IF(Clean_Data[[#This Row],[Order_Date]]="","",YEAR(Clean_Data[[#This Row],[Order_Date]]))</f>
        <v>2025</v>
      </c>
      <c r="R433" t="str">
        <f>TEXT(Clean_Data[[#This Row],[Order_Date]],"mmm")</f>
        <v>Jan</v>
      </c>
      <c r="S433" t="str">
        <f>TEXT(Clean_Data[[#This Row],[Order_Date]],"mmm-yy")</f>
        <v>Jan-25</v>
      </c>
      <c r="V433"/>
    </row>
    <row r="434" spans="1:22" x14ac:dyDescent="0.25">
      <c r="A434" t="s">
        <v>494</v>
      </c>
      <c r="B434" s="1">
        <v>46057</v>
      </c>
      <c r="C434" t="s">
        <v>44</v>
      </c>
      <c r="D434" t="s">
        <v>40</v>
      </c>
      <c r="E434" t="s">
        <v>66</v>
      </c>
      <c r="F434" t="s">
        <v>67</v>
      </c>
      <c r="G434">
        <v>16</v>
      </c>
      <c r="H434">
        <v>2500</v>
      </c>
      <c r="I434">
        <v>1530</v>
      </c>
      <c r="J434" t="s">
        <v>45</v>
      </c>
      <c r="K434" t="s">
        <v>84</v>
      </c>
      <c r="L434">
        <f>SUM(Clean_Data[[#This Row],[Units_Sold]]*Clean_Data[[#This Row],[Unit_Price]])</f>
        <v>40000</v>
      </c>
      <c r="M434">
        <f>Clean_Data[[#This Row],[Units_Sold]]*Clean_Data[[#This Row],[Cost_Price]]</f>
        <v>24480</v>
      </c>
      <c r="N434">
        <f>Clean_Data[[#This Row],[Total_Sales]]-Clean_Data[[#This Row],[Total_Cost]]</f>
        <v>15520</v>
      </c>
      <c r="O434" s="2">
        <f>Clean_Data[[#This Row],[Profit]]/Clean_Data[[#This Row],[Total_Sales]]</f>
        <v>0.38800000000000001</v>
      </c>
      <c r="P434" t="str">
        <f>_xlfn.XLOOKUP(Clean_Data[[#This Row],[Product_Code]],Product_Catalog!A:A,Product_Catalog!C:C)</f>
        <v>Electronics</v>
      </c>
      <c r="Q434">
        <f>IF(Clean_Data[[#This Row],[Order_Date]]="","",YEAR(Clean_Data[[#This Row],[Order_Date]]))</f>
        <v>2026</v>
      </c>
      <c r="R434" t="str">
        <f>TEXT(Clean_Data[[#This Row],[Order_Date]],"mmm")</f>
        <v>Feb</v>
      </c>
      <c r="S434" t="str">
        <f>TEXT(Clean_Data[[#This Row],[Order_Date]],"mmm-yy")</f>
        <v>Feb-26</v>
      </c>
      <c r="V434"/>
    </row>
    <row r="435" spans="1:22" x14ac:dyDescent="0.25">
      <c r="A435" t="s">
        <v>495</v>
      </c>
      <c r="B435" s="1">
        <v>45777</v>
      </c>
      <c r="C435" t="s">
        <v>53</v>
      </c>
      <c r="D435" t="s">
        <v>33</v>
      </c>
      <c r="E435" t="s">
        <v>14</v>
      </c>
      <c r="F435" t="s">
        <v>15</v>
      </c>
      <c r="G435">
        <v>15</v>
      </c>
      <c r="H435">
        <v>12500</v>
      </c>
      <c r="I435">
        <v>7515</v>
      </c>
      <c r="J435" t="s">
        <v>29</v>
      </c>
      <c r="K435" t="s">
        <v>17</v>
      </c>
      <c r="L435">
        <f>SUM(Clean_Data[[#This Row],[Units_Sold]]*Clean_Data[[#This Row],[Unit_Price]])</f>
        <v>187500</v>
      </c>
      <c r="M435">
        <f>Clean_Data[[#This Row],[Units_Sold]]*Clean_Data[[#This Row],[Cost_Price]]</f>
        <v>112725</v>
      </c>
      <c r="N435">
        <f>Clean_Data[[#This Row],[Total_Sales]]-Clean_Data[[#This Row],[Total_Cost]]</f>
        <v>74775</v>
      </c>
      <c r="O435" s="2">
        <f>Clean_Data[[#This Row],[Profit]]/Clean_Data[[#This Row],[Total_Sales]]</f>
        <v>0.39879999999999999</v>
      </c>
      <c r="P435" t="str">
        <f>_xlfn.XLOOKUP(Clean_Data[[#This Row],[Product_Code]],Product_Catalog!A:A,Product_Catalog!C:C)</f>
        <v>Accessories</v>
      </c>
      <c r="Q435">
        <f>IF(Clean_Data[[#This Row],[Order_Date]]="","",YEAR(Clean_Data[[#This Row],[Order_Date]]))</f>
        <v>2025</v>
      </c>
      <c r="R435" t="str">
        <f>TEXT(Clean_Data[[#This Row],[Order_Date]],"mmm")</f>
        <v>Apr</v>
      </c>
      <c r="S435" t="str">
        <f>TEXT(Clean_Data[[#This Row],[Order_Date]],"mmm-yy")</f>
        <v>Apr-25</v>
      </c>
      <c r="V435"/>
    </row>
    <row r="436" spans="1:22" x14ac:dyDescent="0.25">
      <c r="A436" t="s">
        <v>496</v>
      </c>
      <c r="B436" s="1">
        <v>46052</v>
      </c>
      <c r="C436" t="s">
        <v>25</v>
      </c>
      <c r="D436" t="s">
        <v>36</v>
      </c>
      <c r="E436" t="s">
        <v>27</v>
      </c>
      <c r="F436" t="s">
        <v>28</v>
      </c>
      <c r="G436">
        <v>19</v>
      </c>
      <c r="H436">
        <v>14000</v>
      </c>
      <c r="I436">
        <v>10699</v>
      </c>
      <c r="J436" t="s">
        <v>29</v>
      </c>
      <c r="K436" t="s">
        <v>17</v>
      </c>
      <c r="L436">
        <f>SUM(Clean_Data[[#This Row],[Units_Sold]]*Clean_Data[[#This Row],[Unit_Price]])</f>
        <v>266000</v>
      </c>
      <c r="M436">
        <f>Clean_Data[[#This Row],[Units_Sold]]*Clean_Data[[#This Row],[Cost_Price]]</f>
        <v>203281</v>
      </c>
      <c r="N436">
        <f>Clean_Data[[#This Row],[Total_Sales]]-Clean_Data[[#This Row],[Total_Cost]]</f>
        <v>62719</v>
      </c>
      <c r="O436" s="2">
        <f>Clean_Data[[#This Row],[Profit]]/Clean_Data[[#This Row],[Total_Sales]]</f>
        <v>0.23578571428571429</v>
      </c>
      <c r="P436" t="str">
        <f>_xlfn.XLOOKUP(Clean_Data[[#This Row],[Product_Code]],Product_Catalog!A:A,Product_Catalog!C:C)</f>
        <v>Furniture</v>
      </c>
      <c r="Q436">
        <f>IF(Clean_Data[[#This Row],[Order_Date]]="","",YEAR(Clean_Data[[#This Row],[Order_Date]]))</f>
        <v>2026</v>
      </c>
      <c r="R436" t="str">
        <f>TEXT(Clean_Data[[#This Row],[Order_Date]],"mmm")</f>
        <v>Jan</v>
      </c>
      <c r="S436" t="str">
        <f>TEXT(Clean_Data[[#This Row],[Order_Date]],"mmm-yy")</f>
        <v>Jan-26</v>
      </c>
      <c r="V436"/>
    </row>
    <row r="437" spans="1:22" x14ac:dyDescent="0.25">
      <c r="A437" t="s">
        <v>497</v>
      </c>
      <c r="B437" s="1">
        <v>46077</v>
      </c>
      <c r="C437" t="s">
        <v>53</v>
      </c>
      <c r="D437" t="s">
        <v>33</v>
      </c>
      <c r="E437" t="s">
        <v>37</v>
      </c>
      <c r="F437" t="s">
        <v>38</v>
      </c>
      <c r="G437">
        <v>10</v>
      </c>
      <c r="H437">
        <v>55000</v>
      </c>
      <c r="I437">
        <v>34737</v>
      </c>
      <c r="J437" t="s">
        <v>29</v>
      </c>
      <c r="K437" t="s">
        <v>17</v>
      </c>
      <c r="L437">
        <f>SUM(Clean_Data[[#This Row],[Units_Sold]]*Clean_Data[[#This Row],[Unit_Price]])</f>
        <v>550000</v>
      </c>
      <c r="M437">
        <f>Clean_Data[[#This Row],[Units_Sold]]*Clean_Data[[#This Row],[Cost_Price]]</f>
        <v>347370</v>
      </c>
      <c r="N437">
        <f>Clean_Data[[#This Row],[Total_Sales]]-Clean_Data[[#This Row],[Total_Cost]]</f>
        <v>202630</v>
      </c>
      <c r="O437" s="2">
        <f>Clean_Data[[#This Row],[Profit]]/Clean_Data[[#This Row],[Total_Sales]]</f>
        <v>0.36841818181818181</v>
      </c>
      <c r="P437" t="str">
        <f>_xlfn.XLOOKUP(Clean_Data[[#This Row],[Product_Code]],Product_Catalog!A:A,Product_Catalog!C:C)</f>
        <v>Electronics</v>
      </c>
      <c r="Q437">
        <f>IF(Clean_Data[[#This Row],[Order_Date]]="","",YEAR(Clean_Data[[#This Row],[Order_Date]]))</f>
        <v>2026</v>
      </c>
      <c r="R437" t="str">
        <f>TEXT(Clean_Data[[#This Row],[Order_Date]],"mmm")</f>
        <v>Feb</v>
      </c>
      <c r="S437" t="str">
        <f>TEXT(Clean_Data[[#This Row],[Order_Date]],"mmm-yy")</f>
        <v>Feb-26</v>
      </c>
      <c r="V437"/>
    </row>
    <row r="438" spans="1:22" x14ac:dyDescent="0.25">
      <c r="A438" t="s">
        <v>498</v>
      </c>
      <c r="B438" s="1">
        <v>46093</v>
      </c>
      <c r="C438" t="s">
        <v>25</v>
      </c>
      <c r="D438" t="s">
        <v>33</v>
      </c>
      <c r="E438" t="s">
        <v>41</v>
      </c>
      <c r="F438" t="s">
        <v>42</v>
      </c>
      <c r="G438">
        <v>6</v>
      </c>
      <c r="H438">
        <v>28000</v>
      </c>
      <c r="I438">
        <v>21947</v>
      </c>
      <c r="J438" t="s">
        <v>16</v>
      </c>
      <c r="K438" t="s">
        <v>23</v>
      </c>
      <c r="L438">
        <f>SUM(Clean_Data[[#This Row],[Units_Sold]]*Clean_Data[[#This Row],[Unit_Price]])</f>
        <v>168000</v>
      </c>
      <c r="M438">
        <f>Clean_Data[[#This Row],[Units_Sold]]*Clean_Data[[#This Row],[Cost_Price]]</f>
        <v>131682</v>
      </c>
      <c r="N438">
        <f>Clean_Data[[#This Row],[Total_Sales]]-Clean_Data[[#This Row],[Total_Cost]]</f>
        <v>36318</v>
      </c>
      <c r="O438" s="2">
        <f>Clean_Data[[#This Row],[Profit]]/Clean_Data[[#This Row],[Total_Sales]]</f>
        <v>0.21617857142857144</v>
      </c>
      <c r="P438" t="str">
        <f>_xlfn.XLOOKUP(Clean_Data[[#This Row],[Product_Code]],Product_Catalog!A:A,Product_Catalog!C:C)</f>
        <v>Electronics</v>
      </c>
      <c r="Q438">
        <f>IF(Clean_Data[[#This Row],[Order_Date]]="","",YEAR(Clean_Data[[#This Row],[Order_Date]]))</f>
        <v>2026</v>
      </c>
      <c r="R438" t="str">
        <f>TEXT(Clean_Data[[#This Row],[Order_Date]],"mmm")</f>
        <v>Mar</v>
      </c>
      <c r="S438" t="str">
        <f>TEXT(Clean_Data[[#This Row],[Order_Date]],"mmm-yy")</f>
        <v>Mar-26</v>
      </c>
      <c r="V438"/>
    </row>
    <row r="439" spans="1:22" x14ac:dyDescent="0.25">
      <c r="A439" t="s">
        <v>500</v>
      </c>
      <c r="B439" s="1">
        <v>45839</v>
      </c>
      <c r="C439" t="s">
        <v>31</v>
      </c>
      <c r="D439" t="s">
        <v>33</v>
      </c>
      <c r="E439" t="s">
        <v>37</v>
      </c>
      <c r="F439" t="s">
        <v>38</v>
      </c>
      <c r="G439">
        <v>3</v>
      </c>
      <c r="H439">
        <v>55000</v>
      </c>
      <c r="I439">
        <v>38533</v>
      </c>
      <c r="J439" t="s">
        <v>45</v>
      </c>
      <c r="K439" t="s">
        <v>23</v>
      </c>
      <c r="L439">
        <f>SUM(Clean_Data[[#This Row],[Units_Sold]]*Clean_Data[[#This Row],[Unit_Price]])</f>
        <v>165000</v>
      </c>
      <c r="M439">
        <f>Clean_Data[[#This Row],[Units_Sold]]*Clean_Data[[#This Row],[Cost_Price]]</f>
        <v>115599</v>
      </c>
      <c r="N439">
        <f>Clean_Data[[#This Row],[Total_Sales]]-Clean_Data[[#This Row],[Total_Cost]]</f>
        <v>49401</v>
      </c>
      <c r="O439" s="2">
        <f>Clean_Data[[#This Row],[Profit]]/Clean_Data[[#This Row],[Total_Sales]]</f>
        <v>0.2994</v>
      </c>
      <c r="P439" t="str">
        <f>_xlfn.XLOOKUP(Clean_Data[[#This Row],[Product_Code]],Product_Catalog!A:A,Product_Catalog!C:C)</f>
        <v>Electronics</v>
      </c>
      <c r="Q439">
        <f>IF(Clean_Data[[#This Row],[Order_Date]]="","",YEAR(Clean_Data[[#This Row],[Order_Date]]))</f>
        <v>2025</v>
      </c>
      <c r="R439" t="str">
        <f>TEXT(Clean_Data[[#This Row],[Order_Date]],"mmm")</f>
        <v>Jul</v>
      </c>
      <c r="S439" t="str">
        <f>TEXT(Clean_Data[[#This Row],[Order_Date]],"mmm-yy")</f>
        <v>Jul-25</v>
      </c>
      <c r="V439"/>
    </row>
    <row r="440" spans="1:22" x14ac:dyDescent="0.25">
      <c r="A440" t="s">
        <v>501</v>
      </c>
      <c r="B440" s="1">
        <v>46103</v>
      </c>
      <c r="C440" t="s">
        <v>31</v>
      </c>
      <c r="D440" t="s">
        <v>40</v>
      </c>
      <c r="E440" t="s">
        <v>20</v>
      </c>
      <c r="F440" t="s">
        <v>21</v>
      </c>
      <c r="G440">
        <v>16</v>
      </c>
      <c r="H440">
        <v>8500</v>
      </c>
      <c r="I440">
        <v>6029</v>
      </c>
      <c r="J440" t="s">
        <v>45</v>
      </c>
      <c r="K440" t="s">
        <v>23</v>
      </c>
      <c r="L440">
        <f>SUM(Clean_Data[[#This Row],[Units_Sold]]*Clean_Data[[#This Row],[Unit_Price]])</f>
        <v>136000</v>
      </c>
      <c r="M440">
        <f>Clean_Data[[#This Row],[Units_Sold]]*Clean_Data[[#This Row],[Cost_Price]]</f>
        <v>96464</v>
      </c>
      <c r="N440">
        <f>Clean_Data[[#This Row],[Total_Sales]]-Clean_Data[[#This Row],[Total_Cost]]</f>
        <v>39536</v>
      </c>
      <c r="O440" s="2">
        <f>Clean_Data[[#This Row],[Profit]]/Clean_Data[[#This Row],[Total_Sales]]</f>
        <v>0.2907058823529412</v>
      </c>
      <c r="P440" t="str">
        <f>_xlfn.XLOOKUP(Clean_Data[[#This Row],[Product_Code]],Product_Catalog!A:A,Product_Catalog!C:C)</f>
        <v>Accessories</v>
      </c>
      <c r="Q440">
        <f>IF(Clean_Data[[#This Row],[Order_Date]]="","",YEAR(Clean_Data[[#This Row],[Order_Date]]))</f>
        <v>2026</v>
      </c>
      <c r="R440" t="str">
        <f>TEXT(Clean_Data[[#This Row],[Order_Date]],"mmm")</f>
        <v>Mar</v>
      </c>
      <c r="S440" t="str">
        <f>TEXT(Clean_Data[[#This Row],[Order_Date]],"mmm-yy")</f>
        <v>Mar-26</v>
      </c>
      <c r="V440"/>
    </row>
    <row r="441" spans="1:22" x14ac:dyDescent="0.25">
      <c r="A441" t="s">
        <v>502</v>
      </c>
      <c r="B441" s="1">
        <v>45887</v>
      </c>
      <c r="C441" t="s">
        <v>48</v>
      </c>
      <c r="D441" t="s">
        <v>33</v>
      </c>
      <c r="E441" t="s">
        <v>66</v>
      </c>
      <c r="F441" t="s">
        <v>67</v>
      </c>
      <c r="G441">
        <v>19</v>
      </c>
      <c r="H441">
        <v>2500</v>
      </c>
      <c r="I441">
        <v>1820</v>
      </c>
      <c r="J441" t="s">
        <v>29</v>
      </c>
      <c r="K441" t="s">
        <v>17</v>
      </c>
      <c r="L441">
        <f>SUM(Clean_Data[[#This Row],[Units_Sold]]*Clean_Data[[#This Row],[Unit_Price]])</f>
        <v>47500</v>
      </c>
      <c r="M441">
        <f>Clean_Data[[#This Row],[Units_Sold]]*Clean_Data[[#This Row],[Cost_Price]]</f>
        <v>34580</v>
      </c>
      <c r="N441">
        <f>Clean_Data[[#This Row],[Total_Sales]]-Clean_Data[[#This Row],[Total_Cost]]</f>
        <v>12920</v>
      </c>
      <c r="O441" s="2">
        <f>Clean_Data[[#This Row],[Profit]]/Clean_Data[[#This Row],[Total_Sales]]</f>
        <v>0.27200000000000002</v>
      </c>
      <c r="P441" t="str">
        <f>_xlfn.XLOOKUP(Clean_Data[[#This Row],[Product_Code]],Product_Catalog!A:A,Product_Catalog!C:C)</f>
        <v>Electronics</v>
      </c>
      <c r="Q441">
        <f>IF(Clean_Data[[#This Row],[Order_Date]]="","",YEAR(Clean_Data[[#This Row],[Order_Date]]))</f>
        <v>2025</v>
      </c>
      <c r="R441" t="str">
        <f>TEXT(Clean_Data[[#This Row],[Order_Date]],"mmm")</f>
        <v>Aug</v>
      </c>
      <c r="S441" t="str">
        <f>TEXT(Clean_Data[[#This Row],[Order_Date]],"mmm-yy")</f>
        <v>Aug-25</v>
      </c>
      <c r="V441"/>
    </row>
    <row r="442" spans="1:22" x14ac:dyDescent="0.25">
      <c r="A442" t="s">
        <v>503</v>
      </c>
      <c r="B442" s="1">
        <v>45949</v>
      </c>
      <c r="C442" t="s">
        <v>19</v>
      </c>
      <c r="D442" t="s">
        <v>13</v>
      </c>
      <c r="E442" t="s">
        <v>41</v>
      </c>
      <c r="F442" t="s">
        <v>42</v>
      </c>
      <c r="G442">
        <v>15</v>
      </c>
      <c r="H442">
        <v>28000</v>
      </c>
      <c r="I442">
        <v>18299</v>
      </c>
      <c r="J442" t="s">
        <v>45</v>
      </c>
      <c r="K442" t="s">
        <v>17</v>
      </c>
      <c r="L442">
        <f>SUM(Clean_Data[[#This Row],[Units_Sold]]*Clean_Data[[#This Row],[Unit_Price]])</f>
        <v>420000</v>
      </c>
      <c r="M442">
        <f>Clean_Data[[#This Row],[Units_Sold]]*Clean_Data[[#This Row],[Cost_Price]]</f>
        <v>274485</v>
      </c>
      <c r="N442">
        <f>Clean_Data[[#This Row],[Total_Sales]]-Clean_Data[[#This Row],[Total_Cost]]</f>
        <v>145515</v>
      </c>
      <c r="O442" s="2">
        <f>Clean_Data[[#This Row],[Profit]]/Clean_Data[[#This Row],[Total_Sales]]</f>
        <v>0.34646428571428572</v>
      </c>
      <c r="P442" t="str">
        <f>_xlfn.XLOOKUP(Clean_Data[[#This Row],[Product_Code]],Product_Catalog!A:A,Product_Catalog!C:C)</f>
        <v>Electronics</v>
      </c>
      <c r="Q442">
        <f>IF(Clean_Data[[#This Row],[Order_Date]]="","",YEAR(Clean_Data[[#This Row],[Order_Date]]))</f>
        <v>2025</v>
      </c>
      <c r="R442" t="str">
        <f>TEXT(Clean_Data[[#This Row],[Order_Date]],"mmm")</f>
        <v>Oct</v>
      </c>
      <c r="S442" t="str">
        <f>TEXT(Clean_Data[[#This Row],[Order_Date]],"mmm-yy")</f>
        <v>Oct-25</v>
      </c>
      <c r="V442"/>
    </row>
    <row r="443" spans="1:22" x14ac:dyDescent="0.25">
      <c r="A443" t="s">
        <v>504</v>
      </c>
      <c r="B443" s="1">
        <v>46190</v>
      </c>
      <c r="C443" t="s">
        <v>31</v>
      </c>
      <c r="D443" t="s">
        <v>26</v>
      </c>
      <c r="E443" t="s">
        <v>14</v>
      </c>
      <c r="F443" t="s">
        <v>15</v>
      </c>
      <c r="G443">
        <v>9</v>
      </c>
      <c r="H443">
        <v>12500</v>
      </c>
      <c r="I443">
        <v>8009</v>
      </c>
      <c r="J443" t="s">
        <v>45</v>
      </c>
      <c r="K443" t="s">
        <v>23</v>
      </c>
      <c r="L443">
        <f>SUM(Clean_Data[[#This Row],[Units_Sold]]*Clean_Data[[#This Row],[Unit_Price]])</f>
        <v>112500</v>
      </c>
      <c r="M443">
        <f>Clean_Data[[#This Row],[Units_Sold]]*Clean_Data[[#This Row],[Cost_Price]]</f>
        <v>72081</v>
      </c>
      <c r="N443">
        <f>Clean_Data[[#This Row],[Total_Sales]]-Clean_Data[[#This Row],[Total_Cost]]</f>
        <v>40419</v>
      </c>
      <c r="O443" s="2">
        <f>Clean_Data[[#This Row],[Profit]]/Clean_Data[[#This Row],[Total_Sales]]</f>
        <v>0.35927999999999999</v>
      </c>
      <c r="P443" t="str">
        <f>_xlfn.XLOOKUP(Clean_Data[[#This Row],[Product_Code]],Product_Catalog!A:A,Product_Catalog!C:C)</f>
        <v>Accessories</v>
      </c>
      <c r="Q443">
        <f>IF(Clean_Data[[#This Row],[Order_Date]]="","",YEAR(Clean_Data[[#This Row],[Order_Date]]))</f>
        <v>2026</v>
      </c>
      <c r="R443" t="str">
        <f>TEXT(Clean_Data[[#This Row],[Order_Date]],"mmm")</f>
        <v>Jun</v>
      </c>
      <c r="S443" t="str">
        <f>TEXT(Clean_Data[[#This Row],[Order_Date]],"mmm-yy")</f>
        <v>Jun-26</v>
      </c>
      <c r="V443"/>
    </row>
    <row r="444" spans="1:22" x14ac:dyDescent="0.25">
      <c r="A444" t="s">
        <v>505</v>
      </c>
      <c r="B444" s="1">
        <v>46090</v>
      </c>
      <c r="C444" t="s">
        <v>25</v>
      </c>
      <c r="D444" t="s">
        <v>40</v>
      </c>
      <c r="E444" t="s">
        <v>41</v>
      </c>
      <c r="F444" t="s">
        <v>42</v>
      </c>
      <c r="G444">
        <v>16</v>
      </c>
      <c r="H444">
        <v>28000</v>
      </c>
      <c r="I444">
        <v>17786</v>
      </c>
      <c r="J444" t="s">
        <v>29</v>
      </c>
      <c r="K444" t="s">
        <v>23</v>
      </c>
      <c r="L444">
        <f>SUM(Clean_Data[[#This Row],[Units_Sold]]*Clean_Data[[#This Row],[Unit_Price]])</f>
        <v>448000</v>
      </c>
      <c r="M444">
        <f>Clean_Data[[#This Row],[Units_Sold]]*Clean_Data[[#This Row],[Cost_Price]]</f>
        <v>284576</v>
      </c>
      <c r="N444">
        <f>Clean_Data[[#This Row],[Total_Sales]]-Clean_Data[[#This Row],[Total_Cost]]</f>
        <v>163424</v>
      </c>
      <c r="O444" s="2">
        <f>Clean_Data[[#This Row],[Profit]]/Clean_Data[[#This Row],[Total_Sales]]</f>
        <v>0.36478571428571427</v>
      </c>
      <c r="P444" t="str">
        <f>_xlfn.XLOOKUP(Clean_Data[[#This Row],[Product_Code]],Product_Catalog!A:A,Product_Catalog!C:C)</f>
        <v>Electronics</v>
      </c>
      <c r="Q444">
        <f>IF(Clean_Data[[#This Row],[Order_Date]]="","",YEAR(Clean_Data[[#This Row],[Order_Date]]))</f>
        <v>2026</v>
      </c>
      <c r="R444" t="str">
        <f>TEXT(Clean_Data[[#This Row],[Order_Date]],"mmm")</f>
        <v>Mar</v>
      </c>
      <c r="S444" t="str">
        <f>TEXT(Clean_Data[[#This Row],[Order_Date]],"mmm-yy")</f>
        <v>Mar-26</v>
      </c>
      <c r="V444"/>
    </row>
    <row r="445" spans="1:22" x14ac:dyDescent="0.25">
      <c r="A445" t="s">
        <v>506</v>
      </c>
      <c r="B445" s="1">
        <v>46160</v>
      </c>
      <c r="C445" t="s">
        <v>44</v>
      </c>
      <c r="D445" t="s">
        <v>33</v>
      </c>
      <c r="E445" t="s">
        <v>55</v>
      </c>
      <c r="F445" t="s">
        <v>34</v>
      </c>
      <c r="G445">
        <v>14</v>
      </c>
      <c r="H445">
        <v>35000</v>
      </c>
      <c r="I445">
        <v>25232</v>
      </c>
      <c r="J445" t="s">
        <v>45</v>
      </c>
      <c r="K445" t="s">
        <v>23</v>
      </c>
      <c r="L445">
        <f>SUM(Clean_Data[[#This Row],[Units_Sold]]*Clean_Data[[#This Row],[Unit_Price]])</f>
        <v>490000</v>
      </c>
      <c r="M445">
        <f>Clean_Data[[#This Row],[Units_Sold]]*Clean_Data[[#This Row],[Cost_Price]]</f>
        <v>353248</v>
      </c>
      <c r="N445">
        <f>Clean_Data[[#This Row],[Total_Sales]]-Clean_Data[[#This Row],[Total_Cost]]</f>
        <v>136752</v>
      </c>
      <c r="O445" s="2">
        <f>Clean_Data[[#This Row],[Profit]]/Clean_Data[[#This Row],[Total_Sales]]</f>
        <v>0.27908571428571427</v>
      </c>
      <c r="P445" t="str">
        <f>_xlfn.XLOOKUP(Clean_Data[[#This Row],[Product_Code]],Product_Catalog!A:A,Product_Catalog!C:C)</f>
        <v>Furniture</v>
      </c>
      <c r="Q445">
        <f>IF(Clean_Data[[#This Row],[Order_Date]]="","",YEAR(Clean_Data[[#This Row],[Order_Date]]))</f>
        <v>2026</v>
      </c>
      <c r="R445" t="str">
        <f>TEXT(Clean_Data[[#This Row],[Order_Date]],"mmm")</f>
        <v>May</v>
      </c>
      <c r="S445" t="str">
        <f>TEXT(Clean_Data[[#This Row],[Order_Date]],"mmm-yy")</f>
        <v>May-26</v>
      </c>
      <c r="V445"/>
    </row>
    <row r="446" spans="1:22" x14ac:dyDescent="0.25">
      <c r="A446" t="s">
        <v>507</v>
      </c>
      <c r="B446" s="1">
        <v>45789</v>
      </c>
      <c r="C446" t="s">
        <v>73</v>
      </c>
      <c r="D446" t="s">
        <v>26</v>
      </c>
      <c r="E446" t="s">
        <v>49</v>
      </c>
      <c r="F446" t="s">
        <v>50</v>
      </c>
      <c r="G446">
        <v>10</v>
      </c>
      <c r="H446">
        <v>75000</v>
      </c>
      <c r="I446">
        <v>47531</v>
      </c>
      <c r="J446" t="s">
        <v>29</v>
      </c>
      <c r="K446" t="s">
        <v>23</v>
      </c>
      <c r="L446">
        <f>SUM(Clean_Data[[#This Row],[Units_Sold]]*Clean_Data[[#This Row],[Unit_Price]])</f>
        <v>750000</v>
      </c>
      <c r="M446">
        <f>Clean_Data[[#This Row],[Units_Sold]]*Clean_Data[[#This Row],[Cost_Price]]</f>
        <v>475310</v>
      </c>
      <c r="N446">
        <f>Clean_Data[[#This Row],[Total_Sales]]-Clean_Data[[#This Row],[Total_Cost]]</f>
        <v>274690</v>
      </c>
      <c r="O446" s="2">
        <f>Clean_Data[[#This Row],[Profit]]/Clean_Data[[#This Row],[Total_Sales]]</f>
        <v>0.36625333333333332</v>
      </c>
      <c r="P446" t="str">
        <f>_xlfn.XLOOKUP(Clean_Data[[#This Row],[Product_Code]],Product_Catalog!A:A,Product_Catalog!C:C)</f>
        <v>Electronics</v>
      </c>
      <c r="Q446">
        <f>IF(Clean_Data[[#This Row],[Order_Date]]="","",YEAR(Clean_Data[[#This Row],[Order_Date]]))</f>
        <v>2025</v>
      </c>
      <c r="R446" t="str">
        <f>TEXT(Clean_Data[[#This Row],[Order_Date]],"mmm")</f>
        <v>May</v>
      </c>
      <c r="S446" t="str">
        <f>TEXT(Clean_Data[[#This Row],[Order_Date]],"mmm-yy")</f>
        <v>May-25</v>
      </c>
      <c r="V446"/>
    </row>
    <row r="447" spans="1:22" x14ac:dyDescent="0.25">
      <c r="A447" t="s">
        <v>508</v>
      </c>
      <c r="B447" s="1">
        <v>46077</v>
      </c>
      <c r="C447" t="s">
        <v>44</v>
      </c>
      <c r="D447" t="s">
        <v>26</v>
      </c>
      <c r="E447" t="s">
        <v>20</v>
      </c>
      <c r="F447" t="s">
        <v>21</v>
      </c>
      <c r="G447">
        <v>1</v>
      </c>
      <c r="H447">
        <v>8500</v>
      </c>
      <c r="I447">
        <v>6497</v>
      </c>
      <c r="J447" t="s">
        <v>29</v>
      </c>
      <c r="K447" t="s">
        <v>23</v>
      </c>
      <c r="L447">
        <f>SUM(Clean_Data[[#This Row],[Units_Sold]]*Clean_Data[[#This Row],[Unit_Price]])</f>
        <v>8500</v>
      </c>
      <c r="M447">
        <f>Clean_Data[[#This Row],[Units_Sold]]*Clean_Data[[#This Row],[Cost_Price]]</f>
        <v>6497</v>
      </c>
      <c r="N447">
        <f>Clean_Data[[#This Row],[Total_Sales]]-Clean_Data[[#This Row],[Total_Cost]]</f>
        <v>2003</v>
      </c>
      <c r="O447" s="2">
        <f>Clean_Data[[#This Row],[Profit]]/Clean_Data[[#This Row],[Total_Sales]]</f>
        <v>0.2356470588235294</v>
      </c>
      <c r="P447" t="str">
        <f>_xlfn.XLOOKUP(Clean_Data[[#This Row],[Product_Code]],Product_Catalog!A:A,Product_Catalog!C:C)</f>
        <v>Accessories</v>
      </c>
      <c r="Q447">
        <f>IF(Clean_Data[[#This Row],[Order_Date]]="","",YEAR(Clean_Data[[#This Row],[Order_Date]]))</f>
        <v>2026</v>
      </c>
      <c r="R447" t="str">
        <f>TEXT(Clean_Data[[#This Row],[Order_Date]],"mmm")</f>
        <v>Feb</v>
      </c>
      <c r="S447" t="str">
        <f>TEXT(Clean_Data[[#This Row],[Order_Date]],"mmm-yy")</f>
        <v>Feb-26</v>
      </c>
      <c r="V447"/>
    </row>
    <row r="448" spans="1:22" x14ac:dyDescent="0.25">
      <c r="A448" t="s">
        <v>509</v>
      </c>
      <c r="B448" s="1">
        <v>46145</v>
      </c>
      <c r="C448" t="s">
        <v>12</v>
      </c>
      <c r="D448" t="s">
        <v>33</v>
      </c>
      <c r="E448" t="s">
        <v>49</v>
      </c>
      <c r="F448" t="s">
        <v>50</v>
      </c>
      <c r="G448">
        <v>11</v>
      </c>
      <c r="H448">
        <v>75000</v>
      </c>
      <c r="I448">
        <v>52969</v>
      </c>
      <c r="J448" t="s">
        <v>29</v>
      </c>
      <c r="K448" t="s">
        <v>23</v>
      </c>
      <c r="L448">
        <f>SUM(Clean_Data[[#This Row],[Units_Sold]]*Clean_Data[[#This Row],[Unit_Price]])</f>
        <v>825000</v>
      </c>
      <c r="M448">
        <f>Clean_Data[[#This Row],[Units_Sold]]*Clean_Data[[#This Row],[Cost_Price]]</f>
        <v>582659</v>
      </c>
      <c r="N448">
        <f>Clean_Data[[#This Row],[Total_Sales]]-Clean_Data[[#This Row],[Total_Cost]]</f>
        <v>242341</v>
      </c>
      <c r="O448" s="2">
        <f>Clean_Data[[#This Row],[Profit]]/Clean_Data[[#This Row],[Total_Sales]]</f>
        <v>0.29374666666666666</v>
      </c>
      <c r="P448" t="str">
        <f>_xlfn.XLOOKUP(Clean_Data[[#This Row],[Product_Code]],Product_Catalog!A:A,Product_Catalog!C:C)</f>
        <v>Electronics</v>
      </c>
      <c r="Q448">
        <f>IF(Clean_Data[[#This Row],[Order_Date]]="","",YEAR(Clean_Data[[#This Row],[Order_Date]]))</f>
        <v>2026</v>
      </c>
      <c r="R448" t="str">
        <f>TEXT(Clean_Data[[#This Row],[Order_Date]],"mmm")</f>
        <v>May</v>
      </c>
      <c r="S448" t="str">
        <f>TEXT(Clean_Data[[#This Row],[Order_Date]],"mmm-yy")</f>
        <v>May-26</v>
      </c>
      <c r="V448"/>
    </row>
    <row r="449" spans="1:22" x14ac:dyDescent="0.25">
      <c r="A449" t="s">
        <v>510</v>
      </c>
      <c r="B449" s="1">
        <v>46174</v>
      </c>
      <c r="C449" t="s">
        <v>48</v>
      </c>
      <c r="D449" t="s">
        <v>40</v>
      </c>
      <c r="E449" t="s">
        <v>20</v>
      </c>
      <c r="F449" t="s">
        <v>21</v>
      </c>
      <c r="G449">
        <v>6</v>
      </c>
      <c r="H449">
        <v>8500</v>
      </c>
      <c r="I449">
        <v>6458</v>
      </c>
      <c r="J449" t="s">
        <v>45</v>
      </c>
      <c r="K449" t="s">
        <v>46</v>
      </c>
      <c r="L449">
        <f>SUM(Clean_Data[[#This Row],[Units_Sold]]*Clean_Data[[#This Row],[Unit_Price]])</f>
        <v>51000</v>
      </c>
      <c r="M449">
        <f>Clean_Data[[#This Row],[Units_Sold]]*Clean_Data[[#This Row],[Cost_Price]]</f>
        <v>38748</v>
      </c>
      <c r="N449">
        <f>Clean_Data[[#This Row],[Total_Sales]]-Clean_Data[[#This Row],[Total_Cost]]</f>
        <v>12252</v>
      </c>
      <c r="O449" s="2">
        <f>Clean_Data[[#This Row],[Profit]]/Clean_Data[[#This Row],[Total_Sales]]</f>
        <v>0.24023529411764705</v>
      </c>
      <c r="P449" t="str">
        <f>_xlfn.XLOOKUP(Clean_Data[[#This Row],[Product_Code]],Product_Catalog!A:A,Product_Catalog!C:C)</f>
        <v>Accessories</v>
      </c>
      <c r="Q449">
        <f>IF(Clean_Data[[#This Row],[Order_Date]]="","",YEAR(Clean_Data[[#This Row],[Order_Date]]))</f>
        <v>2026</v>
      </c>
      <c r="R449" t="str">
        <f>TEXT(Clean_Data[[#This Row],[Order_Date]],"mmm")</f>
        <v>Jun</v>
      </c>
      <c r="S449" t="str">
        <f>TEXT(Clean_Data[[#This Row],[Order_Date]],"mmm-yy")</f>
        <v>Jun-26</v>
      </c>
      <c r="V449"/>
    </row>
    <row r="450" spans="1:22" x14ac:dyDescent="0.25">
      <c r="A450" t="s">
        <v>511</v>
      </c>
      <c r="B450" s="1">
        <v>45941</v>
      </c>
      <c r="C450" t="s">
        <v>44</v>
      </c>
      <c r="D450" t="s">
        <v>13</v>
      </c>
      <c r="E450" t="s">
        <v>27</v>
      </c>
      <c r="F450" t="s">
        <v>28</v>
      </c>
      <c r="G450">
        <v>9</v>
      </c>
      <c r="H450">
        <v>14000</v>
      </c>
      <c r="I450">
        <v>11033</v>
      </c>
      <c r="J450" t="s">
        <v>29</v>
      </c>
      <c r="K450" t="s">
        <v>23</v>
      </c>
      <c r="L450">
        <f>SUM(Clean_Data[[#This Row],[Units_Sold]]*Clean_Data[[#This Row],[Unit_Price]])</f>
        <v>126000</v>
      </c>
      <c r="M450">
        <f>Clean_Data[[#This Row],[Units_Sold]]*Clean_Data[[#This Row],[Cost_Price]]</f>
        <v>99297</v>
      </c>
      <c r="N450">
        <f>Clean_Data[[#This Row],[Total_Sales]]-Clean_Data[[#This Row],[Total_Cost]]</f>
        <v>26703</v>
      </c>
      <c r="O450" s="2">
        <f>Clean_Data[[#This Row],[Profit]]/Clean_Data[[#This Row],[Total_Sales]]</f>
        <v>0.21192857142857144</v>
      </c>
      <c r="P450" t="str">
        <f>_xlfn.XLOOKUP(Clean_Data[[#This Row],[Product_Code]],Product_Catalog!A:A,Product_Catalog!C:C)</f>
        <v>Furniture</v>
      </c>
      <c r="Q450">
        <f>IF(Clean_Data[[#This Row],[Order_Date]]="","",YEAR(Clean_Data[[#This Row],[Order_Date]]))</f>
        <v>2025</v>
      </c>
      <c r="R450" t="str">
        <f>TEXT(Clean_Data[[#This Row],[Order_Date]],"mmm")</f>
        <v>Oct</v>
      </c>
      <c r="S450" t="str">
        <f>TEXT(Clean_Data[[#This Row],[Order_Date]],"mmm-yy")</f>
        <v>Oct-25</v>
      </c>
      <c r="V450"/>
    </row>
    <row r="451" spans="1:22" x14ac:dyDescent="0.25">
      <c r="A451" t="s">
        <v>512</v>
      </c>
      <c r="B451" s="1">
        <v>45851</v>
      </c>
      <c r="C451" t="s">
        <v>44</v>
      </c>
      <c r="D451" t="s">
        <v>33</v>
      </c>
      <c r="E451" t="s">
        <v>27</v>
      </c>
      <c r="F451" t="s">
        <v>28</v>
      </c>
      <c r="G451">
        <v>8</v>
      </c>
      <c r="H451">
        <v>14000</v>
      </c>
      <c r="I451">
        <v>10723</v>
      </c>
      <c r="J451" t="s">
        <v>16</v>
      </c>
      <c r="K451" t="s">
        <v>23</v>
      </c>
      <c r="L451">
        <f>SUM(Clean_Data[[#This Row],[Units_Sold]]*Clean_Data[[#This Row],[Unit_Price]])</f>
        <v>112000</v>
      </c>
      <c r="M451">
        <f>Clean_Data[[#This Row],[Units_Sold]]*Clean_Data[[#This Row],[Cost_Price]]</f>
        <v>85784</v>
      </c>
      <c r="N451">
        <f>Clean_Data[[#This Row],[Total_Sales]]-Clean_Data[[#This Row],[Total_Cost]]</f>
        <v>26216</v>
      </c>
      <c r="O451" s="2">
        <f>Clean_Data[[#This Row],[Profit]]/Clean_Data[[#This Row],[Total_Sales]]</f>
        <v>0.23407142857142857</v>
      </c>
      <c r="P451" t="str">
        <f>_xlfn.XLOOKUP(Clean_Data[[#This Row],[Product_Code]],Product_Catalog!A:A,Product_Catalog!C:C)</f>
        <v>Furniture</v>
      </c>
      <c r="Q451">
        <f>IF(Clean_Data[[#This Row],[Order_Date]]="","",YEAR(Clean_Data[[#This Row],[Order_Date]]))</f>
        <v>2025</v>
      </c>
      <c r="R451" t="str">
        <f>TEXT(Clean_Data[[#This Row],[Order_Date]],"mmm")</f>
        <v>Jul</v>
      </c>
      <c r="S451" t="str">
        <f>TEXT(Clean_Data[[#This Row],[Order_Date]],"mmm-yy")</f>
        <v>Jul-25</v>
      </c>
      <c r="V451"/>
    </row>
    <row r="452" spans="1:22" x14ac:dyDescent="0.25">
      <c r="A452" t="s">
        <v>513</v>
      </c>
      <c r="B452" s="1">
        <v>45938</v>
      </c>
      <c r="C452" t="s">
        <v>53</v>
      </c>
      <c r="D452" t="s">
        <v>40</v>
      </c>
      <c r="E452" t="s">
        <v>41</v>
      </c>
      <c r="F452" t="s">
        <v>42</v>
      </c>
      <c r="G452">
        <v>12</v>
      </c>
      <c r="H452">
        <v>28000</v>
      </c>
      <c r="I452">
        <v>16881</v>
      </c>
      <c r="J452" t="s">
        <v>29</v>
      </c>
      <c r="K452" t="s">
        <v>17</v>
      </c>
      <c r="L452">
        <f>SUM(Clean_Data[[#This Row],[Units_Sold]]*Clean_Data[[#This Row],[Unit_Price]])</f>
        <v>336000</v>
      </c>
      <c r="M452">
        <f>Clean_Data[[#This Row],[Units_Sold]]*Clean_Data[[#This Row],[Cost_Price]]</f>
        <v>202572</v>
      </c>
      <c r="N452">
        <f>Clean_Data[[#This Row],[Total_Sales]]-Clean_Data[[#This Row],[Total_Cost]]</f>
        <v>133428</v>
      </c>
      <c r="O452" s="2">
        <f>Clean_Data[[#This Row],[Profit]]/Clean_Data[[#This Row],[Total_Sales]]</f>
        <v>0.39710714285714288</v>
      </c>
      <c r="P452" t="str">
        <f>_xlfn.XLOOKUP(Clean_Data[[#This Row],[Product_Code]],Product_Catalog!A:A,Product_Catalog!C:C)</f>
        <v>Electronics</v>
      </c>
      <c r="Q452">
        <f>IF(Clean_Data[[#This Row],[Order_Date]]="","",YEAR(Clean_Data[[#This Row],[Order_Date]]))</f>
        <v>2025</v>
      </c>
      <c r="R452" t="str">
        <f>TEXT(Clean_Data[[#This Row],[Order_Date]],"mmm")</f>
        <v>Oct</v>
      </c>
      <c r="S452" t="str">
        <f>TEXT(Clean_Data[[#This Row],[Order_Date]],"mmm-yy")</f>
        <v>Oct-25</v>
      </c>
      <c r="V452"/>
    </row>
    <row r="453" spans="1:22" x14ac:dyDescent="0.25">
      <c r="A453" t="s">
        <v>514</v>
      </c>
      <c r="B453" s="1">
        <v>45679</v>
      </c>
      <c r="C453" t="s">
        <v>12</v>
      </c>
      <c r="D453" t="s">
        <v>40</v>
      </c>
      <c r="E453" t="s">
        <v>66</v>
      </c>
      <c r="F453" t="s">
        <v>67</v>
      </c>
      <c r="G453">
        <v>12</v>
      </c>
      <c r="H453">
        <v>2500</v>
      </c>
      <c r="I453">
        <v>1548</v>
      </c>
      <c r="J453" t="s">
        <v>16</v>
      </c>
      <c r="K453" t="s">
        <v>46</v>
      </c>
      <c r="L453">
        <f>SUM(Clean_Data[[#This Row],[Units_Sold]]*Clean_Data[[#This Row],[Unit_Price]])</f>
        <v>30000</v>
      </c>
      <c r="M453">
        <f>Clean_Data[[#This Row],[Units_Sold]]*Clean_Data[[#This Row],[Cost_Price]]</f>
        <v>18576</v>
      </c>
      <c r="N453">
        <f>Clean_Data[[#This Row],[Total_Sales]]-Clean_Data[[#This Row],[Total_Cost]]</f>
        <v>11424</v>
      </c>
      <c r="O453" s="2">
        <f>Clean_Data[[#This Row],[Profit]]/Clean_Data[[#This Row],[Total_Sales]]</f>
        <v>0.38080000000000003</v>
      </c>
      <c r="P453" t="str">
        <f>_xlfn.XLOOKUP(Clean_Data[[#This Row],[Product_Code]],Product_Catalog!A:A,Product_Catalog!C:C)</f>
        <v>Electronics</v>
      </c>
      <c r="Q453">
        <f>IF(Clean_Data[[#This Row],[Order_Date]]="","",YEAR(Clean_Data[[#This Row],[Order_Date]]))</f>
        <v>2025</v>
      </c>
      <c r="R453" t="str">
        <f>TEXT(Clean_Data[[#This Row],[Order_Date]],"mmm")</f>
        <v>Jan</v>
      </c>
      <c r="S453" t="str">
        <f>TEXT(Clean_Data[[#This Row],[Order_Date]],"mmm-yy")</f>
        <v>Jan-25</v>
      </c>
      <c r="V453"/>
    </row>
    <row r="454" spans="1:22" x14ac:dyDescent="0.25">
      <c r="A454" t="s">
        <v>515</v>
      </c>
      <c r="B454" s="1">
        <v>45690</v>
      </c>
      <c r="C454" t="s">
        <v>31</v>
      </c>
      <c r="D454" t="s">
        <v>40</v>
      </c>
      <c r="E454" t="s">
        <v>63</v>
      </c>
      <c r="F454" t="s">
        <v>59</v>
      </c>
      <c r="G454">
        <v>18</v>
      </c>
      <c r="H454">
        <v>4500</v>
      </c>
      <c r="I454">
        <v>2948</v>
      </c>
      <c r="J454" t="s">
        <v>45</v>
      </c>
      <c r="K454" t="s">
        <v>17</v>
      </c>
      <c r="L454">
        <f>SUM(Clean_Data[[#This Row],[Units_Sold]]*Clean_Data[[#This Row],[Unit_Price]])</f>
        <v>81000</v>
      </c>
      <c r="M454">
        <f>Clean_Data[[#This Row],[Units_Sold]]*Clean_Data[[#This Row],[Cost_Price]]</f>
        <v>53064</v>
      </c>
      <c r="N454">
        <f>Clean_Data[[#This Row],[Total_Sales]]-Clean_Data[[#This Row],[Total_Cost]]</f>
        <v>27936</v>
      </c>
      <c r="O454" s="2">
        <f>Clean_Data[[#This Row],[Profit]]/Clean_Data[[#This Row],[Total_Sales]]</f>
        <v>0.34488888888888891</v>
      </c>
      <c r="P454" t="str">
        <f>_xlfn.XLOOKUP(Clean_Data[[#This Row],[Product_Code]],Product_Catalog!A:A,Product_Catalog!C:C)</f>
        <v>Electronics</v>
      </c>
      <c r="Q454">
        <f>IF(Clean_Data[[#This Row],[Order_Date]]="","",YEAR(Clean_Data[[#This Row],[Order_Date]]))</f>
        <v>2025</v>
      </c>
      <c r="R454" t="str">
        <f>TEXT(Clean_Data[[#This Row],[Order_Date]],"mmm")</f>
        <v>Feb</v>
      </c>
      <c r="S454" t="str">
        <f>TEXT(Clean_Data[[#This Row],[Order_Date]],"mmm-yy")</f>
        <v>Feb-25</v>
      </c>
      <c r="V454"/>
    </row>
    <row r="455" spans="1:22" x14ac:dyDescent="0.25">
      <c r="A455" t="s">
        <v>516</v>
      </c>
      <c r="B455" s="1">
        <v>45691</v>
      </c>
      <c r="C455" t="s">
        <v>48</v>
      </c>
      <c r="D455" t="s">
        <v>13</v>
      </c>
      <c r="E455" t="s">
        <v>41</v>
      </c>
      <c r="F455" t="s">
        <v>42</v>
      </c>
      <c r="G455">
        <v>8</v>
      </c>
      <c r="H455">
        <v>28000</v>
      </c>
      <c r="I455">
        <v>19082</v>
      </c>
      <c r="J455" t="s">
        <v>29</v>
      </c>
      <c r="K455" t="s">
        <v>17</v>
      </c>
      <c r="L455">
        <f>SUM(Clean_Data[[#This Row],[Units_Sold]]*Clean_Data[[#This Row],[Unit_Price]])</f>
        <v>224000</v>
      </c>
      <c r="M455">
        <f>Clean_Data[[#This Row],[Units_Sold]]*Clean_Data[[#This Row],[Cost_Price]]</f>
        <v>152656</v>
      </c>
      <c r="N455">
        <f>Clean_Data[[#This Row],[Total_Sales]]-Clean_Data[[#This Row],[Total_Cost]]</f>
        <v>71344</v>
      </c>
      <c r="O455" s="2">
        <f>Clean_Data[[#This Row],[Profit]]/Clean_Data[[#This Row],[Total_Sales]]</f>
        <v>0.31850000000000001</v>
      </c>
      <c r="P455" t="str">
        <f>_xlfn.XLOOKUP(Clean_Data[[#This Row],[Product_Code]],Product_Catalog!A:A,Product_Catalog!C:C)</f>
        <v>Electronics</v>
      </c>
      <c r="Q455">
        <f>IF(Clean_Data[[#This Row],[Order_Date]]="","",YEAR(Clean_Data[[#This Row],[Order_Date]]))</f>
        <v>2025</v>
      </c>
      <c r="R455" t="str">
        <f>TEXT(Clean_Data[[#This Row],[Order_Date]],"mmm")</f>
        <v>Feb</v>
      </c>
      <c r="S455" t="str">
        <f>TEXT(Clean_Data[[#This Row],[Order_Date]],"mmm-yy")</f>
        <v>Feb-25</v>
      </c>
      <c r="V455"/>
    </row>
    <row r="456" spans="1:22" x14ac:dyDescent="0.25">
      <c r="A456" t="s">
        <v>517</v>
      </c>
      <c r="B456" s="1">
        <v>45714</v>
      </c>
      <c r="C456" t="s">
        <v>48</v>
      </c>
      <c r="D456" t="s">
        <v>13</v>
      </c>
      <c r="E456" t="s">
        <v>63</v>
      </c>
      <c r="F456" t="s">
        <v>59</v>
      </c>
      <c r="G456">
        <v>6</v>
      </c>
      <c r="H456">
        <v>4500</v>
      </c>
      <c r="I456">
        <v>3570</v>
      </c>
      <c r="J456" t="s">
        <v>45</v>
      </c>
      <c r="K456" t="s">
        <v>46</v>
      </c>
      <c r="L456">
        <f>SUM(Clean_Data[[#This Row],[Units_Sold]]*Clean_Data[[#This Row],[Unit_Price]])</f>
        <v>27000</v>
      </c>
      <c r="M456">
        <f>Clean_Data[[#This Row],[Units_Sold]]*Clean_Data[[#This Row],[Cost_Price]]</f>
        <v>21420</v>
      </c>
      <c r="N456">
        <f>Clean_Data[[#This Row],[Total_Sales]]-Clean_Data[[#This Row],[Total_Cost]]</f>
        <v>5580</v>
      </c>
      <c r="O456" s="2">
        <f>Clean_Data[[#This Row],[Profit]]/Clean_Data[[#This Row],[Total_Sales]]</f>
        <v>0.20666666666666667</v>
      </c>
      <c r="P456" t="str">
        <f>_xlfn.XLOOKUP(Clean_Data[[#This Row],[Product_Code]],Product_Catalog!A:A,Product_Catalog!C:C)</f>
        <v>Electronics</v>
      </c>
      <c r="Q456">
        <f>IF(Clean_Data[[#This Row],[Order_Date]]="","",YEAR(Clean_Data[[#This Row],[Order_Date]]))</f>
        <v>2025</v>
      </c>
      <c r="R456" t="str">
        <f>TEXT(Clean_Data[[#This Row],[Order_Date]],"mmm")</f>
        <v>Feb</v>
      </c>
      <c r="S456" t="str">
        <f>TEXT(Clean_Data[[#This Row],[Order_Date]],"mmm-yy")</f>
        <v>Feb-25</v>
      </c>
      <c r="V456"/>
    </row>
    <row r="457" spans="1:22" x14ac:dyDescent="0.25">
      <c r="A457" t="s">
        <v>518</v>
      </c>
      <c r="B457" s="1">
        <v>45916</v>
      </c>
      <c r="C457" t="s">
        <v>62</v>
      </c>
      <c r="D457" t="s">
        <v>40</v>
      </c>
      <c r="E457" t="s">
        <v>49</v>
      </c>
      <c r="F457" t="s">
        <v>50</v>
      </c>
      <c r="G457">
        <v>11</v>
      </c>
      <c r="H457">
        <v>75000</v>
      </c>
      <c r="I457">
        <v>50693</v>
      </c>
      <c r="J457" t="s">
        <v>45</v>
      </c>
      <c r="K457" t="s">
        <v>23</v>
      </c>
      <c r="L457">
        <f>SUM(Clean_Data[[#This Row],[Units_Sold]]*Clean_Data[[#This Row],[Unit_Price]])</f>
        <v>825000</v>
      </c>
      <c r="M457">
        <f>Clean_Data[[#This Row],[Units_Sold]]*Clean_Data[[#This Row],[Cost_Price]]</f>
        <v>557623</v>
      </c>
      <c r="N457">
        <f>Clean_Data[[#This Row],[Total_Sales]]-Clean_Data[[#This Row],[Total_Cost]]</f>
        <v>267377</v>
      </c>
      <c r="O457" s="2">
        <f>Clean_Data[[#This Row],[Profit]]/Clean_Data[[#This Row],[Total_Sales]]</f>
        <v>0.32409333333333334</v>
      </c>
      <c r="P457" t="str">
        <f>_xlfn.XLOOKUP(Clean_Data[[#This Row],[Product_Code]],Product_Catalog!A:A,Product_Catalog!C:C)</f>
        <v>Electronics</v>
      </c>
      <c r="Q457">
        <f>IF(Clean_Data[[#This Row],[Order_Date]]="","",YEAR(Clean_Data[[#This Row],[Order_Date]]))</f>
        <v>2025</v>
      </c>
      <c r="R457" t="str">
        <f>TEXT(Clean_Data[[#This Row],[Order_Date]],"mmm")</f>
        <v>Sep</v>
      </c>
      <c r="S457" t="str">
        <f>TEXT(Clean_Data[[#This Row],[Order_Date]],"mmm-yy")</f>
        <v>Sep-25</v>
      </c>
      <c r="V457"/>
    </row>
    <row r="458" spans="1:22" x14ac:dyDescent="0.25">
      <c r="A458" t="s">
        <v>519</v>
      </c>
      <c r="B458" s="1">
        <v>45903</v>
      </c>
      <c r="C458" t="s">
        <v>53</v>
      </c>
      <c r="D458" t="s">
        <v>33</v>
      </c>
      <c r="E458" t="s">
        <v>14</v>
      </c>
      <c r="F458" t="s">
        <v>15</v>
      </c>
      <c r="G458">
        <v>14</v>
      </c>
      <c r="H458">
        <v>12500</v>
      </c>
      <c r="I458">
        <v>7712</v>
      </c>
      <c r="J458" t="s">
        <v>45</v>
      </c>
      <c r="K458" t="s">
        <v>23</v>
      </c>
      <c r="L458">
        <f>SUM(Clean_Data[[#This Row],[Units_Sold]]*Clean_Data[[#This Row],[Unit_Price]])</f>
        <v>175000</v>
      </c>
      <c r="M458">
        <f>Clean_Data[[#This Row],[Units_Sold]]*Clean_Data[[#This Row],[Cost_Price]]</f>
        <v>107968</v>
      </c>
      <c r="N458">
        <f>Clean_Data[[#This Row],[Total_Sales]]-Clean_Data[[#This Row],[Total_Cost]]</f>
        <v>67032</v>
      </c>
      <c r="O458" s="2">
        <f>Clean_Data[[#This Row],[Profit]]/Clean_Data[[#This Row],[Total_Sales]]</f>
        <v>0.38303999999999999</v>
      </c>
      <c r="P458" t="str">
        <f>_xlfn.XLOOKUP(Clean_Data[[#This Row],[Product_Code]],Product_Catalog!A:A,Product_Catalog!C:C)</f>
        <v>Accessories</v>
      </c>
      <c r="Q458">
        <f>IF(Clean_Data[[#This Row],[Order_Date]]="","",YEAR(Clean_Data[[#This Row],[Order_Date]]))</f>
        <v>2025</v>
      </c>
      <c r="R458" t="str">
        <f>TEXT(Clean_Data[[#This Row],[Order_Date]],"mmm")</f>
        <v>Sep</v>
      </c>
      <c r="S458" t="str">
        <f>TEXT(Clean_Data[[#This Row],[Order_Date]],"mmm-yy")</f>
        <v>Sep-25</v>
      </c>
      <c r="V458"/>
    </row>
    <row r="459" spans="1:22" x14ac:dyDescent="0.25">
      <c r="A459" t="s">
        <v>520</v>
      </c>
      <c r="B459" s="1">
        <v>46182</v>
      </c>
      <c r="C459" t="s">
        <v>53</v>
      </c>
      <c r="D459" t="s">
        <v>40</v>
      </c>
      <c r="E459" t="s">
        <v>66</v>
      </c>
      <c r="F459" t="s">
        <v>67</v>
      </c>
      <c r="G459">
        <v>6</v>
      </c>
      <c r="H459">
        <v>2500</v>
      </c>
      <c r="I459">
        <v>1607</v>
      </c>
      <c r="J459" t="s">
        <v>22</v>
      </c>
      <c r="K459" t="s">
        <v>46</v>
      </c>
      <c r="L459">
        <f>SUM(Clean_Data[[#This Row],[Units_Sold]]*Clean_Data[[#This Row],[Unit_Price]])</f>
        <v>15000</v>
      </c>
      <c r="M459">
        <f>Clean_Data[[#This Row],[Units_Sold]]*Clean_Data[[#This Row],[Cost_Price]]</f>
        <v>9642</v>
      </c>
      <c r="N459">
        <f>Clean_Data[[#This Row],[Total_Sales]]-Clean_Data[[#This Row],[Total_Cost]]</f>
        <v>5358</v>
      </c>
      <c r="O459" s="2">
        <f>Clean_Data[[#This Row],[Profit]]/Clean_Data[[#This Row],[Total_Sales]]</f>
        <v>0.35720000000000002</v>
      </c>
      <c r="P459" t="str">
        <f>_xlfn.XLOOKUP(Clean_Data[[#This Row],[Product_Code]],Product_Catalog!A:A,Product_Catalog!C:C)</f>
        <v>Electronics</v>
      </c>
      <c r="Q459">
        <f>IF(Clean_Data[[#This Row],[Order_Date]]="","",YEAR(Clean_Data[[#This Row],[Order_Date]]))</f>
        <v>2026</v>
      </c>
      <c r="R459" t="str">
        <f>TEXT(Clean_Data[[#This Row],[Order_Date]],"mmm")</f>
        <v>Jun</v>
      </c>
      <c r="S459" t="str">
        <f>TEXT(Clean_Data[[#This Row],[Order_Date]],"mmm-yy")</f>
        <v>Jun-26</v>
      </c>
      <c r="V459"/>
    </row>
    <row r="460" spans="1:22" x14ac:dyDescent="0.25">
      <c r="A460" t="s">
        <v>521</v>
      </c>
      <c r="B460" s="1">
        <v>46044</v>
      </c>
      <c r="C460" t="s">
        <v>62</v>
      </c>
      <c r="D460" t="s">
        <v>33</v>
      </c>
      <c r="E460" t="s">
        <v>66</v>
      </c>
      <c r="F460" t="s">
        <v>67</v>
      </c>
      <c r="G460">
        <v>14</v>
      </c>
      <c r="H460">
        <v>2500</v>
      </c>
      <c r="I460">
        <v>1726</v>
      </c>
      <c r="J460" t="s">
        <v>22</v>
      </c>
      <c r="K460" t="s">
        <v>23</v>
      </c>
      <c r="L460">
        <f>SUM(Clean_Data[[#This Row],[Units_Sold]]*Clean_Data[[#This Row],[Unit_Price]])</f>
        <v>35000</v>
      </c>
      <c r="M460">
        <f>Clean_Data[[#This Row],[Units_Sold]]*Clean_Data[[#This Row],[Cost_Price]]</f>
        <v>24164</v>
      </c>
      <c r="N460">
        <f>Clean_Data[[#This Row],[Total_Sales]]-Clean_Data[[#This Row],[Total_Cost]]</f>
        <v>10836</v>
      </c>
      <c r="O460" s="2">
        <f>Clean_Data[[#This Row],[Profit]]/Clean_Data[[#This Row],[Total_Sales]]</f>
        <v>0.30959999999999999</v>
      </c>
      <c r="P460" t="str">
        <f>_xlfn.XLOOKUP(Clean_Data[[#This Row],[Product_Code]],Product_Catalog!A:A,Product_Catalog!C:C)</f>
        <v>Electronics</v>
      </c>
      <c r="Q460">
        <f>IF(Clean_Data[[#This Row],[Order_Date]]="","",YEAR(Clean_Data[[#This Row],[Order_Date]]))</f>
        <v>2026</v>
      </c>
      <c r="R460" t="str">
        <f>TEXT(Clean_Data[[#This Row],[Order_Date]],"mmm")</f>
        <v>Jan</v>
      </c>
      <c r="S460" t="str">
        <f>TEXT(Clean_Data[[#This Row],[Order_Date]],"mmm-yy")</f>
        <v>Jan-26</v>
      </c>
      <c r="V460"/>
    </row>
    <row r="461" spans="1:22" x14ac:dyDescent="0.25">
      <c r="A461" t="s">
        <v>522</v>
      </c>
      <c r="B461" s="1">
        <v>45817</v>
      </c>
      <c r="C461" t="s">
        <v>19</v>
      </c>
      <c r="D461" t="s">
        <v>13</v>
      </c>
      <c r="E461" t="s">
        <v>20</v>
      </c>
      <c r="F461" t="s">
        <v>21</v>
      </c>
      <c r="G461">
        <v>13</v>
      </c>
      <c r="H461">
        <v>8500</v>
      </c>
      <c r="I461">
        <v>6792</v>
      </c>
      <c r="J461" t="s">
        <v>45</v>
      </c>
      <c r="K461" t="s">
        <v>23</v>
      </c>
      <c r="L461">
        <f>SUM(Clean_Data[[#This Row],[Units_Sold]]*Clean_Data[[#This Row],[Unit_Price]])</f>
        <v>110500</v>
      </c>
      <c r="M461">
        <f>Clean_Data[[#This Row],[Units_Sold]]*Clean_Data[[#This Row],[Cost_Price]]</f>
        <v>88296</v>
      </c>
      <c r="N461">
        <f>Clean_Data[[#This Row],[Total_Sales]]-Clean_Data[[#This Row],[Total_Cost]]</f>
        <v>22204</v>
      </c>
      <c r="O461" s="2">
        <f>Clean_Data[[#This Row],[Profit]]/Clean_Data[[#This Row],[Total_Sales]]</f>
        <v>0.20094117647058823</v>
      </c>
      <c r="P461" t="str">
        <f>_xlfn.XLOOKUP(Clean_Data[[#This Row],[Product_Code]],Product_Catalog!A:A,Product_Catalog!C:C)</f>
        <v>Accessories</v>
      </c>
      <c r="Q461">
        <f>IF(Clean_Data[[#This Row],[Order_Date]]="","",YEAR(Clean_Data[[#This Row],[Order_Date]]))</f>
        <v>2025</v>
      </c>
      <c r="R461" t="str">
        <f>TEXT(Clean_Data[[#This Row],[Order_Date]],"mmm")</f>
        <v>Jun</v>
      </c>
      <c r="S461" t="str">
        <f>TEXT(Clean_Data[[#This Row],[Order_Date]],"mmm-yy")</f>
        <v>Jun-25</v>
      </c>
      <c r="V461"/>
    </row>
    <row r="462" spans="1:22" x14ac:dyDescent="0.25">
      <c r="A462" t="s">
        <v>523</v>
      </c>
      <c r="B462" s="1">
        <v>46082</v>
      </c>
      <c r="C462" t="s">
        <v>73</v>
      </c>
      <c r="D462" t="s">
        <v>40</v>
      </c>
      <c r="E462" t="s">
        <v>63</v>
      </c>
      <c r="F462" t="s">
        <v>59</v>
      </c>
      <c r="G462">
        <v>2</v>
      </c>
      <c r="H462">
        <v>4500</v>
      </c>
      <c r="I462">
        <v>2831</v>
      </c>
      <c r="J462" t="s">
        <v>29</v>
      </c>
      <c r="K462" t="s">
        <v>46</v>
      </c>
      <c r="L462">
        <f>SUM(Clean_Data[[#This Row],[Units_Sold]]*Clean_Data[[#This Row],[Unit_Price]])</f>
        <v>9000</v>
      </c>
      <c r="M462">
        <f>Clean_Data[[#This Row],[Units_Sold]]*Clean_Data[[#This Row],[Cost_Price]]</f>
        <v>5662</v>
      </c>
      <c r="N462">
        <f>Clean_Data[[#This Row],[Total_Sales]]-Clean_Data[[#This Row],[Total_Cost]]</f>
        <v>3338</v>
      </c>
      <c r="O462" s="2">
        <f>Clean_Data[[#This Row],[Profit]]/Clean_Data[[#This Row],[Total_Sales]]</f>
        <v>0.37088888888888888</v>
      </c>
      <c r="P462" t="str">
        <f>_xlfn.XLOOKUP(Clean_Data[[#This Row],[Product_Code]],Product_Catalog!A:A,Product_Catalog!C:C)</f>
        <v>Electronics</v>
      </c>
      <c r="Q462">
        <f>IF(Clean_Data[[#This Row],[Order_Date]]="","",YEAR(Clean_Data[[#This Row],[Order_Date]]))</f>
        <v>2026</v>
      </c>
      <c r="R462" t="str">
        <f>TEXT(Clean_Data[[#This Row],[Order_Date]],"mmm")</f>
        <v>Mar</v>
      </c>
      <c r="S462" t="str">
        <f>TEXT(Clean_Data[[#This Row],[Order_Date]],"mmm-yy")</f>
        <v>Mar-26</v>
      </c>
      <c r="V462"/>
    </row>
    <row r="463" spans="1:22" x14ac:dyDescent="0.25">
      <c r="A463" t="s">
        <v>524</v>
      </c>
      <c r="B463" s="1">
        <v>45748</v>
      </c>
      <c r="C463" t="s">
        <v>31</v>
      </c>
      <c r="D463" t="s">
        <v>36</v>
      </c>
      <c r="E463" t="s">
        <v>14</v>
      </c>
      <c r="F463" t="s">
        <v>15</v>
      </c>
      <c r="G463">
        <v>11</v>
      </c>
      <c r="H463">
        <v>12500</v>
      </c>
      <c r="I463">
        <v>8871</v>
      </c>
      <c r="J463" t="s">
        <v>29</v>
      </c>
      <c r="K463" t="s">
        <v>23</v>
      </c>
      <c r="L463">
        <f>SUM(Clean_Data[[#This Row],[Units_Sold]]*Clean_Data[[#This Row],[Unit_Price]])</f>
        <v>137500</v>
      </c>
      <c r="M463">
        <f>Clean_Data[[#This Row],[Units_Sold]]*Clean_Data[[#This Row],[Cost_Price]]</f>
        <v>97581</v>
      </c>
      <c r="N463">
        <f>Clean_Data[[#This Row],[Total_Sales]]-Clean_Data[[#This Row],[Total_Cost]]</f>
        <v>39919</v>
      </c>
      <c r="O463" s="2">
        <f>Clean_Data[[#This Row],[Profit]]/Clean_Data[[#This Row],[Total_Sales]]</f>
        <v>0.29032000000000002</v>
      </c>
      <c r="P463" t="str">
        <f>_xlfn.XLOOKUP(Clean_Data[[#This Row],[Product_Code]],Product_Catalog!A:A,Product_Catalog!C:C)</f>
        <v>Accessories</v>
      </c>
      <c r="Q463">
        <f>IF(Clean_Data[[#This Row],[Order_Date]]="","",YEAR(Clean_Data[[#This Row],[Order_Date]]))</f>
        <v>2025</v>
      </c>
      <c r="R463" t="str">
        <f>TEXT(Clean_Data[[#This Row],[Order_Date]],"mmm")</f>
        <v>Apr</v>
      </c>
      <c r="S463" t="str">
        <f>TEXT(Clean_Data[[#This Row],[Order_Date]],"mmm-yy")</f>
        <v>Apr-25</v>
      </c>
      <c r="V463"/>
    </row>
    <row r="464" spans="1:22" x14ac:dyDescent="0.25">
      <c r="A464" t="s">
        <v>525</v>
      </c>
      <c r="B464" s="1">
        <v>45744</v>
      </c>
      <c r="C464" t="s">
        <v>12</v>
      </c>
      <c r="D464" t="s">
        <v>33</v>
      </c>
      <c r="E464" t="s">
        <v>20</v>
      </c>
      <c r="F464" t="s">
        <v>21</v>
      </c>
      <c r="G464">
        <v>2</v>
      </c>
      <c r="H464">
        <v>8500</v>
      </c>
      <c r="I464">
        <v>6550</v>
      </c>
      <c r="J464" t="s">
        <v>29</v>
      </c>
      <c r="K464" t="s">
        <v>17</v>
      </c>
      <c r="L464">
        <f>SUM(Clean_Data[[#This Row],[Units_Sold]]*Clean_Data[[#This Row],[Unit_Price]])</f>
        <v>17000</v>
      </c>
      <c r="M464">
        <f>Clean_Data[[#This Row],[Units_Sold]]*Clean_Data[[#This Row],[Cost_Price]]</f>
        <v>13100</v>
      </c>
      <c r="N464">
        <f>Clean_Data[[#This Row],[Total_Sales]]-Clean_Data[[#This Row],[Total_Cost]]</f>
        <v>3900</v>
      </c>
      <c r="O464" s="2">
        <f>Clean_Data[[#This Row],[Profit]]/Clean_Data[[#This Row],[Total_Sales]]</f>
        <v>0.22941176470588234</v>
      </c>
      <c r="P464" t="str">
        <f>_xlfn.XLOOKUP(Clean_Data[[#This Row],[Product_Code]],Product_Catalog!A:A,Product_Catalog!C:C)</f>
        <v>Accessories</v>
      </c>
      <c r="Q464">
        <f>IF(Clean_Data[[#This Row],[Order_Date]]="","",YEAR(Clean_Data[[#This Row],[Order_Date]]))</f>
        <v>2025</v>
      </c>
      <c r="R464" t="str">
        <f>TEXT(Clean_Data[[#This Row],[Order_Date]],"mmm")</f>
        <v>Mar</v>
      </c>
      <c r="S464" t="str">
        <f>TEXT(Clean_Data[[#This Row],[Order_Date]],"mmm-yy")</f>
        <v>Mar-25</v>
      </c>
      <c r="V464"/>
    </row>
    <row r="465" spans="1:22" x14ac:dyDescent="0.25">
      <c r="A465" t="s">
        <v>526</v>
      </c>
      <c r="B465" s="1">
        <v>45773</v>
      </c>
      <c r="C465" t="s">
        <v>25</v>
      </c>
      <c r="D465" t="s">
        <v>13</v>
      </c>
      <c r="E465" t="s">
        <v>37</v>
      </c>
      <c r="F465" t="s">
        <v>38</v>
      </c>
      <c r="G465">
        <v>17</v>
      </c>
      <c r="H465">
        <v>55000</v>
      </c>
      <c r="I465">
        <v>41221</v>
      </c>
      <c r="J465" t="s">
        <v>22</v>
      </c>
      <c r="K465" t="s">
        <v>23</v>
      </c>
      <c r="L465">
        <f>SUM(Clean_Data[[#This Row],[Units_Sold]]*Clean_Data[[#This Row],[Unit_Price]])</f>
        <v>935000</v>
      </c>
      <c r="M465">
        <f>Clean_Data[[#This Row],[Units_Sold]]*Clean_Data[[#This Row],[Cost_Price]]</f>
        <v>700757</v>
      </c>
      <c r="N465">
        <f>Clean_Data[[#This Row],[Total_Sales]]-Clean_Data[[#This Row],[Total_Cost]]</f>
        <v>234243</v>
      </c>
      <c r="O465" s="2">
        <f>Clean_Data[[#This Row],[Profit]]/Clean_Data[[#This Row],[Total_Sales]]</f>
        <v>0.25052727272727271</v>
      </c>
      <c r="P465" t="str">
        <f>_xlfn.XLOOKUP(Clean_Data[[#This Row],[Product_Code]],Product_Catalog!A:A,Product_Catalog!C:C)</f>
        <v>Electronics</v>
      </c>
      <c r="Q465">
        <f>IF(Clean_Data[[#This Row],[Order_Date]]="","",YEAR(Clean_Data[[#This Row],[Order_Date]]))</f>
        <v>2025</v>
      </c>
      <c r="R465" t="str">
        <f>TEXT(Clean_Data[[#This Row],[Order_Date]],"mmm")</f>
        <v>Apr</v>
      </c>
      <c r="S465" t="str">
        <f>TEXT(Clean_Data[[#This Row],[Order_Date]],"mmm-yy")</f>
        <v>Apr-25</v>
      </c>
      <c r="V465"/>
    </row>
    <row r="466" spans="1:22" x14ac:dyDescent="0.25">
      <c r="A466" t="s">
        <v>527</v>
      </c>
      <c r="B466" s="1">
        <v>46114</v>
      </c>
      <c r="C466" t="s">
        <v>44</v>
      </c>
      <c r="D466" t="s">
        <v>40</v>
      </c>
      <c r="E466" t="s">
        <v>55</v>
      </c>
      <c r="F466" t="s">
        <v>34</v>
      </c>
      <c r="G466">
        <v>16</v>
      </c>
      <c r="H466">
        <v>35000</v>
      </c>
      <c r="I466">
        <v>22881</v>
      </c>
      <c r="J466" t="s">
        <v>22</v>
      </c>
      <c r="K466" t="s">
        <v>23</v>
      </c>
      <c r="L466">
        <f>SUM(Clean_Data[[#This Row],[Units_Sold]]*Clean_Data[[#This Row],[Unit_Price]])</f>
        <v>560000</v>
      </c>
      <c r="M466">
        <f>Clean_Data[[#This Row],[Units_Sold]]*Clean_Data[[#This Row],[Cost_Price]]</f>
        <v>366096</v>
      </c>
      <c r="N466">
        <f>Clean_Data[[#This Row],[Total_Sales]]-Clean_Data[[#This Row],[Total_Cost]]</f>
        <v>193904</v>
      </c>
      <c r="O466" s="2">
        <f>Clean_Data[[#This Row],[Profit]]/Clean_Data[[#This Row],[Total_Sales]]</f>
        <v>0.34625714285714287</v>
      </c>
      <c r="P466" t="str">
        <f>_xlfn.XLOOKUP(Clean_Data[[#This Row],[Product_Code]],Product_Catalog!A:A,Product_Catalog!C:C)</f>
        <v>Furniture</v>
      </c>
      <c r="Q466">
        <f>IF(Clean_Data[[#This Row],[Order_Date]]="","",YEAR(Clean_Data[[#This Row],[Order_Date]]))</f>
        <v>2026</v>
      </c>
      <c r="R466" t="str">
        <f>TEXT(Clean_Data[[#This Row],[Order_Date]],"mmm")</f>
        <v>Apr</v>
      </c>
      <c r="S466" t="str">
        <f>TEXT(Clean_Data[[#This Row],[Order_Date]],"mmm-yy")</f>
        <v>Apr-26</v>
      </c>
      <c r="V466"/>
    </row>
    <row r="467" spans="1:22" x14ac:dyDescent="0.25">
      <c r="A467" t="s">
        <v>528</v>
      </c>
      <c r="B467" s="1">
        <v>45842</v>
      </c>
      <c r="C467" t="s">
        <v>53</v>
      </c>
      <c r="D467" t="s">
        <v>13</v>
      </c>
      <c r="E467" t="s">
        <v>63</v>
      </c>
      <c r="F467" t="s">
        <v>59</v>
      </c>
      <c r="G467">
        <v>16</v>
      </c>
      <c r="H467">
        <v>4500</v>
      </c>
      <c r="I467">
        <v>3034</v>
      </c>
      <c r="J467" t="s">
        <v>16</v>
      </c>
      <c r="K467" t="s">
        <v>23</v>
      </c>
      <c r="L467">
        <f>SUM(Clean_Data[[#This Row],[Units_Sold]]*Clean_Data[[#This Row],[Unit_Price]])</f>
        <v>72000</v>
      </c>
      <c r="M467">
        <f>Clean_Data[[#This Row],[Units_Sold]]*Clean_Data[[#This Row],[Cost_Price]]</f>
        <v>48544</v>
      </c>
      <c r="N467">
        <f>Clean_Data[[#This Row],[Total_Sales]]-Clean_Data[[#This Row],[Total_Cost]]</f>
        <v>23456</v>
      </c>
      <c r="O467" s="2">
        <f>Clean_Data[[#This Row],[Profit]]/Clean_Data[[#This Row],[Total_Sales]]</f>
        <v>0.32577777777777778</v>
      </c>
      <c r="P467" t="str">
        <f>_xlfn.XLOOKUP(Clean_Data[[#This Row],[Product_Code]],Product_Catalog!A:A,Product_Catalog!C:C)</f>
        <v>Electronics</v>
      </c>
      <c r="Q467">
        <f>IF(Clean_Data[[#This Row],[Order_Date]]="","",YEAR(Clean_Data[[#This Row],[Order_Date]]))</f>
        <v>2025</v>
      </c>
      <c r="R467" t="str">
        <f>TEXT(Clean_Data[[#This Row],[Order_Date]],"mmm")</f>
        <v>Jul</v>
      </c>
      <c r="S467" t="str">
        <f>TEXT(Clean_Data[[#This Row],[Order_Date]],"mmm-yy")</f>
        <v>Jul-25</v>
      </c>
      <c r="V467"/>
    </row>
    <row r="468" spans="1:22" x14ac:dyDescent="0.25">
      <c r="A468" t="s">
        <v>529</v>
      </c>
      <c r="B468" s="1">
        <v>45935</v>
      </c>
      <c r="C468" t="s">
        <v>31</v>
      </c>
      <c r="D468" t="s">
        <v>26</v>
      </c>
      <c r="E468" t="s">
        <v>63</v>
      </c>
      <c r="F468" t="s">
        <v>59</v>
      </c>
      <c r="G468">
        <v>4</v>
      </c>
      <c r="H468">
        <v>4500</v>
      </c>
      <c r="I468">
        <v>3148</v>
      </c>
      <c r="J468" t="s">
        <v>22</v>
      </c>
      <c r="K468" t="s">
        <v>17</v>
      </c>
      <c r="L468">
        <f>SUM(Clean_Data[[#This Row],[Units_Sold]]*Clean_Data[[#This Row],[Unit_Price]])</f>
        <v>18000</v>
      </c>
      <c r="M468">
        <f>Clean_Data[[#This Row],[Units_Sold]]*Clean_Data[[#This Row],[Cost_Price]]</f>
        <v>12592</v>
      </c>
      <c r="N468">
        <f>Clean_Data[[#This Row],[Total_Sales]]-Clean_Data[[#This Row],[Total_Cost]]</f>
        <v>5408</v>
      </c>
      <c r="O468" s="2">
        <f>Clean_Data[[#This Row],[Profit]]/Clean_Data[[#This Row],[Total_Sales]]</f>
        <v>0.30044444444444446</v>
      </c>
      <c r="P468" t="str">
        <f>_xlfn.XLOOKUP(Clean_Data[[#This Row],[Product_Code]],Product_Catalog!A:A,Product_Catalog!C:C)</f>
        <v>Electronics</v>
      </c>
      <c r="Q468">
        <f>IF(Clean_Data[[#This Row],[Order_Date]]="","",YEAR(Clean_Data[[#This Row],[Order_Date]]))</f>
        <v>2025</v>
      </c>
      <c r="R468" t="str">
        <f>TEXT(Clean_Data[[#This Row],[Order_Date]],"mmm")</f>
        <v>Oct</v>
      </c>
      <c r="S468" t="str">
        <f>TEXT(Clean_Data[[#This Row],[Order_Date]],"mmm-yy")</f>
        <v>Oct-25</v>
      </c>
      <c r="V468"/>
    </row>
    <row r="469" spans="1:22" x14ac:dyDescent="0.25">
      <c r="A469" t="s">
        <v>530</v>
      </c>
      <c r="B469" s="1">
        <v>45747</v>
      </c>
      <c r="C469" t="s">
        <v>53</v>
      </c>
      <c r="D469" t="s">
        <v>36</v>
      </c>
      <c r="E469" t="s">
        <v>63</v>
      </c>
      <c r="F469" t="s">
        <v>59</v>
      </c>
      <c r="G469">
        <v>16</v>
      </c>
      <c r="H469">
        <v>4500</v>
      </c>
      <c r="I469">
        <v>3528</v>
      </c>
      <c r="J469" t="s">
        <v>22</v>
      </c>
      <c r="K469" t="s">
        <v>17</v>
      </c>
      <c r="L469">
        <f>SUM(Clean_Data[[#This Row],[Units_Sold]]*Clean_Data[[#This Row],[Unit_Price]])</f>
        <v>72000</v>
      </c>
      <c r="M469">
        <f>Clean_Data[[#This Row],[Units_Sold]]*Clean_Data[[#This Row],[Cost_Price]]</f>
        <v>56448</v>
      </c>
      <c r="N469">
        <f>Clean_Data[[#This Row],[Total_Sales]]-Clean_Data[[#This Row],[Total_Cost]]</f>
        <v>15552</v>
      </c>
      <c r="O469" s="2">
        <f>Clean_Data[[#This Row],[Profit]]/Clean_Data[[#This Row],[Total_Sales]]</f>
        <v>0.216</v>
      </c>
      <c r="P469" t="str">
        <f>_xlfn.XLOOKUP(Clean_Data[[#This Row],[Product_Code]],Product_Catalog!A:A,Product_Catalog!C:C)</f>
        <v>Electronics</v>
      </c>
      <c r="Q469">
        <f>IF(Clean_Data[[#This Row],[Order_Date]]="","",YEAR(Clean_Data[[#This Row],[Order_Date]]))</f>
        <v>2025</v>
      </c>
      <c r="R469" t="str">
        <f>TEXT(Clean_Data[[#This Row],[Order_Date]],"mmm")</f>
        <v>Mar</v>
      </c>
      <c r="S469" t="str">
        <f>TEXT(Clean_Data[[#This Row],[Order_Date]],"mmm-yy")</f>
        <v>Mar-25</v>
      </c>
      <c r="V469"/>
    </row>
    <row r="470" spans="1:22" x14ac:dyDescent="0.25">
      <c r="A470" t="s">
        <v>531</v>
      </c>
      <c r="B470" s="1">
        <v>46096</v>
      </c>
      <c r="C470" t="s">
        <v>44</v>
      </c>
      <c r="D470" t="s">
        <v>40</v>
      </c>
      <c r="E470" t="s">
        <v>14</v>
      </c>
      <c r="F470" t="s">
        <v>15</v>
      </c>
      <c r="G470">
        <v>9</v>
      </c>
      <c r="H470">
        <v>12500</v>
      </c>
      <c r="I470">
        <v>9845</v>
      </c>
      <c r="J470" t="s">
        <v>29</v>
      </c>
      <c r="K470" t="s">
        <v>46</v>
      </c>
      <c r="L470">
        <f>SUM(Clean_Data[[#This Row],[Units_Sold]]*Clean_Data[[#This Row],[Unit_Price]])</f>
        <v>112500</v>
      </c>
      <c r="M470">
        <f>Clean_Data[[#This Row],[Units_Sold]]*Clean_Data[[#This Row],[Cost_Price]]</f>
        <v>88605</v>
      </c>
      <c r="N470">
        <f>Clean_Data[[#This Row],[Total_Sales]]-Clean_Data[[#This Row],[Total_Cost]]</f>
        <v>23895</v>
      </c>
      <c r="O470" s="2">
        <f>Clean_Data[[#This Row],[Profit]]/Clean_Data[[#This Row],[Total_Sales]]</f>
        <v>0.21240000000000001</v>
      </c>
      <c r="P470" t="str">
        <f>_xlfn.XLOOKUP(Clean_Data[[#This Row],[Product_Code]],Product_Catalog!A:A,Product_Catalog!C:C)</f>
        <v>Accessories</v>
      </c>
      <c r="Q470">
        <f>IF(Clean_Data[[#This Row],[Order_Date]]="","",YEAR(Clean_Data[[#This Row],[Order_Date]]))</f>
        <v>2026</v>
      </c>
      <c r="R470" t="str">
        <f>TEXT(Clean_Data[[#This Row],[Order_Date]],"mmm")</f>
        <v>Mar</v>
      </c>
      <c r="S470" t="str">
        <f>TEXT(Clean_Data[[#This Row],[Order_Date]],"mmm-yy")</f>
        <v>Mar-26</v>
      </c>
      <c r="V470"/>
    </row>
    <row r="471" spans="1:22" x14ac:dyDescent="0.25">
      <c r="A471" t="s">
        <v>532</v>
      </c>
      <c r="B471" s="1">
        <v>45969</v>
      </c>
      <c r="C471" t="s">
        <v>25</v>
      </c>
      <c r="D471" t="s">
        <v>33</v>
      </c>
      <c r="E471" t="s">
        <v>14</v>
      </c>
      <c r="F471" t="s">
        <v>15</v>
      </c>
      <c r="G471">
        <v>13</v>
      </c>
      <c r="H471">
        <v>12500</v>
      </c>
      <c r="I471">
        <v>8467</v>
      </c>
      <c r="J471" t="s">
        <v>29</v>
      </c>
      <c r="K471" t="s">
        <v>17</v>
      </c>
      <c r="L471">
        <f>SUM(Clean_Data[[#This Row],[Units_Sold]]*Clean_Data[[#This Row],[Unit_Price]])</f>
        <v>162500</v>
      </c>
      <c r="M471">
        <f>Clean_Data[[#This Row],[Units_Sold]]*Clean_Data[[#This Row],[Cost_Price]]</f>
        <v>110071</v>
      </c>
      <c r="N471">
        <f>Clean_Data[[#This Row],[Total_Sales]]-Clean_Data[[#This Row],[Total_Cost]]</f>
        <v>52429</v>
      </c>
      <c r="O471" s="2">
        <f>Clean_Data[[#This Row],[Profit]]/Clean_Data[[#This Row],[Total_Sales]]</f>
        <v>0.32263999999999998</v>
      </c>
      <c r="P471" t="str">
        <f>_xlfn.XLOOKUP(Clean_Data[[#This Row],[Product_Code]],Product_Catalog!A:A,Product_Catalog!C:C)</f>
        <v>Accessories</v>
      </c>
      <c r="Q471">
        <f>IF(Clean_Data[[#This Row],[Order_Date]]="","",YEAR(Clean_Data[[#This Row],[Order_Date]]))</f>
        <v>2025</v>
      </c>
      <c r="R471" t="str">
        <f>TEXT(Clean_Data[[#This Row],[Order_Date]],"mmm")</f>
        <v>Nov</v>
      </c>
      <c r="S471" t="str">
        <f>TEXT(Clean_Data[[#This Row],[Order_Date]],"mmm-yy")</f>
        <v>Nov-25</v>
      </c>
      <c r="V471"/>
    </row>
    <row r="472" spans="1:22" x14ac:dyDescent="0.25">
      <c r="A472" t="s">
        <v>533</v>
      </c>
      <c r="B472" s="1">
        <v>46221</v>
      </c>
      <c r="C472" t="s">
        <v>73</v>
      </c>
      <c r="D472" t="s">
        <v>26</v>
      </c>
      <c r="E472" t="s">
        <v>41</v>
      </c>
      <c r="F472" t="s">
        <v>42</v>
      </c>
      <c r="G472">
        <v>14</v>
      </c>
      <c r="H472">
        <v>28000</v>
      </c>
      <c r="I472">
        <v>19114</v>
      </c>
      <c r="J472" t="s">
        <v>29</v>
      </c>
      <c r="K472" t="s">
        <v>23</v>
      </c>
      <c r="L472">
        <f>SUM(Clean_Data[[#This Row],[Units_Sold]]*Clean_Data[[#This Row],[Unit_Price]])</f>
        <v>392000</v>
      </c>
      <c r="M472">
        <f>Clean_Data[[#This Row],[Units_Sold]]*Clean_Data[[#This Row],[Cost_Price]]</f>
        <v>267596</v>
      </c>
      <c r="N472">
        <f>Clean_Data[[#This Row],[Total_Sales]]-Clean_Data[[#This Row],[Total_Cost]]</f>
        <v>124404</v>
      </c>
      <c r="O472" s="2">
        <f>Clean_Data[[#This Row],[Profit]]/Clean_Data[[#This Row],[Total_Sales]]</f>
        <v>0.31735714285714284</v>
      </c>
      <c r="P472" t="str">
        <f>_xlfn.XLOOKUP(Clean_Data[[#This Row],[Product_Code]],Product_Catalog!A:A,Product_Catalog!C:C)</f>
        <v>Electronics</v>
      </c>
      <c r="Q472">
        <f>IF(Clean_Data[[#This Row],[Order_Date]]="","",YEAR(Clean_Data[[#This Row],[Order_Date]]))</f>
        <v>2026</v>
      </c>
      <c r="R472" t="str">
        <f>TEXT(Clean_Data[[#This Row],[Order_Date]],"mmm")</f>
        <v>Jul</v>
      </c>
      <c r="S472" t="str">
        <f>TEXT(Clean_Data[[#This Row],[Order_Date]],"mmm-yy")</f>
        <v>Jul-26</v>
      </c>
      <c r="V472"/>
    </row>
    <row r="473" spans="1:22" x14ac:dyDescent="0.25">
      <c r="A473" t="s">
        <v>535</v>
      </c>
      <c r="B473" s="1">
        <v>45692</v>
      </c>
      <c r="C473" t="s">
        <v>48</v>
      </c>
      <c r="D473" t="s">
        <v>26</v>
      </c>
      <c r="E473" t="s">
        <v>55</v>
      </c>
      <c r="F473" t="s">
        <v>34</v>
      </c>
      <c r="G473">
        <v>10</v>
      </c>
      <c r="H473">
        <v>35000</v>
      </c>
      <c r="I473">
        <v>24618</v>
      </c>
      <c r="J473" t="s">
        <v>29</v>
      </c>
      <c r="K473" t="s">
        <v>23</v>
      </c>
      <c r="L473">
        <f>SUM(Clean_Data[[#This Row],[Units_Sold]]*Clean_Data[[#This Row],[Unit_Price]])</f>
        <v>350000</v>
      </c>
      <c r="M473">
        <f>Clean_Data[[#This Row],[Units_Sold]]*Clean_Data[[#This Row],[Cost_Price]]</f>
        <v>246180</v>
      </c>
      <c r="N473">
        <f>Clean_Data[[#This Row],[Total_Sales]]-Clean_Data[[#This Row],[Total_Cost]]</f>
        <v>103820</v>
      </c>
      <c r="O473" s="2">
        <f>Clean_Data[[#This Row],[Profit]]/Clean_Data[[#This Row],[Total_Sales]]</f>
        <v>0.29662857142857141</v>
      </c>
      <c r="P473" t="str">
        <f>_xlfn.XLOOKUP(Clean_Data[[#This Row],[Product_Code]],Product_Catalog!A:A,Product_Catalog!C:C)</f>
        <v>Furniture</v>
      </c>
      <c r="Q473">
        <f>IF(Clean_Data[[#This Row],[Order_Date]]="","",YEAR(Clean_Data[[#This Row],[Order_Date]]))</f>
        <v>2025</v>
      </c>
      <c r="R473" t="str">
        <f>TEXT(Clean_Data[[#This Row],[Order_Date]],"mmm")</f>
        <v>Feb</v>
      </c>
      <c r="S473" t="str">
        <f>TEXT(Clean_Data[[#This Row],[Order_Date]],"mmm-yy")</f>
        <v>Feb-25</v>
      </c>
      <c r="V473"/>
    </row>
    <row r="474" spans="1:22" x14ac:dyDescent="0.25">
      <c r="A474" t="s">
        <v>536</v>
      </c>
      <c r="B474" s="1">
        <v>46081</v>
      </c>
      <c r="C474" t="s">
        <v>73</v>
      </c>
      <c r="D474" t="s">
        <v>40</v>
      </c>
      <c r="E474" t="s">
        <v>49</v>
      </c>
      <c r="F474" t="s">
        <v>50</v>
      </c>
      <c r="G474">
        <v>3</v>
      </c>
      <c r="H474">
        <v>75000</v>
      </c>
      <c r="I474">
        <v>46289</v>
      </c>
      <c r="J474" t="s">
        <v>29</v>
      </c>
      <c r="K474" t="s">
        <v>17</v>
      </c>
      <c r="L474">
        <f>SUM(Clean_Data[[#This Row],[Units_Sold]]*Clean_Data[[#This Row],[Unit_Price]])</f>
        <v>225000</v>
      </c>
      <c r="M474">
        <f>Clean_Data[[#This Row],[Units_Sold]]*Clean_Data[[#This Row],[Cost_Price]]</f>
        <v>138867</v>
      </c>
      <c r="N474">
        <f>Clean_Data[[#This Row],[Total_Sales]]-Clean_Data[[#This Row],[Total_Cost]]</f>
        <v>86133</v>
      </c>
      <c r="O474" s="2">
        <f>Clean_Data[[#This Row],[Profit]]/Clean_Data[[#This Row],[Total_Sales]]</f>
        <v>0.38281333333333334</v>
      </c>
      <c r="P474" t="str">
        <f>_xlfn.XLOOKUP(Clean_Data[[#This Row],[Product_Code]],Product_Catalog!A:A,Product_Catalog!C:C)</f>
        <v>Electronics</v>
      </c>
      <c r="Q474">
        <f>IF(Clean_Data[[#This Row],[Order_Date]]="","",YEAR(Clean_Data[[#This Row],[Order_Date]]))</f>
        <v>2026</v>
      </c>
      <c r="R474" t="str">
        <f>TEXT(Clean_Data[[#This Row],[Order_Date]],"mmm")</f>
        <v>Feb</v>
      </c>
      <c r="S474" t="str">
        <f>TEXT(Clean_Data[[#This Row],[Order_Date]],"mmm-yy")</f>
        <v>Feb-26</v>
      </c>
      <c r="V474"/>
    </row>
    <row r="475" spans="1:22" x14ac:dyDescent="0.25">
      <c r="A475" t="s">
        <v>537</v>
      </c>
      <c r="B475" s="1">
        <v>45843</v>
      </c>
      <c r="C475" t="s">
        <v>12</v>
      </c>
      <c r="D475" t="s">
        <v>40</v>
      </c>
      <c r="E475" t="s">
        <v>49</v>
      </c>
      <c r="F475" t="s">
        <v>50</v>
      </c>
      <c r="G475">
        <v>13</v>
      </c>
      <c r="H475">
        <v>75000</v>
      </c>
      <c r="I475">
        <v>45933</v>
      </c>
      <c r="J475" t="s">
        <v>29</v>
      </c>
      <c r="K475" t="s">
        <v>23</v>
      </c>
      <c r="L475">
        <f>SUM(Clean_Data[[#This Row],[Units_Sold]]*Clean_Data[[#This Row],[Unit_Price]])</f>
        <v>975000</v>
      </c>
      <c r="M475">
        <f>Clean_Data[[#This Row],[Units_Sold]]*Clean_Data[[#This Row],[Cost_Price]]</f>
        <v>597129</v>
      </c>
      <c r="N475">
        <f>Clean_Data[[#This Row],[Total_Sales]]-Clean_Data[[#This Row],[Total_Cost]]</f>
        <v>377871</v>
      </c>
      <c r="O475" s="2">
        <f>Clean_Data[[#This Row],[Profit]]/Clean_Data[[#This Row],[Total_Sales]]</f>
        <v>0.38756000000000002</v>
      </c>
      <c r="P475" t="str">
        <f>_xlfn.XLOOKUP(Clean_Data[[#This Row],[Product_Code]],Product_Catalog!A:A,Product_Catalog!C:C)</f>
        <v>Electronics</v>
      </c>
      <c r="Q475">
        <f>IF(Clean_Data[[#This Row],[Order_Date]]="","",YEAR(Clean_Data[[#This Row],[Order_Date]]))</f>
        <v>2025</v>
      </c>
      <c r="R475" t="str">
        <f>TEXT(Clean_Data[[#This Row],[Order_Date]],"mmm")</f>
        <v>Jul</v>
      </c>
      <c r="S475" t="str">
        <f>TEXT(Clean_Data[[#This Row],[Order_Date]],"mmm-yy")</f>
        <v>Jul-25</v>
      </c>
      <c r="V475"/>
    </row>
    <row r="476" spans="1:22" x14ac:dyDescent="0.25">
      <c r="A476" t="s">
        <v>538</v>
      </c>
      <c r="B476" s="1">
        <v>46220</v>
      </c>
      <c r="C476" t="s">
        <v>62</v>
      </c>
      <c r="D476" t="s">
        <v>36</v>
      </c>
      <c r="E476" t="s">
        <v>63</v>
      </c>
      <c r="F476" t="s">
        <v>59</v>
      </c>
      <c r="G476">
        <v>10</v>
      </c>
      <c r="H476">
        <v>4500</v>
      </c>
      <c r="I476">
        <v>2947</v>
      </c>
      <c r="J476" t="s">
        <v>45</v>
      </c>
      <c r="K476" t="s">
        <v>23</v>
      </c>
      <c r="L476">
        <f>SUM(Clean_Data[[#This Row],[Units_Sold]]*Clean_Data[[#This Row],[Unit_Price]])</f>
        <v>45000</v>
      </c>
      <c r="M476">
        <f>Clean_Data[[#This Row],[Units_Sold]]*Clean_Data[[#This Row],[Cost_Price]]</f>
        <v>29470</v>
      </c>
      <c r="N476">
        <f>Clean_Data[[#This Row],[Total_Sales]]-Clean_Data[[#This Row],[Total_Cost]]</f>
        <v>15530</v>
      </c>
      <c r="O476" s="2">
        <f>Clean_Data[[#This Row],[Profit]]/Clean_Data[[#This Row],[Total_Sales]]</f>
        <v>0.34511111111111109</v>
      </c>
      <c r="P476" t="str">
        <f>_xlfn.XLOOKUP(Clean_Data[[#This Row],[Product_Code]],Product_Catalog!A:A,Product_Catalog!C:C)</f>
        <v>Electronics</v>
      </c>
      <c r="Q476">
        <f>IF(Clean_Data[[#This Row],[Order_Date]]="","",YEAR(Clean_Data[[#This Row],[Order_Date]]))</f>
        <v>2026</v>
      </c>
      <c r="R476" t="str">
        <f>TEXT(Clean_Data[[#This Row],[Order_Date]],"mmm")</f>
        <v>Jul</v>
      </c>
      <c r="S476" t="str">
        <f>TEXT(Clean_Data[[#This Row],[Order_Date]],"mmm-yy")</f>
        <v>Jul-26</v>
      </c>
      <c r="V476"/>
    </row>
    <row r="477" spans="1:22" x14ac:dyDescent="0.25">
      <c r="A477" t="s">
        <v>539</v>
      </c>
      <c r="B477" s="1">
        <v>46143</v>
      </c>
      <c r="C477" t="s">
        <v>44</v>
      </c>
      <c r="D477" t="s">
        <v>36</v>
      </c>
      <c r="E477" t="s">
        <v>55</v>
      </c>
      <c r="F477" t="s">
        <v>34</v>
      </c>
      <c r="G477">
        <v>13</v>
      </c>
      <c r="H477">
        <v>35000</v>
      </c>
      <c r="I477">
        <v>24344</v>
      </c>
      <c r="J477" t="s">
        <v>22</v>
      </c>
      <c r="K477" t="s">
        <v>84</v>
      </c>
      <c r="L477">
        <f>SUM(Clean_Data[[#This Row],[Units_Sold]]*Clean_Data[[#This Row],[Unit_Price]])</f>
        <v>455000</v>
      </c>
      <c r="M477">
        <f>Clean_Data[[#This Row],[Units_Sold]]*Clean_Data[[#This Row],[Cost_Price]]</f>
        <v>316472</v>
      </c>
      <c r="N477">
        <f>Clean_Data[[#This Row],[Total_Sales]]-Clean_Data[[#This Row],[Total_Cost]]</f>
        <v>138528</v>
      </c>
      <c r="O477" s="2">
        <f>Clean_Data[[#This Row],[Profit]]/Clean_Data[[#This Row],[Total_Sales]]</f>
        <v>0.30445714285714287</v>
      </c>
      <c r="P477" t="str">
        <f>_xlfn.XLOOKUP(Clean_Data[[#This Row],[Product_Code]],Product_Catalog!A:A,Product_Catalog!C:C)</f>
        <v>Furniture</v>
      </c>
      <c r="Q477">
        <f>IF(Clean_Data[[#This Row],[Order_Date]]="","",YEAR(Clean_Data[[#This Row],[Order_Date]]))</f>
        <v>2026</v>
      </c>
      <c r="R477" t="str">
        <f>TEXT(Clean_Data[[#This Row],[Order_Date]],"mmm")</f>
        <v>May</v>
      </c>
      <c r="S477" t="str">
        <f>TEXT(Clean_Data[[#This Row],[Order_Date]],"mmm-yy")</f>
        <v>May-26</v>
      </c>
      <c r="V477"/>
    </row>
    <row r="478" spans="1:22" x14ac:dyDescent="0.25">
      <c r="A478" t="s">
        <v>540</v>
      </c>
      <c r="B478" s="1">
        <v>45711</v>
      </c>
      <c r="C478" t="s">
        <v>73</v>
      </c>
      <c r="D478" t="s">
        <v>13</v>
      </c>
      <c r="E478" t="s">
        <v>49</v>
      </c>
      <c r="F478" t="s">
        <v>50</v>
      </c>
      <c r="G478">
        <v>6</v>
      </c>
      <c r="H478">
        <v>75000</v>
      </c>
      <c r="I478">
        <v>55148</v>
      </c>
      <c r="J478" t="s">
        <v>29</v>
      </c>
      <c r="K478" t="s">
        <v>23</v>
      </c>
      <c r="L478">
        <f>SUM(Clean_Data[[#This Row],[Units_Sold]]*Clean_Data[[#This Row],[Unit_Price]])</f>
        <v>450000</v>
      </c>
      <c r="M478">
        <f>Clean_Data[[#This Row],[Units_Sold]]*Clean_Data[[#This Row],[Cost_Price]]</f>
        <v>330888</v>
      </c>
      <c r="N478">
        <f>Clean_Data[[#This Row],[Total_Sales]]-Clean_Data[[#This Row],[Total_Cost]]</f>
        <v>119112</v>
      </c>
      <c r="O478" s="2">
        <f>Clean_Data[[#This Row],[Profit]]/Clean_Data[[#This Row],[Total_Sales]]</f>
        <v>0.26469333333333334</v>
      </c>
      <c r="P478" t="str">
        <f>_xlfn.XLOOKUP(Clean_Data[[#This Row],[Product_Code]],Product_Catalog!A:A,Product_Catalog!C:C)</f>
        <v>Electronics</v>
      </c>
      <c r="Q478">
        <f>IF(Clean_Data[[#This Row],[Order_Date]]="","",YEAR(Clean_Data[[#This Row],[Order_Date]]))</f>
        <v>2025</v>
      </c>
      <c r="R478" t="str">
        <f>TEXT(Clean_Data[[#This Row],[Order_Date]],"mmm")</f>
        <v>Feb</v>
      </c>
      <c r="S478" t="str">
        <f>TEXT(Clean_Data[[#This Row],[Order_Date]],"mmm-yy")</f>
        <v>Feb-25</v>
      </c>
      <c r="V478"/>
    </row>
    <row r="479" spans="1:22" x14ac:dyDescent="0.25">
      <c r="A479" t="s">
        <v>541</v>
      </c>
      <c r="B479" s="1">
        <v>46248</v>
      </c>
      <c r="C479" t="s">
        <v>25</v>
      </c>
      <c r="D479" t="s">
        <v>13</v>
      </c>
      <c r="E479" t="s">
        <v>37</v>
      </c>
      <c r="F479" t="s">
        <v>38</v>
      </c>
      <c r="G479">
        <v>18</v>
      </c>
      <c r="H479">
        <v>55000</v>
      </c>
      <c r="I479">
        <v>37146</v>
      </c>
      <c r="J479" t="s">
        <v>16</v>
      </c>
      <c r="K479" t="s">
        <v>23</v>
      </c>
      <c r="L479">
        <f>SUM(Clean_Data[[#This Row],[Units_Sold]]*Clean_Data[[#This Row],[Unit_Price]])</f>
        <v>990000</v>
      </c>
      <c r="M479">
        <f>Clean_Data[[#This Row],[Units_Sold]]*Clean_Data[[#This Row],[Cost_Price]]</f>
        <v>668628</v>
      </c>
      <c r="N479">
        <f>Clean_Data[[#This Row],[Total_Sales]]-Clean_Data[[#This Row],[Total_Cost]]</f>
        <v>321372</v>
      </c>
      <c r="O479" s="2">
        <f>Clean_Data[[#This Row],[Profit]]/Clean_Data[[#This Row],[Total_Sales]]</f>
        <v>0.32461818181818181</v>
      </c>
      <c r="P479" t="str">
        <f>_xlfn.XLOOKUP(Clean_Data[[#This Row],[Product_Code]],Product_Catalog!A:A,Product_Catalog!C:C)</f>
        <v>Electronics</v>
      </c>
      <c r="Q479">
        <f>IF(Clean_Data[[#This Row],[Order_Date]]="","",YEAR(Clean_Data[[#This Row],[Order_Date]]))</f>
        <v>2026</v>
      </c>
      <c r="R479" t="str">
        <f>TEXT(Clean_Data[[#This Row],[Order_Date]],"mmm")</f>
        <v>Aug</v>
      </c>
      <c r="S479" t="str">
        <f>TEXT(Clean_Data[[#This Row],[Order_Date]],"mmm-yy")</f>
        <v>Aug-26</v>
      </c>
      <c r="V479"/>
    </row>
    <row r="480" spans="1:22" x14ac:dyDescent="0.25">
      <c r="A480" t="s">
        <v>542</v>
      </c>
      <c r="B480" s="1">
        <v>45713</v>
      </c>
      <c r="C480" t="s">
        <v>48</v>
      </c>
      <c r="D480" t="s">
        <v>13</v>
      </c>
      <c r="E480" t="s">
        <v>27</v>
      </c>
      <c r="F480" t="s">
        <v>28</v>
      </c>
      <c r="G480">
        <v>10</v>
      </c>
      <c r="H480">
        <v>14000</v>
      </c>
      <c r="I480">
        <v>9113</v>
      </c>
      <c r="J480" t="s">
        <v>29</v>
      </c>
      <c r="K480" t="s">
        <v>23</v>
      </c>
      <c r="L480">
        <f>SUM(Clean_Data[[#This Row],[Units_Sold]]*Clean_Data[[#This Row],[Unit_Price]])</f>
        <v>140000</v>
      </c>
      <c r="M480">
        <f>Clean_Data[[#This Row],[Units_Sold]]*Clean_Data[[#This Row],[Cost_Price]]</f>
        <v>91130</v>
      </c>
      <c r="N480">
        <f>Clean_Data[[#This Row],[Total_Sales]]-Clean_Data[[#This Row],[Total_Cost]]</f>
        <v>48870</v>
      </c>
      <c r="O480" s="2">
        <f>Clean_Data[[#This Row],[Profit]]/Clean_Data[[#This Row],[Total_Sales]]</f>
        <v>0.34907142857142859</v>
      </c>
      <c r="P480" t="str">
        <f>_xlfn.XLOOKUP(Clean_Data[[#This Row],[Product_Code]],Product_Catalog!A:A,Product_Catalog!C:C)</f>
        <v>Furniture</v>
      </c>
      <c r="Q480">
        <f>IF(Clean_Data[[#This Row],[Order_Date]]="","",YEAR(Clean_Data[[#This Row],[Order_Date]]))</f>
        <v>2025</v>
      </c>
      <c r="R480" t="str">
        <f>TEXT(Clean_Data[[#This Row],[Order_Date]],"mmm")</f>
        <v>Feb</v>
      </c>
      <c r="S480" t="str">
        <f>TEXT(Clean_Data[[#This Row],[Order_Date]],"mmm-yy")</f>
        <v>Feb-25</v>
      </c>
      <c r="V480"/>
    </row>
    <row r="481" spans="1:22" x14ac:dyDescent="0.25">
      <c r="A481" t="s">
        <v>543</v>
      </c>
      <c r="B481" s="1">
        <v>45806</v>
      </c>
      <c r="C481" t="s">
        <v>73</v>
      </c>
      <c r="D481" t="s">
        <v>36</v>
      </c>
      <c r="E481" t="s">
        <v>27</v>
      </c>
      <c r="F481" t="s">
        <v>28</v>
      </c>
      <c r="G481">
        <v>4</v>
      </c>
      <c r="H481">
        <v>14000</v>
      </c>
      <c r="I481">
        <v>9437</v>
      </c>
      <c r="J481" t="s">
        <v>29</v>
      </c>
      <c r="K481" t="s">
        <v>46</v>
      </c>
      <c r="L481">
        <f>SUM(Clean_Data[[#This Row],[Units_Sold]]*Clean_Data[[#This Row],[Unit_Price]])</f>
        <v>56000</v>
      </c>
      <c r="M481">
        <f>Clean_Data[[#This Row],[Units_Sold]]*Clean_Data[[#This Row],[Cost_Price]]</f>
        <v>37748</v>
      </c>
      <c r="N481">
        <f>Clean_Data[[#This Row],[Total_Sales]]-Clean_Data[[#This Row],[Total_Cost]]</f>
        <v>18252</v>
      </c>
      <c r="O481" s="2">
        <f>Clean_Data[[#This Row],[Profit]]/Clean_Data[[#This Row],[Total_Sales]]</f>
        <v>0.3259285714285714</v>
      </c>
      <c r="P481" t="str">
        <f>_xlfn.XLOOKUP(Clean_Data[[#This Row],[Product_Code]],Product_Catalog!A:A,Product_Catalog!C:C)</f>
        <v>Furniture</v>
      </c>
      <c r="Q481">
        <f>IF(Clean_Data[[#This Row],[Order_Date]]="","",YEAR(Clean_Data[[#This Row],[Order_Date]]))</f>
        <v>2025</v>
      </c>
      <c r="R481" t="str">
        <f>TEXT(Clean_Data[[#This Row],[Order_Date]],"mmm")</f>
        <v>May</v>
      </c>
      <c r="S481" t="str">
        <f>TEXT(Clean_Data[[#This Row],[Order_Date]],"mmm-yy")</f>
        <v>May-25</v>
      </c>
      <c r="V481"/>
    </row>
    <row r="482" spans="1:22" x14ac:dyDescent="0.25">
      <c r="A482" t="s">
        <v>544</v>
      </c>
      <c r="B482" s="1">
        <v>45900</v>
      </c>
      <c r="C482" t="s">
        <v>12</v>
      </c>
      <c r="D482" t="s">
        <v>13</v>
      </c>
      <c r="E482" t="s">
        <v>37</v>
      </c>
      <c r="F482" t="s">
        <v>38</v>
      </c>
      <c r="G482">
        <v>10</v>
      </c>
      <c r="H482">
        <v>55000</v>
      </c>
      <c r="I482">
        <v>33148</v>
      </c>
      <c r="J482" t="s">
        <v>16</v>
      </c>
      <c r="K482" t="s">
        <v>46</v>
      </c>
      <c r="L482">
        <f>SUM(Clean_Data[[#This Row],[Units_Sold]]*Clean_Data[[#This Row],[Unit_Price]])</f>
        <v>550000</v>
      </c>
      <c r="M482">
        <f>Clean_Data[[#This Row],[Units_Sold]]*Clean_Data[[#This Row],[Cost_Price]]</f>
        <v>331480</v>
      </c>
      <c r="N482">
        <f>Clean_Data[[#This Row],[Total_Sales]]-Clean_Data[[#This Row],[Total_Cost]]</f>
        <v>218520</v>
      </c>
      <c r="O482" s="2">
        <f>Clean_Data[[#This Row],[Profit]]/Clean_Data[[#This Row],[Total_Sales]]</f>
        <v>0.39730909090909089</v>
      </c>
      <c r="P482" t="str">
        <f>_xlfn.XLOOKUP(Clean_Data[[#This Row],[Product_Code]],Product_Catalog!A:A,Product_Catalog!C:C)</f>
        <v>Electronics</v>
      </c>
      <c r="Q482">
        <f>IF(Clean_Data[[#This Row],[Order_Date]]="","",YEAR(Clean_Data[[#This Row],[Order_Date]]))</f>
        <v>2025</v>
      </c>
      <c r="R482" t="str">
        <f>TEXT(Clean_Data[[#This Row],[Order_Date]],"mmm")</f>
        <v>Aug</v>
      </c>
      <c r="S482" t="str">
        <f>TEXT(Clean_Data[[#This Row],[Order_Date]],"mmm-yy")</f>
        <v>Aug-25</v>
      </c>
      <c r="V482"/>
    </row>
    <row r="483" spans="1:22" x14ac:dyDescent="0.25">
      <c r="A483" t="s">
        <v>545</v>
      </c>
      <c r="B483" s="1">
        <v>45904</v>
      </c>
      <c r="C483" t="s">
        <v>12</v>
      </c>
      <c r="D483" t="s">
        <v>33</v>
      </c>
      <c r="E483" t="s">
        <v>41</v>
      </c>
      <c r="F483" t="s">
        <v>42</v>
      </c>
      <c r="G483">
        <v>5</v>
      </c>
      <c r="H483">
        <v>28000</v>
      </c>
      <c r="I483">
        <v>17468</v>
      </c>
      <c r="J483" t="s">
        <v>29</v>
      </c>
      <c r="K483" t="s">
        <v>23</v>
      </c>
      <c r="L483">
        <f>SUM(Clean_Data[[#This Row],[Units_Sold]]*Clean_Data[[#This Row],[Unit_Price]])</f>
        <v>140000</v>
      </c>
      <c r="M483">
        <f>Clean_Data[[#This Row],[Units_Sold]]*Clean_Data[[#This Row],[Cost_Price]]</f>
        <v>87340</v>
      </c>
      <c r="N483">
        <f>Clean_Data[[#This Row],[Total_Sales]]-Clean_Data[[#This Row],[Total_Cost]]</f>
        <v>52660</v>
      </c>
      <c r="O483" s="2">
        <f>Clean_Data[[#This Row],[Profit]]/Clean_Data[[#This Row],[Total_Sales]]</f>
        <v>0.37614285714285717</v>
      </c>
      <c r="P483" t="str">
        <f>_xlfn.XLOOKUP(Clean_Data[[#This Row],[Product_Code]],Product_Catalog!A:A,Product_Catalog!C:C)</f>
        <v>Electronics</v>
      </c>
      <c r="Q483">
        <f>IF(Clean_Data[[#This Row],[Order_Date]]="","",YEAR(Clean_Data[[#This Row],[Order_Date]]))</f>
        <v>2025</v>
      </c>
      <c r="R483" t="str">
        <f>TEXT(Clean_Data[[#This Row],[Order_Date]],"mmm")</f>
        <v>Sep</v>
      </c>
      <c r="S483" t="str">
        <f>TEXT(Clean_Data[[#This Row],[Order_Date]],"mmm-yy")</f>
        <v>Sep-25</v>
      </c>
      <c r="V483"/>
    </row>
    <row r="484" spans="1:22" x14ac:dyDescent="0.25">
      <c r="A484" t="s">
        <v>546</v>
      </c>
      <c r="B484" s="1">
        <v>45716</v>
      </c>
      <c r="C484" t="s">
        <v>19</v>
      </c>
      <c r="D484" t="s">
        <v>40</v>
      </c>
      <c r="E484" t="s">
        <v>49</v>
      </c>
      <c r="F484" t="s">
        <v>50</v>
      </c>
      <c r="G484">
        <v>15</v>
      </c>
      <c r="H484">
        <v>75000</v>
      </c>
      <c r="I484">
        <v>45823</v>
      </c>
      <c r="J484" t="s">
        <v>45</v>
      </c>
      <c r="K484" t="s">
        <v>17</v>
      </c>
      <c r="L484">
        <f>SUM(Clean_Data[[#This Row],[Units_Sold]]*Clean_Data[[#This Row],[Unit_Price]])</f>
        <v>1125000</v>
      </c>
      <c r="M484">
        <f>Clean_Data[[#This Row],[Units_Sold]]*Clean_Data[[#This Row],[Cost_Price]]</f>
        <v>687345</v>
      </c>
      <c r="N484">
        <f>Clean_Data[[#This Row],[Total_Sales]]-Clean_Data[[#This Row],[Total_Cost]]</f>
        <v>437655</v>
      </c>
      <c r="O484" s="2">
        <f>Clean_Data[[#This Row],[Profit]]/Clean_Data[[#This Row],[Total_Sales]]</f>
        <v>0.38902666666666669</v>
      </c>
      <c r="P484" t="str">
        <f>_xlfn.XLOOKUP(Clean_Data[[#This Row],[Product_Code]],Product_Catalog!A:A,Product_Catalog!C:C)</f>
        <v>Electronics</v>
      </c>
      <c r="Q484">
        <f>IF(Clean_Data[[#This Row],[Order_Date]]="","",YEAR(Clean_Data[[#This Row],[Order_Date]]))</f>
        <v>2025</v>
      </c>
      <c r="R484" t="str">
        <f>TEXT(Clean_Data[[#This Row],[Order_Date]],"mmm")</f>
        <v>Feb</v>
      </c>
      <c r="S484" t="str">
        <f>TEXT(Clean_Data[[#This Row],[Order_Date]],"mmm-yy")</f>
        <v>Feb-25</v>
      </c>
      <c r="V484"/>
    </row>
    <row r="485" spans="1:22" x14ac:dyDescent="0.25">
      <c r="A485" t="s">
        <v>547</v>
      </c>
      <c r="B485" s="1">
        <v>45982</v>
      </c>
      <c r="C485" t="s">
        <v>44</v>
      </c>
      <c r="D485" t="s">
        <v>40</v>
      </c>
      <c r="E485" t="s">
        <v>37</v>
      </c>
      <c r="F485" t="s">
        <v>38</v>
      </c>
      <c r="G485">
        <v>18</v>
      </c>
      <c r="H485">
        <v>55000</v>
      </c>
      <c r="I485">
        <v>43574</v>
      </c>
      <c r="J485" t="s">
        <v>29</v>
      </c>
      <c r="K485" t="s">
        <v>17</v>
      </c>
      <c r="L485">
        <f>SUM(Clean_Data[[#This Row],[Units_Sold]]*Clean_Data[[#This Row],[Unit_Price]])</f>
        <v>990000</v>
      </c>
      <c r="M485">
        <f>Clean_Data[[#This Row],[Units_Sold]]*Clean_Data[[#This Row],[Cost_Price]]</f>
        <v>784332</v>
      </c>
      <c r="N485">
        <f>Clean_Data[[#This Row],[Total_Sales]]-Clean_Data[[#This Row],[Total_Cost]]</f>
        <v>205668</v>
      </c>
      <c r="O485" s="2">
        <f>Clean_Data[[#This Row],[Profit]]/Clean_Data[[#This Row],[Total_Sales]]</f>
        <v>0.20774545454545454</v>
      </c>
      <c r="P485" t="str">
        <f>_xlfn.XLOOKUP(Clean_Data[[#This Row],[Product_Code]],Product_Catalog!A:A,Product_Catalog!C:C)</f>
        <v>Electronics</v>
      </c>
      <c r="Q485">
        <f>IF(Clean_Data[[#This Row],[Order_Date]]="","",YEAR(Clean_Data[[#This Row],[Order_Date]]))</f>
        <v>2025</v>
      </c>
      <c r="R485" t="str">
        <f>TEXT(Clean_Data[[#This Row],[Order_Date]],"mmm")</f>
        <v>Nov</v>
      </c>
      <c r="S485" t="str">
        <f>TEXT(Clean_Data[[#This Row],[Order_Date]],"mmm-yy")</f>
        <v>Nov-25</v>
      </c>
      <c r="V485"/>
    </row>
    <row r="486" spans="1:22" x14ac:dyDescent="0.25">
      <c r="A486" t="s">
        <v>548</v>
      </c>
      <c r="B486" s="1">
        <v>45767</v>
      </c>
      <c r="C486" t="s">
        <v>44</v>
      </c>
      <c r="D486" t="s">
        <v>40</v>
      </c>
      <c r="E486" t="s">
        <v>14</v>
      </c>
      <c r="F486" t="s">
        <v>15</v>
      </c>
      <c r="G486">
        <v>16</v>
      </c>
      <c r="H486">
        <v>12500</v>
      </c>
      <c r="I486">
        <v>8586</v>
      </c>
      <c r="J486" t="s">
        <v>45</v>
      </c>
      <c r="K486" t="s">
        <v>17</v>
      </c>
      <c r="L486">
        <f>SUM(Clean_Data[[#This Row],[Units_Sold]]*Clean_Data[[#This Row],[Unit_Price]])</f>
        <v>200000</v>
      </c>
      <c r="M486">
        <f>Clean_Data[[#This Row],[Units_Sold]]*Clean_Data[[#This Row],[Cost_Price]]</f>
        <v>137376</v>
      </c>
      <c r="N486">
        <f>Clean_Data[[#This Row],[Total_Sales]]-Clean_Data[[#This Row],[Total_Cost]]</f>
        <v>62624</v>
      </c>
      <c r="O486" s="2">
        <f>Clean_Data[[#This Row],[Profit]]/Clean_Data[[#This Row],[Total_Sales]]</f>
        <v>0.31312000000000001</v>
      </c>
      <c r="P486" t="str">
        <f>_xlfn.XLOOKUP(Clean_Data[[#This Row],[Product_Code]],Product_Catalog!A:A,Product_Catalog!C:C)</f>
        <v>Accessories</v>
      </c>
      <c r="Q486">
        <f>IF(Clean_Data[[#This Row],[Order_Date]]="","",YEAR(Clean_Data[[#This Row],[Order_Date]]))</f>
        <v>2025</v>
      </c>
      <c r="R486" t="str">
        <f>TEXT(Clean_Data[[#This Row],[Order_Date]],"mmm")</f>
        <v>Apr</v>
      </c>
      <c r="S486" t="str">
        <f>TEXT(Clean_Data[[#This Row],[Order_Date]],"mmm-yy")</f>
        <v>Apr-25</v>
      </c>
      <c r="V486"/>
    </row>
    <row r="487" spans="1:22" x14ac:dyDescent="0.25">
      <c r="A487" t="s">
        <v>549</v>
      </c>
      <c r="B487" s="1">
        <v>45732</v>
      </c>
      <c r="C487" t="s">
        <v>48</v>
      </c>
      <c r="D487" t="s">
        <v>26</v>
      </c>
      <c r="E487" t="s">
        <v>63</v>
      </c>
      <c r="F487" t="s">
        <v>59</v>
      </c>
      <c r="G487">
        <v>3</v>
      </c>
      <c r="H487">
        <v>4500</v>
      </c>
      <c r="I487">
        <v>2749</v>
      </c>
      <c r="J487" t="s">
        <v>22</v>
      </c>
      <c r="K487" t="s">
        <v>17</v>
      </c>
      <c r="L487">
        <f>SUM(Clean_Data[[#This Row],[Units_Sold]]*Clean_Data[[#This Row],[Unit_Price]])</f>
        <v>13500</v>
      </c>
      <c r="M487">
        <f>Clean_Data[[#This Row],[Units_Sold]]*Clean_Data[[#This Row],[Cost_Price]]</f>
        <v>8247</v>
      </c>
      <c r="N487">
        <f>Clean_Data[[#This Row],[Total_Sales]]-Clean_Data[[#This Row],[Total_Cost]]</f>
        <v>5253</v>
      </c>
      <c r="O487" s="2">
        <f>Clean_Data[[#This Row],[Profit]]/Clean_Data[[#This Row],[Total_Sales]]</f>
        <v>0.38911111111111113</v>
      </c>
      <c r="P487" t="str">
        <f>_xlfn.XLOOKUP(Clean_Data[[#This Row],[Product_Code]],Product_Catalog!A:A,Product_Catalog!C:C)</f>
        <v>Electronics</v>
      </c>
      <c r="Q487">
        <f>IF(Clean_Data[[#This Row],[Order_Date]]="","",YEAR(Clean_Data[[#This Row],[Order_Date]]))</f>
        <v>2025</v>
      </c>
      <c r="R487" t="str">
        <f>TEXT(Clean_Data[[#This Row],[Order_Date]],"mmm")</f>
        <v>Mar</v>
      </c>
      <c r="S487" t="str">
        <f>TEXT(Clean_Data[[#This Row],[Order_Date]],"mmm-yy")</f>
        <v>Mar-25</v>
      </c>
      <c r="V487"/>
    </row>
    <row r="488" spans="1:22" x14ac:dyDescent="0.25">
      <c r="A488" t="s">
        <v>550</v>
      </c>
      <c r="B488" s="1">
        <v>46237</v>
      </c>
      <c r="C488" t="s">
        <v>12</v>
      </c>
      <c r="D488" t="s">
        <v>40</v>
      </c>
      <c r="E488" t="s">
        <v>63</v>
      </c>
      <c r="F488" t="s">
        <v>59</v>
      </c>
      <c r="G488">
        <v>9</v>
      </c>
      <c r="H488">
        <v>4500</v>
      </c>
      <c r="I488">
        <v>3284</v>
      </c>
      <c r="J488" t="s">
        <v>22</v>
      </c>
      <c r="K488" t="s">
        <v>23</v>
      </c>
      <c r="L488">
        <f>SUM(Clean_Data[[#This Row],[Units_Sold]]*Clean_Data[[#This Row],[Unit_Price]])</f>
        <v>40500</v>
      </c>
      <c r="M488">
        <f>Clean_Data[[#This Row],[Units_Sold]]*Clean_Data[[#This Row],[Cost_Price]]</f>
        <v>29556</v>
      </c>
      <c r="N488">
        <f>Clean_Data[[#This Row],[Total_Sales]]-Clean_Data[[#This Row],[Total_Cost]]</f>
        <v>10944</v>
      </c>
      <c r="O488" s="2">
        <f>Clean_Data[[#This Row],[Profit]]/Clean_Data[[#This Row],[Total_Sales]]</f>
        <v>0.2702222222222222</v>
      </c>
      <c r="P488" t="str">
        <f>_xlfn.XLOOKUP(Clean_Data[[#This Row],[Product_Code]],Product_Catalog!A:A,Product_Catalog!C:C)</f>
        <v>Electronics</v>
      </c>
      <c r="Q488">
        <f>IF(Clean_Data[[#This Row],[Order_Date]]="","",YEAR(Clean_Data[[#This Row],[Order_Date]]))</f>
        <v>2026</v>
      </c>
      <c r="R488" t="str">
        <f>TEXT(Clean_Data[[#This Row],[Order_Date]],"mmm")</f>
        <v>Aug</v>
      </c>
      <c r="S488" t="str">
        <f>TEXT(Clean_Data[[#This Row],[Order_Date]],"mmm-yy")</f>
        <v>Aug-26</v>
      </c>
      <c r="V488"/>
    </row>
    <row r="489" spans="1:22" x14ac:dyDescent="0.25">
      <c r="A489" t="s">
        <v>551</v>
      </c>
      <c r="B489" s="1">
        <v>45786</v>
      </c>
      <c r="C489" t="s">
        <v>12</v>
      </c>
      <c r="D489" t="s">
        <v>26</v>
      </c>
      <c r="E489" t="s">
        <v>63</v>
      </c>
      <c r="F489" t="s">
        <v>59</v>
      </c>
      <c r="G489">
        <v>6</v>
      </c>
      <c r="H489">
        <v>4500</v>
      </c>
      <c r="I489">
        <v>2859</v>
      </c>
      <c r="J489" t="s">
        <v>45</v>
      </c>
      <c r="K489" t="s">
        <v>23</v>
      </c>
      <c r="L489">
        <f>SUM(Clean_Data[[#This Row],[Units_Sold]]*Clean_Data[[#This Row],[Unit_Price]])</f>
        <v>27000</v>
      </c>
      <c r="M489">
        <f>Clean_Data[[#This Row],[Units_Sold]]*Clean_Data[[#This Row],[Cost_Price]]</f>
        <v>17154</v>
      </c>
      <c r="N489">
        <f>Clean_Data[[#This Row],[Total_Sales]]-Clean_Data[[#This Row],[Total_Cost]]</f>
        <v>9846</v>
      </c>
      <c r="O489" s="2">
        <f>Clean_Data[[#This Row],[Profit]]/Clean_Data[[#This Row],[Total_Sales]]</f>
        <v>0.36466666666666664</v>
      </c>
      <c r="P489" t="str">
        <f>_xlfn.XLOOKUP(Clean_Data[[#This Row],[Product_Code]],Product_Catalog!A:A,Product_Catalog!C:C)</f>
        <v>Electronics</v>
      </c>
      <c r="Q489">
        <f>IF(Clean_Data[[#This Row],[Order_Date]]="","",YEAR(Clean_Data[[#This Row],[Order_Date]]))</f>
        <v>2025</v>
      </c>
      <c r="R489" t="str">
        <f>TEXT(Clean_Data[[#This Row],[Order_Date]],"mmm")</f>
        <v>May</v>
      </c>
      <c r="S489" t="str">
        <f>TEXT(Clean_Data[[#This Row],[Order_Date]],"mmm-yy")</f>
        <v>May-25</v>
      </c>
      <c r="V489"/>
    </row>
    <row r="490" spans="1:22" x14ac:dyDescent="0.25">
      <c r="A490" t="s">
        <v>552</v>
      </c>
      <c r="B490" s="1">
        <v>46067</v>
      </c>
      <c r="C490" t="s">
        <v>44</v>
      </c>
      <c r="D490" t="s">
        <v>40</v>
      </c>
      <c r="E490" t="s">
        <v>20</v>
      </c>
      <c r="F490" t="s">
        <v>21</v>
      </c>
      <c r="G490">
        <v>19</v>
      </c>
      <c r="H490">
        <v>8500</v>
      </c>
      <c r="I490">
        <v>5766</v>
      </c>
      <c r="J490" t="s">
        <v>29</v>
      </c>
      <c r="K490" t="s">
        <v>23</v>
      </c>
      <c r="L490">
        <f>SUM(Clean_Data[[#This Row],[Units_Sold]]*Clean_Data[[#This Row],[Unit_Price]])</f>
        <v>161500</v>
      </c>
      <c r="M490">
        <f>Clean_Data[[#This Row],[Units_Sold]]*Clean_Data[[#This Row],[Cost_Price]]</f>
        <v>109554</v>
      </c>
      <c r="N490">
        <f>Clean_Data[[#This Row],[Total_Sales]]-Clean_Data[[#This Row],[Total_Cost]]</f>
        <v>51946</v>
      </c>
      <c r="O490" s="2">
        <f>Clean_Data[[#This Row],[Profit]]/Clean_Data[[#This Row],[Total_Sales]]</f>
        <v>0.3216470588235294</v>
      </c>
      <c r="P490" t="str">
        <f>_xlfn.XLOOKUP(Clean_Data[[#This Row],[Product_Code]],Product_Catalog!A:A,Product_Catalog!C:C)</f>
        <v>Accessories</v>
      </c>
      <c r="Q490">
        <f>IF(Clean_Data[[#This Row],[Order_Date]]="","",YEAR(Clean_Data[[#This Row],[Order_Date]]))</f>
        <v>2026</v>
      </c>
      <c r="R490" t="str">
        <f>TEXT(Clean_Data[[#This Row],[Order_Date]],"mmm")</f>
        <v>Feb</v>
      </c>
      <c r="S490" t="str">
        <f>TEXT(Clean_Data[[#This Row],[Order_Date]],"mmm-yy")</f>
        <v>Feb-26</v>
      </c>
      <c r="V490"/>
    </row>
    <row r="491" spans="1:22" x14ac:dyDescent="0.25">
      <c r="A491" t="s">
        <v>553</v>
      </c>
      <c r="B491" s="1">
        <v>45835</v>
      </c>
      <c r="C491" t="s">
        <v>25</v>
      </c>
      <c r="D491" t="s">
        <v>40</v>
      </c>
      <c r="E491" t="s">
        <v>27</v>
      </c>
      <c r="F491" t="s">
        <v>28</v>
      </c>
      <c r="G491">
        <v>16</v>
      </c>
      <c r="H491">
        <v>14000</v>
      </c>
      <c r="I491">
        <v>8934</v>
      </c>
      <c r="J491" t="s">
        <v>29</v>
      </c>
      <c r="K491" t="s">
        <v>17</v>
      </c>
      <c r="L491">
        <f>SUM(Clean_Data[[#This Row],[Units_Sold]]*Clean_Data[[#This Row],[Unit_Price]])</f>
        <v>224000</v>
      </c>
      <c r="M491">
        <f>Clean_Data[[#This Row],[Units_Sold]]*Clean_Data[[#This Row],[Cost_Price]]</f>
        <v>142944</v>
      </c>
      <c r="N491">
        <f>Clean_Data[[#This Row],[Total_Sales]]-Clean_Data[[#This Row],[Total_Cost]]</f>
        <v>81056</v>
      </c>
      <c r="O491" s="2">
        <f>Clean_Data[[#This Row],[Profit]]/Clean_Data[[#This Row],[Total_Sales]]</f>
        <v>0.36185714285714288</v>
      </c>
      <c r="P491" t="str">
        <f>_xlfn.XLOOKUP(Clean_Data[[#This Row],[Product_Code]],Product_Catalog!A:A,Product_Catalog!C:C)</f>
        <v>Furniture</v>
      </c>
      <c r="Q491">
        <f>IF(Clean_Data[[#This Row],[Order_Date]]="","",YEAR(Clean_Data[[#This Row],[Order_Date]]))</f>
        <v>2025</v>
      </c>
      <c r="R491" t="str">
        <f>TEXT(Clean_Data[[#This Row],[Order_Date]],"mmm")</f>
        <v>Jun</v>
      </c>
      <c r="S491" t="str">
        <f>TEXT(Clean_Data[[#This Row],[Order_Date]],"mmm-yy")</f>
        <v>Jun-25</v>
      </c>
      <c r="V491"/>
    </row>
    <row r="492" spans="1:22" x14ac:dyDescent="0.25">
      <c r="A492" t="s">
        <v>554</v>
      </c>
      <c r="B492" s="1">
        <v>45940</v>
      </c>
      <c r="C492" t="s">
        <v>12</v>
      </c>
      <c r="D492" t="s">
        <v>40</v>
      </c>
      <c r="E492" t="s">
        <v>14</v>
      </c>
      <c r="F492" t="s">
        <v>15</v>
      </c>
      <c r="G492">
        <v>7</v>
      </c>
      <c r="H492">
        <v>12500</v>
      </c>
      <c r="I492">
        <v>8380</v>
      </c>
      <c r="J492" t="s">
        <v>45</v>
      </c>
      <c r="K492" t="s">
        <v>46</v>
      </c>
      <c r="L492">
        <f>SUM(Clean_Data[[#This Row],[Units_Sold]]*Clean_Data[[#This Row],[Unit_Price]])</f>
        <v>87500</v>
      </c>
      <c r="M492">
        <f>Clean_Data[[#This Row],[Units_Sold]]*Clean_Data[[#This Row],[Cost_Price]]</f>
        <v>58660</v>
      </c>
      <c r="N492">
        <f>Clean_Data[[#This Row],[Total_Sales]]-Clean_Data[[#This Row],[Total_Cost]]</f>
        <v>28840</v>
      </c>
      <c r="O492" s="2">
        <f>Clean_Data[[#This Row],[Profit]]/Clean_Data[[#This Row],[Total_Sales]]</f>
        <v>0.3296</v>
      </c>
      <c r="P492" t="str">
        <f>_xlfn.XLOOKUP(Clean_Data[[#This Row],[Product_Code]],Product_Catalog!A:A,Product_Catalog!C:C)</f>
        <v>Accessories</v>
      </c>
      <c r="Q492">
        <f>IF(Clean_Data[[#This Row],[Order_Date]]="","",YEAR(Clean_Data[[#This Row],[Order_Date]]))</f>
        <v>2025</v>
      </c>
      <c r="R492" t="str">
        <f>TEXT(Clean_Data[[#This Row],[Order_Date]],"mmm")</f>
        <v>Oct</v>
      </c>
      <c r="S492" t="str">
        <f>TEXT(Clean_Data[[#This Row],[Order_Date]],"mmm-yy")</f>
        <v>Oct-25</v>
      </c>
      <c r="V492"/>
    </row>
    <row r="493" spans="1:22" x14ac:dyDescent="0.25">
      <c r="A493" t="s">
        <v>555</v>
      </c>
      <c r="B493" s="1">
        <v>45745</v>
      </c>
      <c r="C493" t="s">
        <v>62</v>
      </c>
      <c r="D493" t="s">
        <v>40</v>
      </c>
      <c r="E493" t="s">
        <v>66</v>
      </c>
      <c r="F493" t="s">
        <v>67</v>
      </c>
      <c r="G493">
        <v>5</v>
      </c>
      <c r="H493">
        <v>2500</v>
      </c>
      <c r="I493">
        <v>1762</v>
      </c>
      <c r="J493" t="s">
        <v>45</v>
      </c>
      <c r="K493" t="s">
        <v>17</v>
      </c>
      <c r="L493">
        <f>SUM(Clean_Data[[#This Row],[Units_Sold]]*Clean_Data[[#This Row],[Unit_Price]])</f>
        <v>12500</v>
      </c>
      <c r="M493">
        <f>Clean_Data[[#This Row],[Units_Sold]]*Clean_Data[[#This Row],[Cost_Price]]</f>
        <v>8810</v>
      </c>
      <c r="N493">
        <f>Clean_Data[[#This Row],[Total_Sales]]-Clean_Data[[#This Row],[Total_Cost]]</f>
        <v>3690</v>
      </c>
      <c r="O493" s="2">
        <f>Clean_Data[[#This Row],[Profit]]/Clean_Data[[#This Row],[Total_Sales]]</f>
        <v>0.29520000000000002</v>
      </c>
      <c r="P493" t="str">
        <f>_xlfn.XLOOKUP(Clean_Data[[#This Row],[Product_Code]],Product_Catalog!A:A,Product_Catalog!C:C)</f>
        <v>Electronics</v>
      </c>
      <c r="Q493">
        <f>IF(Clean_Data[[#This Row],[Order_Date]]="","",YEAR(Clean_Data[[#This Row],[Order_Date]]))</f>
        <v>2025</v>
      </c>
      <c r="R493" t="str">
        <f>TEXT(Clean_Data[[#This Row],[Order_Date]],"mmm")</f>
        <v>Mar</v>
      </c>
      <c r="S493" t="str">
        <f>TEXT(Clean_Data[[#This Row],[Order_Date]],"mmm-yy")</f>
        <v>Mar-25</v>
      </c>
      <c r="V493"/>
    </row>
    <row r="494" spans="1:22" x14ac:dyDescent="0.25">
      <c r="A494" t="s">
        <v>556</v>
      </c>
      <c r="B494" s="1">
        <v>45849</v>
      </c>
      <c r="C494" t="s">
        <v>19</v>
      </c>
      <c r="D494" t="s">
        <v>26</v>
      </c>
      <c r="E494" t="s">
        <v>66</v>
      </c>
      <c r="F494" t="s">
        <v>67</v>
      </c>
      <c r="G494">
        <v>6</v>
      </c>
      <c r="H494">
        <v>2500</v>
      </c>
      <c r="I494">
        <v>1800</v>
      </c>
      <c r="J494" t="s">
        <v>45</v>
      </c>
      <c r="K494" t="s">
        <v>46</v>
      </c>
      <c r="L494">
        <f>SUM(Clean_Data[[#This Row],[Units_Sold]]*Clean_Data[[#This Row],[Unit_Price]])</f>
        <v>15000</v>
      </c>
      <c r="M494">
        <f>Clean_Data[[#This Row],[Units_Sold]]*Clean_Data[[#This Row],[Cost_Price]]</f>
        <v>10800</v>
      </c>
      <c r="N494">
        <f>Clean_Data[[#This Row],[Total_Sales]]-Clean_Data[[#This Row],[Total_Cost]]</f>
        <v>4200</v>
      </c>
      <c r="O494" s="2">
        <f>Clean_Data[[#This Row],[Profit]]/Clean_Data[[#This Row],[Total_Sales]]</f>
        <v>0.28000000000000003</v>
      </c>
      <c r="P494" t="str">
        <f>_xlfn.XLOOKUP(Clean_Data[[#This Row],[Product_Code]],Product_Catalog!A:A,Product_Catalog!C:C)</f>
        <v>Electronics</v>
      </c>
      <c r="Q494">
        <f>IF(Clean_Data[[#This Row],[Order_Date]]="","",YEAR(Clean_Data[[#This Row],[Order_Date]]))</f>
        <v>2025</v>
      </c>
      <c r="R494" t="str">
        <f>TEXT(Clean_Data[[#This Row],[Order_Date]],"mmm")</f>
        <v>Jul</v>
      </c>
      <c r="S494" t="str">
        <f>TEXT(Clean_Data[[#This Row],[Order_Date]],"mmm-yy")</f>
        <v>Jul-25</v>
      </c>
      <c r="V494"/>
    </row>
    <row r="495" spans="1:22" x14ac:dyDescent="0.25">
      <c r="A495" t="s">
        <v>557</v>
      </c>
      <c r="B495" s="1">
        <v>45927</v>
      </c>
      <c r="C495" t="s">
        <v>31</v>
      </c>
      <c r="D495" t="s">
        <v>13</v>
      </c>
      <c r="E495" t="s">
        <v>49</v>
      </c>
      <c r="F495" t="s">
        <v>50</v>
      </c>
      <c r="G495">
        <v>4</v>
      </c>
      <c r="H495">
        <v>75000</v>
      </c>
      <c r="I495">
        <v>53356</v>
      </c>
      <c r="J495" t="s">
        <v>22</v>
      </c>
      <c r="K495" t="s">
        <v>17</v>
      </c>
      <c r="L495">
        <f>SUM(Clean_Data[[#This Row],[Units_Sold]]*Clean_Data[[#This Row],[Unit_Price]])</f>
        <v>300000</v>
      </c>
      <c r="M495">
        <f>Clean_Data[[#This Row],[Units_Sold]]*Clean_Data[[#This Row],[Cost_Price]]</f>
        <v>213424</v>
      </c>
      <c r="N495">
        <f>Clean_Data[[#This Row],[Total_Sales]]-Clean_Data[[#This Row],[Total_Cost]]</f>
        <v>86576</v>
      </c>
      <c r="O495" s="2">
        <f>Clean_Data[[#This Row],[Profit]]/Clean_Data[[#This Row],[Total_Sales]]</f>
        <v>0.28858666666666666</v>
      </c>
      <c r="P495" t="str">
        <f>_xlfn.XLOOKUP(Clean_Data[[#This Row],[Product_Code]],Product_Catalog!A:A,Product_Catalog!C:C)</f>
        <v>Electronics</v>
      </c>
      <c r="Q495">
        <f>IF(Clean_Data[[#This Row],[Order_Date]]="","",YEAR(Clean_Data[[#This Row],[Order_Date]]))</f>
        <v>2025</v>
      </c>
      <c r="R495" t="str">
        <f>TEXT(Clean_Data[[#This Row],[Order_Date]],"mmm")</f>
        <v>Sep</v>
      </c>
      <c r="S495" t="str">
        <f>TEXT(Clean_Data[[#This Row],[Order_Date]],"mmm-yy")</f>
        <v>Sep-25</v>
      </c>
      <c r="V495"/>
    </row>
    <row r="496" spans="1:22" x14ac:dyDescent="0.25">
      <c r="A496" t="s">
        <v>558</v>
      </c>
      <c r="B496" s="1">
        <v>45714</v>
      </c>
      <c r="C496" t="s">
        <v>62</v>
      </c>
      <c r="D496" t="s">
        <v>33</v>
      </c>
      <c r="E496" t="s">
        <v>55</v>
      </c>
      <c r="F496" t="s">
        <v>34</v>
      </c>
      <c r="G496">
        <v>2</v>
      </c>
      <c r="H496">
        <v>35000</v>
      </c>
      <c r="I496">
        <v>26560</v>
      </c>
      <c r="J496" t="s">
        <v>29</v>
      </c>
      <c r="K496" t="s">
        <v>23</v>
      </c>
      <c r="L496">
        <f>SUM(Clean_Data[[#This Row],[Units_Sold]]*Clean_Data[[#This Row],[Unit_Price]])</f>
        <v>70000</v>
      </c>
      <c r="M496">
        <f>Clean_Data[[#This Row],[Units_Sold]]*Clean_Data[[#This Row],[Cost_Price]]</f>
        <v>53120</v>
      </c>
      <c r="N496">
        <f>Clean_Data[[#This Row],[Total_Sales]]-Clean_Data[[#This Row],[Total_Cost]]</f>
        <v>16880</v>
      </c>
      <c r="O496" s="2">
        <f>Clean_Data[[#This Row],[Profit]]/Clean_Data[[#This Row],[Total_Sales]]</f>
        <v>0.24114285714285713</v>
      </c>
      <c r="P496" t="str">
        <f>_xlfn.XLOOKUP(Clean_Data[[#This Row],[Product_Code]],Product_Catalog!A:A,Product_Catalog!C:C)</f>
        <v>Furniture</v>
      </c>
      <c r="Q496">
        <f>IF(Clean_Data[[#This Row],[Order_Date]]="","",YEAR(Clean_Data[[#This Row],[Order_Date]]))</f>
        <v>2025</v>
      </c>
      <c r="R496" t="str">
        <f>TEXT(Clean_Data[[#This Row],[Order_Date]],"mmm")</f>
        <v>Feb</v>
      </c>
      <c r="S496" t="str">
        <f>TEXT(Clean_Data[[#This Row],[Order_Date]],"mmm-yy")</f>
        <v>Feb-25</v>
      </c>
      <c r="V496"/>
    </row>
    <row r="497" spans="1:22" x14ac:dyDescent="0.25">
      <c r="A497" t="s">
        <v>559</v>
      </c>
      <c r="B497" s="1">
        <v>46189</v>
      </c>
      <c r="C497" t="s">
        <v>62</v>
      </c>
      <c r="D497" t="s">
        <v>13</v>
      </c>
      <c r="E497" t="s">
        <v>49</v>
      </c>
      <c r="F497" t="s">
        <v>50</v>
      </c>
      <c r="G497">
        <v>5</v>
      </c>
      <c r="H497">
        <v>75000</v>
      </c>
      <c r="I497">
        <v>49486</v>
      </c>
      <c r="J497" t="s">
        <v>29</v>
      </c>
      <c r="K497" t="s">
        <v>46</v>
      </c>
      <c r="L497">
        <f>SUM(Clean_Data[[#This Row],[Units_Sold]]*Clean_Data[[#This Row],[Unit_Price]])</f>
        <v>375000</v>
      </c>
      <c r="M497">
        <f>Clean_Data[[#This Row],[Units_Sold]]*Clean_Data[[#This Row],[Cost_Price]]</f>
        <v>247430</v>
      </c>
      <c r="N497">
        <f>Clean_Data[[#This Row],[Total_Sales]]-Clean_Data[[#This Row],[Total_Cost]]</f>
        <v>127570</v>
      </c>
      <c r="O497" s="2">
        <f>Clean_Data[[#This Row],[Profit]]/Clean_Data[[#This Row],[Total_Sales]]</f>
        <v>0.34018666666666669</v>
      </c>
      <c r="P497" t="str">
        <f>_xlfn.XLOOKUP(Clean_Data[[#This Row],[Product_Code]],Product_Catalog!A:A,Product_Catalog!C:C)</f>
        <v>Electronics</v>
      </c>
      <c r="Q497">
        <f>IF(Clean_Data[[#This Row],[Order_Date]]="","",YEAR(Clean_Data[[#This Row],[Order_Date]]))</f>
        <v>2026</v>
      </c>
      <c r="R497" t="str">
        <f>TEXT(Clean_Data[[#This Row],[Order_Date]],"mmm")</f>
        <v>Jun</v>
      </c>
      <c r="S497" t="str">
        <f>TEXT(Clean_Data[[#This Row],[Order_Date]],"mmm-yy")</f>
        <v>Jun-26</v>
      </c>
      <c r="V497"/>
    </row>
    <row r="498" spans="1:22" x14ac:dyDescent="0.25">
      <c r="A498" t="s">
        <v>560</v>
      </c>
      <c r="B498" s="1">
        <v>45825</v>
      </c>
      <c r="C498" t="s">
        <v>44</v>
      </c>
      <c r="D498" t="s">
        <v>40</v>
      </c>
      <c r="E498" t="s">
        <v>20</v>
      </c>
      <c r="F498" t="s">
        <v>21</v>
      </c>
      <c r="G498">
        <v>18</v>
      </c>
      <c r="H498">
        <v>8500</v>
      </c>
      <c r="I498">
        <v>5107</v>
      </c>
      <c r="J498" t="s">
        <v>22</v>
      </c>
      <c r="K498" t="s">
        <v>17</v>
      </c>
      <c r="L498">
        <f>SUM(Clean_Data[[#This Row],[Units_Sold]]*Clean_Data[[#This Row],[Unit_Price]])</f>
        <v>153000</v>
      </c>
      <c r="M498">
        <f>Clean_Data[[#This Row],[Units_Sold]]*Clean_Data[[#This Row],[Cost_Price]]</f>
        <v>91926</v>
      </c>
      <c r="N498">
        <f>Clean_Data[[#This Row],[Total_Sales]]-Clean_Data[[#This Row],[Total_Cost]]</f>
        <v>61074</v>
      </c>
      <c r="O498" s="2">
        <f>Clean_Data[[#This Row],[Profit]]/Clean_Data[[#This Row],[Total_Sales]]</f>
        <v>0.3991764705882353</v>
      </c>
      <c r="P498" t="str">
        <f>_xlfn.XLOOKUP(Clean_Data[[#This Row],[Product_Code]],Product_Catalog!A:A,Product_Catalog!C:C)</f>
        <v>Accessories</v>
      </c>
      <c r="Q498">
        <f>IF(Clean_Data[[#This Row],[Order_Date]]="","",YEAR(Clean_Data[[#This Row],[Order_Date]]))</f>
        <v>2025</v>
      </c>
      <c r="R498" t="str">
        <f>TEXT(Clean_Data[[#This Row],[Order_Date]],"mmm")</f>
        <v>Jun</v>
      </c>
      <c r="S498" t="str">
        <f>TEXT(Clean_Data[[#This Row],[Order_Date]],"mmm-yy")</f>
        <v>Jun-25</v>
      </c>
      <c r="V498"/>
    </row>
    <row r="499" spans="1:22" x14ac:dyDescent="0.25">
      <c r="A499" t="s">
        <v>561</v>
      </c>
      <c r="B499" s="1">
        <v>45825</v>
      </c>
      <c r="C499" t="s">
        <v>31</v>
      </c>
      <c r="D499" t="s">
        <v>36</v>
      </c>
      <c r="E499" t="s">
        <v>63</v>
      </c>
      <c r="F499" t="s">
        <v>59</v>
      </c>
      <c r="G499">
        <v>3</v>
      </c>
      <c r="H499">
        <v>4500</v>
      </c>
      <c r="I499">
        <v>2879</v>
      </c>
      <c r="J499" t="s">
        <v>29</v>
      </c>
      <c r="K499" t="s">
        <v>23</v>
      </c>
      <c r="L499">
        <f>SUM(Clean_Data[[#This Row],[Units_Sold]]*Clean_Data[[#This Row],[Unit_Price]])</f>
        <v>13500</v>
      </c>
      <c r="M499">
        <f>Clean_Data[[#This Row],[Units_Sold]]*Clean_Data[[#This Row],[Cost_Price]]</f>
        <v>8637</v>
      </c>
      <c r="N499">
        <f>Clean_Data[[#This Row],[Total_Sales]]-Clean_Data[[#This Row],[Total_Cost]]</f>
        <v>4863</v>
      </c>
      <c r="O499" s="2">
        <f>Clean_Data[[#This Row],[Profit]]/Clean_Data[[#This Row],[Total_Sales]]</f>
        <v>0.36022222222222222</v>
      </c>
      <c r="P499" t="str">
        <f>_xlfn.XLOOKUP(Clean_Data[[#This Row],[Product_Code]],Product_Catalog!A:A,Product_Catalog!C:C)</f>
        <v>Electronics</v>
      </c>
      <c r="Q499">
        <f>IF(Clean_Data[[#This Row],[Order_Date]]="","",YEAR(Clean_Data[[#This Row],[Order_Date]]))</f>
        <v>2025</v>
      </c>
      <c r="R499" t="str">
        <f>TEXT(Clean_Data[[#This Row],[Order_Date]],"mmm")</f>
        <v>Jun</v>
      </c>
      <c r="S499" t="str">
        <f>TEXT(Clean_Data[[#This Row],[Order_Date]],"mmm-yy")</f>
        <v>Jun-25</v>
      </c>
      <c r="V499"/>
    </row>
    <row r="500" spans="1:22" x14ac:dyDescent="0.25">
      <c r="A500" t="s">
        <v>562</v>
      </c>
      <c r="B500" s="1">
        <v>45752</v>
      </c>
      <c r="C500" t="s">
        <v>73</v>
      </c>
      <c r="D500" t="s">
        <v>13</v>
      </c>
      <c r="E500" t="s">
        <v>41</v>
      </c>
      <c r="F500" t="s">
        <v>42</v>
      </c>
      <c r="G500">
        <v>19</v>
      </c>
      <c r="H500">
        <v>28000</v>
      </c>
      <c r="I500">
        <v>21623</v>
      </c>
      <c r="J500" t="s">
        <v>29</v>
      </c>
      <c r="K500" t="s">
        <v>17</v>
      </c>
      <c r="L500">
        <f>SUM(Clean_Data[[#This Row],[Units_Sold]]*Clean_Data[[#This Row],[Unit_Price]])</f>
        <v>532000</v>
      </c>
      <c r="M500">
        <f>Clean_Data[[#This Row],[Units_Sold]]*Clean_Data[[#This Row],[Cost_Price]]</f>
        <v>410837</v>
      </c>
      <c r="N500">
        <f>Clean_Data[[#This Row],[Total_Sales]]-Clean_Data[[#This Row],[Total_Cost]]</f>
        <v>121163</v>
      </c>
      <c r="O500" s="2">
        <f>Clean_Data[[#This Row],[Profit]]/Clean_Data[[#This Row],[Total_Sales]]</f>
        <v>0.22775000000000001</v>
      </c>
      <c r="P500" t="str">
        <f>_xlfn.XLOOKUP(Clean_Data[[#This Row],[Product_Code]],Product_Catalog!A:A,Product_Catalog!C:C)</f>
        <v>Electronics</v>
      </c>
      <c r="Q500">
        <f>IF(Clean_Data[[#This Row],[Order_Date]]="","",YEAR(Clean_Data[[#This Row],[Order_Date]]))</f>
        <v>2025</v>
      </c>
      <c r="R500" t="str">
        <f>TEXT(Clean_Data[[#This Row],[Order_Date]],"mmm")</f>
        <v>Apr</v>
      </c>
      <c r="S500" t="str">
        <f>TEXT(Clean_Data[[#This Row],[Order_Date]],"mmm-yy")</f>
        <v>Apr-25</v>
      </c>
      <c r="V500"/>
    </row>
    <row r="501" spans="1:22" x14ac:dyDescent="0.25">
      <c r="A501" t="s">
        <v>563</v>
      </c>
      <c r="B501" s="1">
        <v>45999</v>
      </c>
      <c r="C501" t="s">
        <v>73</v>
      </c>
      <c r="D501" t="s">
        <v>13</v>
      </c>
      <c r="E501" t="s">
        <v>66</v>
      </c>
      <c r="F501" t="s">
        <v>67</v>
      </c>
      <c r="G501">
        <v>15</v>
      </c>
      <c r="H501">
        <v>2500</v>
      </c>
      <c r="I501">
        <v>1903</v>
      </c>
      <c r="J501" t="s">
        <v>45</v>
      </c>
      <c r="K501" t="s">
        <v>17</v>
      </c>
      <c r="L501">
        <f>SUM(Clean_Data[[#This Row],[Units_Sold]]*Clean_Data[[#This Row],[Unit_Price]])</f>
        <v>37500</v>
      </c>
      <c r="M501">
        <f>Clean_Data[[#This Row],[Units_Sold]]*Clean_Data[[#This Row],[Cost_Price]]</f>
        <v>28545</v>
      </c>
      <c r="N501">
        <f>Clean_Data[[#This Row],[Total_Sales]]-Clean_Data[[#This Row],[Total_Cost]]</f>
        <v>8955</v>
      </c>
      <c r="O501" s="2">
        <f>Clean_Data[[#This Row],[Profit]]/Clean_Data[[#This Row],[Total_Sales]]</f>
        <v>0.23880000000000001</v>
      </c>
      <c r="P501" t="str">
        <f>_xlfn.XLOOKUP(Clean_Data[[#This Row],[Product_Code]],Product_Catalog!A:A,Product_Catalog!C:C)</f>
        <v>Electronics</v>
      </c>
      <c r="Q501">
        <f>IF(Clean_Data[[#This Row],[Order_Date]]="","",YEAR(Clean_Data[[#This Row],[Order_Date]]))</f>
        <v>2025</v>
      </c>
      <c r="R501" t="str">
        <f>TEXT(Clean_Data[[#This Row],[Order_Date]],"mmm")</f>
        <v>Dec</v>
      </c>
      <c r="S501" t="str">
        <f>TEXT(Clean_Data[[#This Row],[Order_Date]],"mmm-yy")</f>
        <v>Dec-25</v>
      </c>
      <c r="V501"/>
    </row>
    <row r="502" spans="1:22" x14ac:dyDescent="0.25">
      <c r="A502" t="s">
        <v>564</v>
      </c>
      <c r="B502" s="1">
        <v>46035</v>
      </c>
      <c r="C502" t="s">
        <v>48</v>
      </c>
      <c r="D502" t="s">
        <v>33</v>
      </c>
      <c r="E502" t="s">
        <v>55</v>
      </c>
      <c r="F502" t="s">
        <v>34</v>
      </c>
      <c r="G502">
        <v>5</v>
      </c>
      <c r="H502">
        <v>35000</v>
      </c>
      <c r="I502">
        <v>23800</v>
      </c>
      <c r="J502" t="s">
        <v>22</v>
      </c>
      <c r="K502" t="s">
        <v>23</v>
      </c>
      <c r="L502">
        <f>SUM(Clean_Data[[#This Row],[Units_Sold]]*Clean_Data[[#This Row],[Unit_Price]])</f>
        <v>175000</v>
      </c>
      <c r="M502">
        <f>Clean_Data[[#This Row],[Units_Sold]]*Clean_Data[[#This Row],[Cost_Price]]</f>
        <v>119000</v>
      </c>
      <c r="N502">
        <f>Clean_Data[[#This Row],[Total_Sales]]-Clean_Data[[#This Row],[Total_Cost]]</f>
        <v>56000</v>
      </c>
      <c r="O502" s="2">
        <f>Clean_Data[[#This Row],[Profit]]/Clean_Data[[#This Row],[Total_Sales]]</f>
        <v>0.32</v>
      </c>
      <c r="P502" t="str">
        <f>_xlfn.XLOOKUP(Clean_Data[[#This Row],[Product_Code]],Product_Catalog!A:A,Product_Catalog!C:C)</f>
        <v>Furniture</v>
      </c>
      <c r="Q502">
        <f>IF(Clean_Data[[#This Row],[Order_Date]]="","",YEAR(Clean_Data[[#This Row],[Order_Date]]))</f>
        <v>2026</v>
      </c>
      <c r="R502" t="str">
        <f>TEXT(Clean_Data[[#This Row],[Order_Date]],"mmm")</f>
        <v>Jan</v>
      </c>
      <c r="S502" t="str">
        <f>TEXT(Clean_Data[[#This Row],[Order_Date]],"mmm-yy")</f>
        <v>Jan-26</v>
      </c>
      <c r="V502"/>
    </row>
    <row r="503" spans="1:22" x14ac:dyDescent="0.25">
      <c r="A503" t="s">
        <v>565</v>
      </c>
      <c r="B503" s="1">
        <v>45795</v>
      </c>
      <c r="C503" t="s">
        <v>73</v>
      </c>
      <c r="D503" t="s">
        <v>36</v>
      </c>
      <c r="E503" t="s">
        <v>55</v>
      </c>
      <c r="F503" t="s">
        <v>34</v>
      </c>
      <c r="G503">
        <v>9</v>
      </c>
      <c r="H503">
        <v>35000</v>
      </c>
      <c r="I503">
        <v>26411</v>
      </c>
      <c r="J503" t="s">
        <v>45</v>
      </c>
      <c r="K503" t="s">
        <v>17</v>
      </c>
      <c r="L503">
        <f>SUM(Clean_Data[[#This Row],[Units_Sold]]*Clean_Data[[#This Row],[Unit_Price]])</f>
        <v>315000</v>
      </c>
      <c r="M503">
        <f>Clean_Data[[#This Row],[Units_Sold]]*Clean_Data[[#This Row],[Cost_Price]]</f>
        <v>237699</v>
      </c>
      <c r="N503">
        <f>Clean_Data[[#This Row],[Total_Sales]]-Clean_Data[[#This Row],[Total_Cost]]</f>
        <v>77301</v>
      </c>
      <c r="O503" s="2">
        <f>Clean_Data[[#This Row],[Profit]]/Clean_Data[[#This Row],[Total_Sales]]</f>
        <v>0.24540000000000001</v>
      </c>
      <c r="P503" t="str">
        <f>_xlfn.XLOOKUP(Clean_Data[[#This Row],[Product_Code]],Product_Catalog!A:A,Product_Catalog!C:C)</f>
        <v>Furniture</v>
      </c>
      <c r="Q503">
        <f>IF(Clean_Data[[#This Row],[Order_Date]]="","",YEAR(Clean_Data[[#This Row],[Order_Date]]))</f>
        <v>2025</v>
      </c>
      <c r="R503" t="str">
        <f>TEXT(Clean_Data[[#This Row],[Order_Date]],"mmm")</f>
        <v>May</v>
      </c>
      <c r="S503" t="str">
        <f>TEXT(Clean_Data[[#This Row],[Order_Date]],"mmm-yy")</f>
        <v>May-25</v>
      </c>
      <c r="V503"/>
    </row>
    <row r="504" spans="1:22" x14ac:dyDescent="0.25">
      <c r="A504" t="s">
        <v>566</v>
      </c>
      <c r="B504" s="1">
        <v>45901</v>
      </c>
      <c r="C504" t="s">
        <v>19</v>
      </c>
      <c r="D504" t="s">
        <v>40</v>
      </c>
      <c r="E504" t="s">
        <v>49</v>
      </c>
      <c r="F504" t="s">
        <v>50</v>
      </c>
      <c r="G504">
        <v>6</v>
      </c>
      <c r="H504">
        <v>75000</v>
      </c>
      <c r="I504">
        <v>45888</v>
      </c>
      <c r="J504" t="s">
        <v>45</v>
      </c>
      <c r="K504" t="s">
        <v>46</v>
      </c>
      <c r="L504">
        <f>SUM(Clean_Data[[#This Row],[Units_Sold]]*Clean_Data[[#This Row],[Unit_Price]])</f>
        <v>450000</v>
      </c>
      <c r="M504">
        <f>Clean_Data[[#This Row],[Units_Sold]]*Clean_Data[[#This Row],[Cost_Price]]</f>
        <v>275328</v>
      </c>
      <c r="N504">
        <f>Clean_Data[[#This Row],[Total_Sales]]-Clean_Data[[#This Row],[Total_Cost]]</f>
        <v>174672</v>
      </c>
      <c r="O504" s="2">
        <f>Clean_Data[[#This Row],[Profit]]/Clean_Data[[#This Row],[Total_Sales]]</f>
        <v>0.38816000000000001</v>
      </c>
      <c r="P504" t="str">
        <f>_xlfn.XLOOKUP(Clean_Data[[#This Row],[Product_Code]],Product_Catalog!A:A,Product_Catalog!C:C)</f>
        <v>Electronics</v>
      </c>
      <c r="Q504">
        <f>IF(Clean_Data[[#This Row],[Order_Date]]="","",YEAR(Clean_Data[[#This Row],[Order_Date]]))</f>
        <v>2025</v>
      </c>
      <c r="R504" t="str">
        <f>TEXT(Clean_Data[[#This Row],[Order_Date]],"mmm")</f>
        <v>Sep</v>
      </c>
      <c r="S504" t="str">
        <f>TEXT(Clean_Data[[#This Row],[Order_Date]],"mmm-yy")</f>
        <v>Sep-25</v>
      </c>
      <c r="V504"/>
    </row>
    <row r="505" spans="1:22" x14ac:dyDescent="0.25">
      <c r="A505" t="s">
        <v>567</v>
      </c>
      <c r="B505" s="1">
        <v>46025</v>
      </c>
      <c r="C505" t="s">
        <v>53</v>
      </c>
      <c r="D505" t="s">
        <v>40</v>
      </c>
      <c r="E505" t="s">
        <v>27</v>
      </c>
      <c r="F505" t="s">
        <v>28</v>
      </c>
      <c r="G505">
        <v>6</v>
      </c>
      <c r="H505">
        <v>14000</v>
      </c>
      <c r="I505">
        <v>11057</v>
      </c>
      <c r="J505" t="s">
        <v>29</v>
      </c>
      <c r="K505" t="s">
        <v>23</v>
      </c>
      <c r="L505">
        <f>SUM(Clean_Data[[#This Row],[Units_Sold]]*Clean_Data[[#This Row],[Unit_Price]])</f>
        <v>84000</v>
      </c>
      <c r="M505">
        <f>Clean_Data[[#This Row],[Units_Sold]]*Clean_Data[[#This Row],[Cost_Price]]</f>
        <v>66342</v>
      </c>
      <c r="N505">
        <f>Clean_Data[[#This Row],[Total_Sales]]-Clean_Data[[#This Row],[Total_Cost]]</f>
        <v>17658</v>
      </c>
      <c r="O505" s="2">
        <f>Clean_Data[[#This Row],[Profit]]/Clean_Data[[#This Row],[Total_Sales]]</f>
        <v>0.21021428571428571</v>
      </c>
      <c r="P505" t="str">
        <f>_xlfn.XLOOKUP(Clean_Data[[#This Row],[Product_Code]],Product_Catalog!A:A,Product_Catalog!C:C)</f>
        <v>Furniture</v>
      </c>
      <c r="Q505">
        <f>IF(Clean_Data[[#This Row],[Order_Date]]="","",YEAR(Clean_Data[[#This Row],[Order_Date]]))</f>
        <v>2026</v>
      </c>
      <c r="R505" t="str">
        <f>TEXT(Clean_Data[[#This Row],[Order_Date]],"mmm")</f>
        <v>Jan</v>
      </c>
      <c r="S505" t="str">
        <f>TEXT(Clean_Data[[#This Row],[Order_Date]],"mmm-yy")</f>
        <v>Jan-26</v>
      </c>
      <c r="V505"/>
    </row>
    <row r="506" spans="1:22" x14ac:dyDescent="0.25">
      <c r="A506" t="s">
        <v>569</v>
      </c>
      <c r="B506" s="1">
        <v>45762</v>
      </c>
      <c r="C506" t="s">
        <v>48</v>
      </c>
      <c r="D506" t="s">
        <v>36</v>
      </c>
      <c r="E506" t="s">
        <v>49</v>
      </c>
      <c r="F506" t="s">
        <v>50</v>
      </c>
      <c r="G506">
        <v>5</v>
      </c>
      <c r="H506">
        <v>75000</v>
      </c>
      <c r="I506">
        <v>59099</v>
      </c>
      <c r="J506" t="s">
        <v>45</v>
      </c>
      <c r="K506" t="s">
        <v>23</v>
      </c>
      <c r="L506">
        <f>SUM(Clean_Data[[#This Row],[Units_Sold]]*Clean_Data[[#This Row],[Unit_Price]])</f>
        <v>375000</v>
      </c>
      <c r="M506">
        <f>Clean_Data[[#This Row],[Units_Sold]]*Clean_Data[[#This Row],[Cost_Price]]</f>
        <v>295495</v>
      </c>
      <c r="N506">
        <f>Clean_Data[[#This Row],[Total_Sales]]-Clean_Data[[#This Row],[Total_Cost]]</f>
        <v>79505</v>
      </c>
      <c r="O506" s="2">
        <f>Clean_Data[[#This Row],[Profit]]/Clean_Data[[#This Row],[Total_Sales]]</f>
        <v>0.21201333333333333</v>
      </c>
      <c r="P506" t="str">
        <f>_xlfn.XLOOKUP(Clean_Data[[#This Row],[Product_Code]],Product_Catalog!A:A,Product_Catalog!C:C)</f>
        <v>Electronics</v>
      </c>
      <c r="Q506">
        <f>IF(Clean_Data[[#This Row],[Order_Date]]="","",YEAR(Clean_Data[[#This Row],[Order_Date]]))</f>
        <v>2025</v>
      </c>
      <c r="R506" t="str">
        <f>TEXT(Clean_Data[[#This Row],[Order_Date]],"mmm")</f>
        <v>Apr</v>
      </c>
      <c r="S506" t="str">
        <f>TEXT(Clean_Data[[#This Row],[Order_Date]],"mmm-yy")</f>
        <v>Apr-25</v>
      </c>
      <c r="V506"/>
    </row>
    <row r="507" spans="1:22" x14ac:dyDescent="0.25">
      <c r="A507" t="s">
        <v>570</v>
      </c>
      <c r="B507" s="1">
        <v>45997</v>
      </c>
      <c r="C507" t="s">
        <v>48</v>
      </c>
      <c r="D507" t="s">
        <v>36</v>
      </c>
      <c r="E507" t="s">
        <v>27</v>
      </c>
      <c r="F507" t="s">
        <v>28</v>
      </c>
      <c r="G507">
        <v>3</v>
      </c>
      <c r="H507">
        <v>14000</v>
      </c>
      <c r="I507">
        <v>9484</v>
      </c>
      <c r="J507" t="s">
        <v>16</v>
      </c>
      <c r="K507" t="s">
        <v>23</v>
      </c>
      <c r="L507">
        <f>SUM(Clean_Data[[#This Row],[Units_Sold]]*Clean_Data[[#This Row],[Unit_Price]])</f>
        <v>42000</v>
      </c>
      <c r="M507">
        <f>Clean_Data[[#This Row],[Units_Sold]]*Clean_Data[[#This Row],[Cost_Price]]</f>
        <v>28452</v>
      </c>
      <c r="N507">
        <f>Clean_Data[[#This Row],[Total_Sales]]-Clean_Data[[#This Row],[Total_Cost]]</f>
        <v>13548</v>
      </c>
      <c r="O507" s="2">
        <f>Clean_Data[[#This Row],[Profit]]/Clean_Data[[#This Row],[Total_Sales]]</f>
        <v>0.32257142857142856</v>
      </c>
      <c r="P507" t="str">
        <f>_xlfn.XLOOKUP(Clean_Data[[#This Row],[Product_Code]],Product_Catalog!A:A,Product_Catalog!C:C)</f>
        <v>Furniture</v>
      </c>
      <c r="Q507">
        <f>IF(Clean_Data[[#This Row],[Order_Date]]="","",YEAR(Clean_Data[[#This Row],[Order_Date]]))</f>
        <v>2025</v>
      </c>
      <c r="R507" t="str">
        <f>TEXT(Clean_Data[[#This Row],[Order_Date]],"mmm")</f>
        <v>Dec</v>
      </c>
      <c r="S507" t="str">
        <f>TEXT(Clean_Data[[#This Row],[Order_Date]],"mmm-yy")</f>
        <v>Dec-25</v>
      </c>
      <c r="V507"/>
    </row>
    <row r="508" spans="1:22" x14ac:dyDescent="0.25">
      <c r="A508" t="s">
        <v>571</v>
      </c>
      <c r="B508" s="1">
        <v>45972</v>
      </c>
      <c r="C508" t="s">
        <v>62</v>
      </c>
      <c r="D508" t="s">
        <v>40</v>
      </c>
      <c r="E508" t="s">
        <v>41</v>
      </c>
      <c r="F508" t="s">
        <v>42</v>
      </c>
      <c r="G508">
        <v>6</v>
      </c>
      <c r="H508">
        <v>28000</v>
      </c>
      <c r="I508">
        <v>17191</v>
      </c>
      <c r="J508" t="s">
        <v>16</v>
      </c>
      <c r="K508" t="s">
        <v>17</v>
      </c>
      <c r="L508">
        <f>SUM(Clean_Data[[#This Row],[Units_Sold]]*Clean_Data[[#This Row],[Unit_Price]])</f>
        <v>168000</v>
      </c>
      <c r="M508">
        <f>Clean_Data[[#This Row],[Units_Sold]]*Clean_Data[[#This Row],[Cost_Price]]</f>
        <v>103146</v>
      </c>
      <c r="N508">
        <f>Clean_Data[[#This Row],[Total_Sales]]-Clean_Data[[#This Row],[Total_Cost]]</f>
        <v>64854</v>
      </c>
      <c r="O508" s="2">
        <f>Clean_Data[[#This Row],[Profit]]/Clean_Data[[#This Row],[Total_Sales]]</f>
        <v>0.38603571428571426</v>
      </c>
      <c r="P508" t="str">
        <f>_xlfn.XLOOKUP(Clean_Data[[#This Row],[Product_Code]],Product_Catalog!A:A,Product_Catalog!C:C)</f>
        <v>Electronics</v>
      </c>
      <c r="Q508">
        <f>IF(Clean_Data[[#This Row],[Order_Date]]="","",YEAR(Clean_Data[[#This Row],[Order_Date]]))</f>
        <v>2025</v>
      </c>
      <c r="R508" t="str">
        <f>TEXT(Clean_Data[[#This Row],[Order_Date]],"mmm")</f>
        <v>Nov</v>
      </c>
      <c r="S508" t="str">
        <f>TEXT(Clean_Data[[#This Row],[Order_Date]],"mmm-yy")</f>
        <v>Nov-25</v>
      </c>
      <c r="V508"/>
    </row>
    <row r="509" spans="1:22" x14ac:dyDescent="0.25">
      <c r="A509" t="s">
        <v>572</v>
      </c>
      <c r="B509" s="1">
        <v>46256</v>
      </c>
      <c r="C509" t="s">
        <v>31</v>
      </c>
      <c r="D509" t="s">
        <v>13</v>
      </c>
      <c r="E509" t="s">
        <v>37</v>
      </c>
      <c r="F509" t="s">
        <v>38</v>
      </c>
      <c r="G509">
        <v>13</v>
      </c>
      <c r="H509">
        <v>55000</v>
      </c>
      <c r="I509">
        <v>40463</v>
      </c>
      <c r="J509" t="s">
        <v>45</v>
      </c>
      <c r="K509" t="s">
        <v>17</v>
      </c>
      <c r="L509">
        <f>SUM(Clean_Data[[#This Row],[Units_Sold]]*Clean_Data[[#This Row],[Unit_Price]])</f>
        <v>715000</v>
      </c>
      <c r="M509">
        <f>Clean_Data[[#This Row],[Units_Sold]]*Clean_Data[[#This Row],[Cost_Price]]</f>
        <v>526019</v>
      </c>
      <c r="N509">
        <f>Clean_Data[[#This Row],[Total_Sales]]-Clean_Data[[#This Row],[Total_Cost]]</f>
        <v>188981</v>
      </c>
      <c r="O509" s="2">
        <f>Clean_Data[[#This Row],[Profit]]/Clean_Data[[#This Row],[Total_Sales]]</f>
        <v>0.26430909090909088</v>
      </c>
      <c r="P509" t="str">
        <f>_xlfn.XLOOKUP(Clean_Data[[#This Row],[Product_Code]],Product_Catalog!A:A,Product_Catalog!C:C)</f>
        <v>Electronics</v>
      </c>
      <c r="Q509">
        <f>IF(Clean_Data[[#This Row],[Order_Date]]="","",YEAR(Clean_Data[[#This Row],[Order_Date]]))</f>
        <v>2026</v>
      </c>
      <c r="R509" t="str">
        <f>TEXT(Clean_Data[[#This Row],[Order_Date]],"mmm")</f>
        <v>Aug</v>
      </c>
      <c r="S509" t="str">
        <f>TEXT(Clean_Data[[#This Row],[Order_Date]],"mmm-yy")</f>
        <v>Aug-26</v>
      </c>
      <c r="V509"/>
    </row>
    <row r="510" spans="1:22" x14ac:dyDescent="0.25">
      <c r="A510" t="s">
        <v>573</v>
      </c>
      <c r="B510" s="1">
        <v>46169</v>
      </c>
      <c r="C510" t="s">
        <v>44</v>
      </c>
      <c r="D510" t="s">
        <v>13</v>
      </c>
      <c r="E510" t="s">
        <v>20</v>
      </c>
      <c r="F510" t="s">
        <v>21</v>
      </c>
      <c r="G510">
        <v>6</v>
      </c>
      <c r="H510">
        <v>8500</v>
      </c>
      <c r="I510">
        <v>6038</v>
      </c>
      <c r="J510" t="s">
        <v>29</v>
      </c>
      <c r="K510" t="s">
        <v>46</v>
      </c>
      <c r="L510">
        <f>SUM(Clean_Data[[#This Row],[Units_Sold]]*Clean_Data[[#This Row],[Unit_Price]])</f>
        <v>51000</v>
      </c>
      <c r="M510">
        <f>Clean_Data[[#This Row],[Units_Sold]]*Clean_Data[[#This Row],[Cost_Price]]</f>
        <v>36228</v>
      </c>
      <c r="N510">
        <f>Clean_Data[[#This Row],[Total_Sales]]-Clean_Data[[#This Row],[Total_Cost]]</f>
        <v>14772</v>
      </c>
      <c r="O510" s="2">
        <f>Clean_Data[[#This Row],[Profit]]/Clean_Data[[#This Row],[Total_Sales]]</f>
        <v>0.28964705882352942</v>
      </c>
      <c r="P510" t="str">
        <f>_xlfn.XLOOKUP(Clean_Data[[#This Row],[Product_Code]],Product_Catalog!A:A,Product_Catalog!C:C)</f>
        <v>Accessories</v>
      </c>
      <c r="Q510">
        <f>IF(Clean_Data[[#This Row],[Order_Date]]="","",YEAR(Clean_Data[[#This Row],[Order_Date]]))</f>
        <v>2026</v>
      </c>
      <c r="R510" t="str">
        <f>TEXT(Clean_Data[[#This Row],[Order_Date]],"mmm")</f>
        <v>May</v>
      </c>
      <c r="S510" t="str">
        <f>TEXT(Clean_Data[[#This Row],[Order_Date]],"mmm-yy")</f>
        <v>May-26</v>
      </c>
      <c r="V510"/>
    </row>
    <row r="511" spans="1:22" x14ac:dyDescent="0.25">
      <c r="A511" t="s">
        <v>574</v>
      </c>
      <c r="B511" s="1">
        <v>45740</v>
      </c>
      <c r="C511" t="s">
        <v>31</v>
      </c>
      <c r="D511" t="s">
        <v>40</v>
      </c>
      <c r="E511" t="s">
        <v>63</v>
      </c>
      <c r="F511" t="s">
        <v>59</v>
      </c>
      <c r="G511">
        <v>3</v>
      </c>
      <c r="H511">
        <v>4500</v>
      </c>
      <c r="I511">
        <v>2865</v>
      </c>
      <c r="J511" t="s">
        <v>22</v>
      </c>
      <c r="K511" t="s">
        <v>17</v>
      </c>
      <c r="L511">
        <f>SUM(Clean_Data[[#This Row],[Units_Sold]]*Clean_Data[[#This Row],[Unit_Price]])</f>
        <v>13500</v>
      </c>
      <c r="M511">
        <f>Clean_Data[[#This Row],[Units_Sold]]*Clean_Data[[#This Row],[Cost_Price]]</f>
        <v>8595</v>
      </c>
      <c r="N511">
        <f>Clean_Data[[#This Row],[Total_Sales]]-Clean_Data[[#This Row],[Total_Cost]]</f>
        <v>4905</v>
      </c>
      <c r="O511" s="2">
        <f>Clean_Data[[#This Row],[Profit]]/Clean_Data[[#This Row],[Total_Sales]]</f>
        <v>0.36333333333333334</v>
      </c>
      <c r="P511" t="str">
        <f>_xlfn.XLOOKUP(Clean_Data[[#This Row],[Product_Code]],Product_Catalog!A:A,Product_Catalog!C:C)</f>
        <v>Electronics</v>
      </c>
      <c r="Q511">
        <f>IF(Clean_Data[[#This Row],[Order_Date]]="","",YEAR(Clean_Data[[#This Row],[Order_Date]]))</f>
        <v>2025</v>
      </c>
      <c r="R511" t="str">
        <f>TEXT(Clean_Data[[#This Row],[Order_Date]],"mmm")</f>
        <v>Mar</v>
      </c>
      <c r="S511" t="str">
        <f>TEXT(Clean_Data[[#This Row],[Order_Date]],"mmm-yy")</f>
        <v>Mar-25</v>
      </c>
      <c r="V511"/>
    </row>
    <row r="512" spans="1:22" x14ac:dyDescent="0.25">
      <c r="A512" t="s">
        <v>575</v>
      </c>
      <c r="B512" s="1">
        <v>46170</v>
      </c>
      <c r="C512" t="s">
        <v>73</v>
      </c>
      <c r="D512" t="s">
        <v>26</v>
      </c>
      <c r="E512" t="s">
        <v>49</v>
      </c>
      <c r="F512" t="s">
        <v>50</v>
      </c>
      <c r="G512">
        <v>19</v>
      </c>
      <c r="H512">
        <v>75000</v>
      </c>
      <c r="I512">
        <v>45996</v>
      </c>
      <c r="J512" t="s">
        <v>16</v>
      </c>
      <c r="K512" t="s">
        <v>23</v>
      </c>
      <c r="L512">
        <f>SUM(Clean_Data[[#This Row],[Units_Sold]]*Clean_Data[[#This Row],[Unit_Price]])</f>
        <v>1425000</v>
      </c>
      <c r="M512">
        <f>Clean_Data[[#This Row],[Units_Sold]]*Clean_Data[[#This Row],[Cost_Price]]</f>
        <v>873924</v>
      </c>
      <c r="N512">
        <f>Clean_Data[[#This Row],[Total_Sales]]-Clean_Data[[#This Row],[Total_Cost]]</f>
        <v>551076</v>
      </c>
      <c r="O512" s="2">
        <f>Clean_Data[[#This Row],[Profit]]/Clean_Data[[#This Row],[Total_Sales]]</f>
        <v>0.38672000000000001</v>
      </c>
      <c r="P512" t="str">
        <f>_xlfn.XLOOKUP(Clean_Data[[#This Row],[Product_Code]],Product_Catalog!A:A,Product_Catalog!C:C)</f>
        <v>Electronics</v>
      </c>
      <c r="Q512">
        <f>IF(Clean_Data[[#This Row],[Order_Date]]="","",YEAR(Clean_Data[[#This Row],[Order_Date]]))</f>
        <v>2026</v>
      </c>
      <c r="R512" t="str">
        <f>TEXT(Clean_Data[[#This Row],[Order_Date]],"mmm")</f>
        <v>May</v>
      </c>
      <c r="S512" t="str">
        <f>TEXT(Clean_Data[[#This Row],[Order_Date]],"mmm-yy")</f>
        <v>May-26</v>
      </c>
      <c r="V512"/>
    </row>
    <row r="513" spans="1:22" x14ac:dyDescent="0.25">
      <c r="A513" t="s">
        <v>576</v>
      </c>
      <c r="B513" s="1">
        <v>46141</v>
      </c>
      <c r="C513" t="s">
        <v>48</v>
      </c>
      <c r="D513" t="s">
        <v>13</v>
      </c>
      <c r="E513" t="s">
        <v>14</v>
      </c>
      <c r="F513" t="s">
        <v>15</v>
      </c>
      <c r="G513">
        <v>13</v>
      </c>
      <c r="H513">
        <v>12500</v>
      </c>
      <c r="I513">
        <v>9674</v>
      </c>
      <c r="J513" t="s">
        <v>29</v>
      </c>
      <c r="K513" t="s">
        <v>46</v>
      </c>
      <c r="L513">
        <f>SUM(Clean_Data[[#This Row],[Units_Sold]]*Clean_Data[[#This Row],[Unit_Price]])</f>
        <v>162500</v>
      </c>
      <c r="M513">
        <f>Clean_Data[[#This Row],[Units_Sold]]*Clean_Data[[#This Row],[Cost_Price]]</f>
        <v>125762</v>
      </c>
      <c r="N513">
        <f>Clean_Data[[#This Row],[Total_Sales]]-Clean_Data[[#This Row],[Total_Cost]]</f>
        <v>36738</v>
      </c>
      <c r="O513" s="2">
        <f>Clean_Data[[#This Row],[Profit]]/Clean_Data[[#This Row],[Total_Sales]]</f>
        <v>0.22608</v>
      </c>
      <c r="P513" t="str">
        <f>_xlfn.XLOOKUP(Clean_Data[[#This Row],[Product_Code]],Product_Catalog!A:A,Product_Catalog!C:C)</f>
        <v>Accessories</v>
      </c>
      <c r="Q513">
        <f>IF(Clean_Data[[#This Row],[Order_Date]]="","",YEAR(Clean_Data[[#This Row],[Order_Date]]))</f>
        <v>2026</v>
      </c>
      <c r="R513" t="str">
        <f>TEXT(Clean_Data[[#This Row],[Order_Date]],"mmm")</f>
        <v>Apr</v>
      </c>
      <c r="S513" t="str">
        <f>TEXT(Clean_Data[[#This Row],[Order_Date]],"mmm-yy")</f>
        <v>Apr-26</v>
      </c>
      <c r="V513"/>
    </row>
    <row r="514" spans="1:22" x14ac:dyDescent="0.25">
      <c r="A514" t="s">
        <v>577</v>
      </c>
      <c r="B514" s="1">
        <v>45815</v>
      </c>
      <c r="C514" t="s">
        <v>25</v>
      </c>
      <c r="D514" t="s">
        <v>40</v>
      </c>
      <c r="E514" t="s">
        <v>20</v>
      </c>
      <c r="F514" t="s">
        <v>21</v>
      </c>
      <c r="G514">
        <v>15</v>
      </c>
      <c r="H514">
        <v>8500</v>
      </c>
      <c r="I514">
        <v>5145</v>
      </c>
      <c r="J514" t="s">
        <v>29</v>
      </c>
      <c r="K514" t="s">
        <v>17</v>
      </c>
      <c r="L514">
        <f>SUM(Clean_Data[[#This Row],[Units_Sold]]*Clean_Data[[#This Row],[Unit_Price]])</f>
        <v>127500</v>
      </c>
      <c r="M514">
        <f>Clean_Data[[#This Row],[Units_Sold]]*Clean_Data[[#This Row],[Cost_Price]]</f>
        <v>77175</v>
      </c>
      <c r="N514">
        <f>Clean_Data[[#This Row],[Total_Sales]]-Clean_Data[[#This Row],[Total_Cost]]</f>
        <v>50325</v>
      </c>
      <c r="O514" s="2">
        <f>Clean_Data[[#This Row],[Profit]]/Clean_Data[[#This Row],[Total_Sales]]</f>
        <v>0.39470588235294118</v>
      </c>
      <c r="P514" t="str">
        <f>_xlfn.XLOOKUP(Clean_Data[[#This Row],[Product_Code]],Product_Catalog!A:A,Product_Catalog!C:C)</f>
        <v>Accessories</v>
      </c>
      <c r="Q514">
        <f>IF(Clean_Data[[#This Row],[Order_Date]]="","",YEAR(Clean_Data[[#This Row],[Order_Date]]))</f>
        <v>2025</v>
      </c>
      <c r="R514" t="str">
        <f>TEXT(Clean_Data[[#This Row],[Order_Date]],"mmm")</f>
        <v>Jun</v>
      </c>
      <c r="S514" t="str">
        <f>TEXT(Clean_Data[[#This Row],[Order_Date]],"mmm-yy")</f>
        <v>Jun-25</v>
      </c>
      <c r="V514"/>
    </row>
    <row r="515" spans="1:22" x14ac:dyDescent="0.25">
      <c r="A515" t="s">
        <v>578</v>
      </c>
      <c r="B515" s="1">
        <v>45897</v>
      </c>
      <c r="C515" t="s">
        <v>62</v>
      </c>
      <c r="D515" t="s">
        <v>13</v>
      </c>
      <c r="E515" t="s">
        <v>27</v>
      </c>
      <c r="F515" t="s">
        <v>28</v>
      </c>
      <c r="G515">
        <v>6</v>
      </c>
      <c r="H515">
        <v>14000</v>
      </c>
      <c r="I515">
        <v>8758</v>
      </c>
      <c r="J515" t="s">
        <v>29</v>
      </c>
      <c r="K515" t="s">
        <v>46</v>
      </c>
      <c r="L515">
        <f>SUM(Clean_Data[[#This Row],[Units_Sold]]*Clean_Data[[#This Row],[Unit_Price]])</f>
        <v>84000</v>
      </c>
      <c r="M515">
        <f>Clean_Data[[#This Row],[Units_Sold]]*Clean_Data[[#This Row],[Cost_Price]]</f>
        <v>52548</v>
      </c>
      <c r="N515">
        <f>Clean_Data[[#This Row],[Total_Sales]]-Clean_Data[[#This Row],[Total_Cost]]</f>
        <v>31452</v>
      </c>
      <c r="O515" s="2">
        <f>Clean_Data[[#This Row],[Profit]]/Clean_Data[[#This Row],[Total_Sales]]</f>
        <v>0.37442857142857144</v>
      </c>
      <c r="P515" t="str">
        <f>_xlfn.XLOOKUP(Clean_Data[[#This Row],[Product_Code]],Product_Catalog!A:A,Product_Catalog!C:C)</f>
        <v>Furniture</v>
      </c>
      <c r="Q515">
        <f>IF(Clean_Data[[#This Row],[Order_Date]]="","",YEAR(Clean_Data[[#This Row],[Order_Date]]))</f>
        <v>2025</v>
      </c>
      <c r="R515" t="str">
        <f>TEXT(Clean_Data[[#This Row],[Order_Date]],"mmm")</f>
        <v>Aug</v>
      </c>
      <c r="S515" t="str">
        <f>TEXT(Clean_Data[[#This Row],[Order_Date]],"mmm-yy")</f>
        <v>Aug-25</v>
      </c>
      <c r="V515"/>
    </row>
    <row r="516" spans="1:22" x14ac:dyDescent="0.25">
      <c r="A516" t="s">
        <v>579</v>
      </c>
      <c r="B516" s="1">
        <v>45816</v>
      </c>
      <c r="C516" t="s">
        <v>31</v>
      </c>
      <c r="D516" t="s">
        <v>26</v>
      </c>
      <c r="E516" t="s">
        <v>41</v>
      </c>
      <c r="F516" t="s">
        <v>42</v>
      </c>
      <c r="G516">
        <v>3</v>
      </c>
      <c r="H516">
        <v>28000</v>
      </c>
      <c r="I516">
        <v>16890</v>
      </c>
      <c r="J516" t="s">
        <v>22</v>
      </c>
      <c r="K516" t="s">
        <v>17</v>
      </c>
      <c r="L516">
        <f>SUM(Clean_Data[[#This Row],[Units_Sold]]*Clean_Data[[#This Row],[Unit_Price]])</f>
        <v>84000</v>
      </c>
      <c r="M516">
        <f>Clean_Data[[#This Row],[Units_Sold]]*Clean_Data[[#This Row],[Cost_Price]]</f>
        <v>50670</v>
      </c>
      <c r="N516">
        <f>Clean_Data[[#This Row],[Total_Sales]]-Clean_Data[[#This Row],[Total_Cost]]</f>
        <v>33330</v>
      </c>
      <c r="O516" s="2">
        <f>Clean_Data[[#This Row],[Profit]]/Clean_Data[[#This Row],[Total_Sales]]</f>
        <v>0.3967857142857143</v>
      </c>
      <c r="P516" t="str">
        <f>_xlfn.XLOOKUP(Clean_Data[[#This Row],[Product_Code]],Product_Catalog!A:A,Product_Catalog!C:C)</f>
        <v>Electronics</v>
      </c>
      <c r="Q516">
        <f>IF(Clean_Data[[#This Row],[Order_Date]]="","",YEAR(Clean_Data[[#This Row],[Order_Date]]))</f>
        <v>2025</v>
      </c>
      <c r="R516" t="str">
        <f>TEXT(Clean_Data[[#This Row],[Order_Date]],"mmm")</f>
        <v>Jun</v>
      </c>
      <c r="S516" t="str">
        <f>TEXT(Clean_Data[[#This Row],[Order_Date]],"mmm-yy")</f>
        <v>Jun-25</v>
      </c>
      <c r="V516"/>
    </row>
    <row r="517" spans="1:22" x14ac:dyDescent="0.25">
      <c r="A517" t="s">
        <v>580</v>
      </c>
      <c r="B517" s="1">
        <v>46113</v>
      </c>
      <c r="C517" t="s">
        <v>48</v>
      </c>
      <c r="D517" t="s">
        <v>13</v>
      </c>
      <c r="E517" t="s">
        <v>49</v>
      </c>
      <c r="F517" t="s">
        <v>50</v>
      </c>
      <c r="G517">
        <v>16</v>
      </c>
      <c r="H517">
        <v>75000</v>
      </c>
      <c r="I517">
        <v>58177</v>
      </c>
      <c r="J517" t="s">
        <v>29</v>
      </c>
      <c r="K517" t="s">
        <v>17</v>
      </c>
      <c r="L517">
        <f>SUM(Clean_Data[[#This Row],[Units_Sold]]*Clean_Data[[#This Row],[Unit_Price]])</f>
        <v>1200000</v>
      </c>
      <c r="M517">
        <f>Clean_Data[[#This Row],[Units_Sold]]*Clean_Data[[#This Row],[Cost_Price]]</f>
        <v>930832</v>
      </c>
      <c r="N517">
        <f>Clean_Data[[#This Row],[Total_Sales]]-Clean_Data[[#This Row],[Total_Cost]]</f>
        <v>269168</v>
      </c>
      <c r="O517" s="2">
        <f>Clean_Data[[#This Row],[Profit]]/Clean_Data[[#This Row],[Total_Sales]]</f>
        <v>0.22430666666666665</v>
      </c>
      <c r="P517" t="str">
        <f>_xlfn.XLOOKUP(Clean_Data[[#This Row],[Product_Code]],Product_Catalog!A:A,Product_Catalog!C:C)</f>
        <v>Electronics</v>
      </c>
      <c r="Q517">
        <f>IF(Clean_Data[[#This Row],[Order_Date]]="","",YEAR(Clean_Data[[#This Row],[Order_Date]]))</f>
        <v>2026</v>
      </c>
      <c r="R517" t="str">
        <f>TEXT(Clean_Data[[#This Row],[Order_Date]],"mmm")</f>
        <v>Apr</v>
      </c>
      <c r="S517" t="str">
        <f>TEXT(Clean_Data[[#This Row],[Order_Date]],"mmm-yy")</f>
        <v>Apr-26</v>
      </c>
      <c r="V517"/>
    </row>
    <row r="518" spans="1:22" x14ac:dyDescent="0.25">
      <c r="A518" t="s">
        <v>581</v>
      </c>
      <c r="B518" s="1">
        <v>46093</v>
      </c>
      <c r="C518" t="s">
        <v>31</v>
      </c>
      <c r="D518" t="s">
        <v>13</v>
      </c>
      <c r="E518" t="s">
        <v>55</v>
      </c>
      <c r="F518" t="s">
        <v>34</v>
      </c>
      <c r="G518">
        <v>1</v>
      </c>
      <c r="H518">
        <v>35000</v>
      </c>
      <c r="I518">
        <v>26919</v>
      </c>
      <c r="J518" t="s">
        <v>29</v>
      </c>
      <c r="K518" t="s">
        <v>17</v>
      </c>
      <c r="L518">
        <f>SUM(Clean_Data[[#This Row],[Units_Sold]]*Clean_Data[[#This Row],[Unit_Price]])</f>
        <v>35000</v>
      </c>
      <c r="M518">
        <f>Clean_Data[[#This Row],[Units_Sold]]*Clean_Data[[#This Row],[Cost_Price]]</f>
        <v>26919</v>
      </c>
      <c r="N518">
        <f>Clean_Data[[#This Row],[Total_Sales]]-Clean_Data[[#This Row],[Total_Cost]]</f>
        <v>8081</v>
      </c>
      <c r="O518" s="2">
        <f>Clean_Data[[#This Row],[Profit]]/Clean_Data[[#This Row],[Total_Sales]]</f>
        <v>0.23088571428571428</v>
      </c>
      <c r="P518" t="str">
        <f>_xlfn.XLOOKUP(Clean_Data[[#This Row],[Product_Code]],Product_Catalog!A:A,Product_Catalog!C:C)</f>
        <v>Furniture</v>
      </c>
      <c r="Q518">
        <f>IF(Clean_Data[[#This Row],[Order_Date]]="","",YEAR(Clean_Data[[#This Row],[Order_Date]]))</f>
        <v>2026</v>
      </c>
      <c r="R518" t="str">
        <f>TEXT(Clean_Data[[#This Row],[Order_Date]],"mmm")</f>
        <v>Mar</v>
      </c>
      <c r="S518" t="str">
        <f>TEXT(Clean_Data[[#This Row],[Order_Date]],"mmm-yy")</f>
        <v>Mar-26</v>
      </c>
      <c r="V518"/>
    </row>
    <row r="519" spans="1:22" x14ac:dyDescent="0.25">
      <c r="A519" t="s">
        <v>582</v>
      </c>
      <c r="B519" s="1">
        <v>45758</v>
      </c>
      <c r="C519" t="s">
        <v>62</v>
      </c>
      <c r="D519" t="s">
        <v>36</v>
      </c>
      <c r="E519" t="s">
        <v>55</v>
      </c>
      <c r="F519" t="s">
        <v>34</v>
      </c>
      <c r="G519">
        <v>19</v>
      </c>
      <c r="H519">
        <v>35000</v>
      </c>
      <c r="I519">
        <v>24109</v>
      </c>
      <c r="J519" t="s">
        <v>45</v>
      </c>
      <c r="K519" t="s">
        <v>46</v>
      </c>
      <c r="L519">
        <f>SUM(Clean_Data[[#This Row],[Units_Sold]]*Clean_Data[[#This Row],[Unit_Price]])</f>
        <v>665000</v>
      </c>
      <c r="M519">
        <f>Clean_Data[[#This Row],[Units_Sold]]*Clean_Data[[#This Row],[Cost_Price]]</f>
        <v>458071</v>
      </c>
      <c r="N519">
        <f>Clean_Data[[#This Row],[Total_Sales]]-Clean_Data[[#This Row],[Total_Cost]]</f>
        <v>206929</v>
      </c>
      <c r="O519" s="2">
        <f>Clean_Data[[#This Row],[Profit]]/Clean_Data[[#This Row],[Total_Sales]]</f>
        <v>0.3111714285714286</v>
      </c>
      <c r="P519" t="str">
        <f>_xlfn.XLOOKUP(Clean_Data[[#This Row],[Product_Code]],Product_Catalog!A:A,Product_Catalog!C:C)</f>
        <v>Furniture</v>
      </c>
      <c r="Q519">
        <f>IF(Clean_Data[[#This Row],[Order_Date]]="","",YEAR(Clean_Data[[#This Row],[Order_Date]]))</f>
        <v>2025</v>
      </c>
      <c r="R519" t="str">
        <f>TEXT(Clean_Data[[#This Row],[Order_Date]],"mmm")</f>
        <v>Apr</v>
      </c>
      <c r="S519" t="str">
        <f>TEXT(Clean_Data[[#This Row],[Order_Date]],"mmm-yy")</f>
        <v>Apr-25</v>
      </c>
      <c r="V519"/>
    </row>
    <row r="520" spans="1:22" x14ac:dyDescent="0.25">
      <c r="A520" t="s">
        <v>583</v>
      </c>
      <c r="B520" s="1">
        <v>46234</v>
      </c>
      <c r="C520" t="s">
        <v>48</v>
      </c>
      <c r="D520" t="s">
        <v>26</v>
      </c>
      <c r="E520" t="s">
        <v>41</v>
      </c>
      <c r="F520" t="s">
        <v>42</v>
      </c>
      <c r="G520">
        <v>14</v>
      </c>
      <c r="H520">
        <v>28000</v>
      </c>
      <c r="I520">
        <v>22357</v>
      </c>
      <c r="J520" t="s">
        <v>16</v>
      </c>
      <c r="K520" t="s">
        <v>84</v>
      </c>
      <c r="L520">
        <f>SUM(Clean_Data[[#This Row],[Units_Sold]]*Clean_Data[[#This Row],[Unit_Price]])</f>
        <v>392000</v>
      </c>
      <c r="M520">
        <f>Clean_Data[[#This Row],[Units_Sold]]*Clean_Data[[#This Row],[Cost_Price]]</f>
        <v>312998</v>
      </c>
      <c r="N520">
        <f>Clean_Data[[#This Row],[Total_Sales]]-Clean_Data[[#This Row],[Total_Cost]]</f>
        <v>79002</v>
      </c>
      <c r="O520" s="2">
        <f>Clean_Data[[#This Row],[Profit]]/Clean_Data[[#This Row],[Total_Sales]]</f>
        <v>0.20153571428571429</v>
      </c>
      <c r="P520" t="str">
        <f>_xlfn.XLOOKUP(Clean_Data[[#This Row],[Product_Code]],Product_Catalog!A:A,Product_Catalog!C:C)</f>
        <v>Electronics</v>
      </c>
      <c r="Q520">
        <f>IF(Clean_Data[[#This Row],[Order_Date]]="","",YEAR(Clean_Data[[#This Row],[Order_Date]]))</f>
        <v>2026</v>
      </c>
      <c r="R520" t="str">
        <f>TEXT(Clean_Data[[#This Row],[Order_Date]],"mmm")</f>
        <v>Jul</v>
      </c>
      <c r="S520" t="str">
        <f>TEXT(Clean_Data[[#This Row],[Order_Date]],"mmm-yy")</f>
        <v>Jul-26</v>
      </c>
      <c r="V520"/>
    </row>
    <row r="521" spans="1:22" x14ac:dyDescent="0.25">
      <c r="A521" t="s">
        <v>584</v>
      </c>
      <c r="B521" s="1">
        <v>46070</v>
      </c>
      <c r="C521" t="s">
        <v>48</v>
      </c>
      <c r="D521" t="s">
        <v>40</v>
      </c>
      <c r="E521" t="s">
        <v>37</v>
      </c>
      <c r="F521" t="s">
        <v>38</v>
      </c>
      <c r="G521">
        <v>19</v>
      </c>
      <c r="H521">
        <v>55000</v>
      </c>
      <c r="I521">
        <v>43347</v>
      </c>
      <c r="J521" t="s">
        <v>45</v>
      </c>
      <c r="K521" t="s">
        <v>17</v>
      </c>
      <c r="L521">
        <f>SUM(Clean_Data[[#This Row],[Units_Sold]]*Clean_Data[[#This Row],[Unit_Price]])</f>
        <v>1045000</v>
      </c>
      <c r="M521">
        <f>Clean_Data[[#This Row],[Units_Sold]]*Clean_Data[[#This Row],[Cost_Price]]</f>
        <v>823593</v>
      </c>
      <c r="N521">
        <f>Clean_Data[[#This Row],[Total_Sales]]-Clean_Data[[#This Row],[Total_Cost]]</f>
        <v>221407</v>
      </c>
      <c r="O521" s="2">
        <f>Clean_Data[[#This Row],[Profit]]/Clean_Data[[#This Row],[Total_Sales]]</f>
        <v>0.21187272727272727</v>
      </c>
      <c r="P521" t="str">
        <f>_xlfn.XLOOKUP(Clean_Data[[#This Row],[Product_Code]],Product_Catalog!A:A,Product_Catalog!C:C)</f>
        <v>Electronics</v>
      </c>
      <c r="Q521">
        <f>IF(Clean_Data[[#This Row],[Order_Date]]="","",YEAR(Clean_Data[[#This Row],[Order_Date]]))</f>
        <v>2026</v>
      </c>
      <c r="R521" t="str">
        <f>TEXT(Clean_Data[[#This Row],[Order_Date]],"mmm")</f>
        <v>Feb</v>
      </c>
      <c r="S521" t="str">
        <f>TEXT(Clean_Data[[#This Row],[Order_Date]],"mmm-yy")</f>
        <v>Feb-26</v>
      </c>
      <c r="V521"/>
    </row>
    <row r="522" spans="1:22" x14ac:dyDescent="0.25">
      <c r="A522" t="s">
        <v>585</v>
      </c>
      <c r="B522" s="1">
        <v>45819</v>
      </c>
      <c r="C522" t="s">
        <v>73</v>
      </c>
      <c r="D522" t="s">
        <v>33</v>
      </c>
      <c r="E522" t="s">
        <v>66</v>
      </c>
      <c r="F522" t="s">
        <v>67</v>
      </c>
      <c r="G522">
        <v>2</v>
      </c>
      <c r="H522">
        <v>2500</v>
      </c>
      <c r="I522">
        <v>1834</v>
      </c>
      <c r="J522" t="s">
        <v>29</v>
      </c>
      <c r="K522" t="s">
        <v>17</v>
      </c>
      <c r="L522">
        <f>SUM(Clean_Data[[#This Row],[Units_Sold]]*Clean_Data[[#This Row],[Unit_Price]])</f>
        <v>5000</v>
      </c>
      <c r="M522">
        <f>Clean_Data[[#This Row],[Units_Sold]]*Clean_Data[[#This Row],[Cost_Price]]</f>
        <v>3668</v>
      </c>
      <c r="N522">
        <f>Clean_Data[[#This Row],[Total_Sales]]-Clean_Data[[#This Row],[Total_Cost]]</f>
        <v>1332</v>
      </c>
      <c r="O522" s="2">
        <f>Clean_Data[[#This Row],[Profit]]/Clean_Data[[#This Row],[Total_Sales]]</f>
        <v>0.26640000000000003</v>
      </c>
      <c r="P522" t="str">
        <f>_xlfn.XLOOKUP(Clean_Data[[#This Row],[Product_Code]],Product_Catalog!A:A,Product_Catalog!C:C)</f>
        <v>Electronics</v>
      </c>
      <c r="Q522">
        <f>IF(Clean_Data[[#This Row],[Order_Date]]="","",YEAR(Clean_Data[[#This Row],[Order_Date]]))</f>
        <v>2025</v>
      </c>
      <c r="R522" t="str">
        <f>TEXT(Clean_Data[[#This Row],[Order_Date]],"mmm")</f>
        <v>Jun</v>
      </c>
      <c r="S522" t="str">
        <f>TEXT(Clean_Data[[#This Row],[Order_Date]],"mmm-yy")</f>
        <v>Jun-25</v>
      </c>
      <c r="V522"/>
    </row>
    <row r="523" spans="1:22" x14ac:dyDescent="0.25">
      <c r="A523" t="s">
        <v>586</v>
      </c>
      <c r="B523" s="1">
        <v>46013</v>
      </c>
      <c r="C523" t="s">
        <v>62</v>
      </c>
      <c r="D523" t="s">
        <v>40</v>
      </c>
      <c r="E523" t="s">
        <v>55</v>
      </c>
      <c r="F523" t="s">
        <v>34</v>
      </c>
      <c r="G523">
        <v>19</v>
      </c>
      <c r="H523">
        <v>35000</v>
      </c>
      <c r="I523">
        <v>25837</v>
      </c>
      <c r="J523" t="s">
        <v>29</v>
      </c>
      <c r="K523" t="s">
        <v>23</v>
      </c>
      <c r="L523">
        <f>SUM(Clean_Data[[#This Row],[Units_Sold]]*Clean_Data[[#This Row],[Unit_Price]])</f>
        <v>665000</v>
      </c>
      <c r="M523">
        <f>Clean_Data[[#This Row],[Units_Sold]]*Clean_Data[[#This Row],[Cost_Price]]</f>
        <v>490903</v>
      </c>
      <c r="N523">
        <f>Clean_Data[[#This Row],[Total_Sales]]-Clean_Data[[#This Row],[Total_Cost]]</f>
        <v>174097</v>
      </c>
      <c r="O523" s="2">
        <f>Clean_Data[[#This Row],[Profit]]/Clean_Data[[#This Row],[Total_Sales]]</f>
        <v>0.26179999999999998</v>
      </c>
      <c r="P523" t="str">
        <f>_xlfn.XLOOKUP(Clean_Data[[#This Row],[Product_Code]],Product_Catalog!A:A,Product_Catalog!C:C)</f>
        <v>Furniture</v>
      </c>
      <c r="Q523">
        <f>IF(Clean_Data[[#This Row],[Order_Date]]="","",YEAR(Clean_Data[[#This Row],[Order_Date]]))</f>
        <v>2025</v>
      </c>
      <c r="R523" t="str">
        <f>TEXT(Clean_Data[[#This Row],[Order_Date]],"mmm")</f>
        <v>Dec</v>
      </c>
      <c r="S523" t="str">
        <f>TEXT(Clean_Data[[#This Row],[Order_Date]],"mmm-yy")</f>
        <v>Dec-25</v>
      </c>
      <c r="V523"/>
    </row>
    <row r="524" spans="1:22" x14ac:dyDescent="0.25">
      <c r="A524" t="s">
        <v>587</v>
      </c>
      <c r="B524" s="1">
        <v>45812</v>
      </c>
      <c r="C524" t="s">
        <v>62</v>
      </c>
      <c r="D524" t="s">
        <v>13</v>
      </c>
      <c r="E524" t="s">
        <v>37</v>
      </c>
      <c r="F524" t="s">
        <v>38</v>
      </c>
      <c r="G524">
        <v>18</v>
      </c>
      <c r="H524">
        <v>55000</v>
      </c>
      <c r="I524">
        <v>42444</v>
      </c>
      <c r="J524" t="s">
        <v>29</v>
      </c>
      <c r="K524" t="s">
        <v>17</v>
      </c>
      <c r="L524">
        <f>SUM(Clean_Data[[#This Row],[Units_Sold]]*Clean_Data[[#This Row],[Unit_Price]])</f>
        <v>990000</v>
      </c>
      <c r="M524">
        <f>Clean_Data[[#This Row],[Units_Sold]]*Clean_Data[[#This Row],[Cost_Price]]</f>
        <v>763992</v>
      </c>
      <c r="N524">
        <f>Clean_Data[[#This Row],[Total_Sales]]-Clean_Data[[#This Row],[Total_Cost]]</f>
        <v>226008</v>
      </c>
      <c r="O524" s="2">
        <f>Clean_Data[[#This Row],[Profit]]/Clean_Data[[#This Row],[Total_Sales]]</f>
        <v>0.2282909090909091</v>
      </c>
      <c r="P524" t="str">
        <f>_xlfn.XLOOKUP(Clean_Data[[#This Row],[Product_Code]],Product_Catalog!A:A,Product_Catalog!C:C)</f>
        <v>Electronics</v>
      </c>
      <c r="Q524">
        <f>IF(Clean_Data[[#This Row],[Order_Date]]="","",YEAR(Clean_Data[[#This Row],[Order_Date]]))</f>
        <v>2025</v>
      </c>
      <c r="R524" t="str">
        <f>TEXT(Clean_Data[[#This Row],[Order_Date]],"mmm")</f>
        <v>Jun</v>
      </c>
      <c r="S524" t="str">
        <f>TEXT(Clean_Data[[#This Row],[Order_Date]],"mmm-yy")</f>
        <v>Jun-25</v>
      </c>
      <c r="V524"/>
    </row>
    <row r="525" spans="1:22" x14ac:dyDescent="0.25">
      <c r="A525" t="s">
        <v>588</v>
      </c>
      <c r="B525" s="1">
        <v>45963</v>
      </c>
      <c r="C525" t="s">
        <v>25</v>
      </c>
      <c r="D525" t="s">
        <v>36</v>
      </c>
      <c r="E525" t="s">
        <v>41</v>
      </c>
      <c r="F525" t="s">
        <v>42</v>
      </c>
      <c r="G525">
        <v>3</v>
      </c>
      <c r="H525">
        <v>28000</v>
      </c>
      <c r="I525">
        <v>16884</v>
      </c>
      <c r="J525" t="s">
        <v>29</v>
      </c>
      <c r="K525" t="s">
        <v>23</v>
      </c>
      <c r="L525">
        <f>SUM(Clean_Data[[#This Row],[Units_Sold]]*Clean_Data[[#This Row],[Unit_Price]])</f>
        <v>84000</v>
      </c>
      <c r="M525">
        <f>Clean_Data[[#This Row],[Units_Sold]]*Clean_Data[[#This Row],[Cost_Price]]</f>
        <v>50652</v>
      </c>
      <c r="N525">
        <f>Clean_Data[[#This Row],[Total_Sales]]-Clean_Data[[#This Row],[Total_Cost]]</f>
        <v>33348</v>
      </c>
      <c r="O525" s="2">
        <f>Clean_Data[[#This Row],[Profit]]/Clean_Data[[#This Row],[Total_Sales]]</f>
        <v>0.39700000000000002</v>
      </c>
      <c r="P525" t="str">
        <f>_xlfn.XLOOKUP(Clean_Data[[#This Row],[Product_Code]],Product_Catalog!A:A,Product_Catalog!C:C)</f>
        <v>Electronics</v>
      </c>
      <c r="Q525">
        <f>IF(Clean_Data[[#This Row],[Order_Date]]="","",YEAR(Clean_Data[[#This Row],[Order_Date]]))</f>
        <v>2025</v>
      </c>
      <c r="R525" t="str">
        <f>TEXT(Clean_Data[[#This Row],[Order_Date]],"mmm")</f>
        <v>Nov</v>
      </c>
      <c r="S525" t="str">
        <f>TEXT(Clean_Data[[#This Row],[Order_Date]],"mmm-yy")</f>
        <v>Nov-25</v>
      </c>
      <c r="V525"/>
    </row>
    <row r="526" spans="1:22" x14ac:dyDescent="0.25">
      <c r="A526" t="s">
        <v>589</v>
      </c>
      <c r="B526" s="1">
        <v>46234</v>
      </c>
      <c r="C526" t="s">
        <v>53</v>
      </c>
      <c r="D526" t="s">
        <v>40</v>
      </c>
      <c r="E526" t="s">
        <v>66</v>
      </c>
      <c r="F526" t="s">
        <v>67</v>
      </c>
      <c r="G526">
        <v>7</v>
      </c>
      <c r="H526">
        <v>2500</v>
      </c>
      <c r="I526">
        <v>1742</v>
      </c>
      <c r="J526" t="s">
        <v>45</v>
      </c>
      <c r="K526" t="s">
        <v>17</v>
      </c>
      <c r="L526">
        <f>SUM(Clean_Data[[#This Row],[Units_Sold]]*Clean_Data[[#This Row],[Unit_Price]])</f>
        <v>17500</v>
      </c>
      <c r="M526">
        <f>Clean_Data[[#This Row],[Units_Sold]]*Clean_Data[[#This Row],[Cost_Price]]</f>
        <v>12194</v>
      </c>
      <c r="N526">
        <f>Clean_Data[[#This Row],[Total_Sales]]-Clean_Data[[#This Row],[Total_Cost]]</f>
        <v>5306</v>
      </c>
      <c r="O526" s="2">
        <f>Clean_Data[[#This Row],[Profit]]/Clean_Data[[#This Row],[Total_Sales]]</f>
        <v>0.30320000000000003</v>
      </c>
      <c r="P526" t="str">
        <f>_xlfn.XLOOKUP(Clean_Data[[#This Row],[Product_Code]],Product_Catalog!A:A,Product_Catalog!C:C)</f>
        <v>Electronics</v>
      </c>
      <c r="Q526">
        <f>IF(Clean_Data[[#This Row],[Order_Date]]="","",YEAR(Clean_Data[[#This Row],[Order_Date]]))</f>
        <v>2026</v>
      </c>
      <c r="R526" t="str">
        <f>TEXT(Clean_Data[[#This Row],[Order_Date]],"mmm")</f>
        <v>Jul</v>
      </c>
      <c r="S526" t="str">
        <f>TEXT(Clean_Data[[#This Row],[Order_Date]],"mmm-yy")</f>
        <v>Jul-26</v>
      </c>
      <c r="V526"/>
    </row>
    <row r="527" spans="1:22" x14ac:dyDescent="0.25">
      <c r="A527" t="s">
        <v>590</v>
      </c>
      <c r="B527" s="1">
        <v>45977</v>
      </c>
      <c r="C527" t="s">
        <v>25</v>
      </c>
      <c r="D527" t="s">
        <v>13</v>
      </c>
      <c r="E527" t="s">
        <v>49</v>
      </c>
      <c r="F527" t="s">
        <v>50</v>
      </c>
      <c r="G527">
        <v>9</v>
      </c>
      <c r="H527">
        <v>75000</v>
      </c>
      <c r="I527">
        <v>47707</v>
      </c>
      <c r="J527" t="s">
        <v>16</v>
      </c>
      <c r="K527" t="s">
        <v>46</v>
      </c>
      <c r="L527">
        <f>SUM(Clean_Data[[#This Row],[Units_Sold]]*Clean_Data[[#This Row],[Unit_Price]])</f>
        <v>675000</v>
      </c>
      <c r="M527">
        <f>Clean_Data[[#This Row],[Units_Sold]]*Clean_Data[[#This Row],[Cost_Price]]</f>
        <v>429363</v>
      </c>
      <c r="N527">
        <f>Clean_Data[[#This Row],[Total_Sales]]-Clean_Data[[#This Row],[Total_Cost]]</f>
        <v>245637</v>
      </c>
      <c r="O527" s="2">
        <f>Clean_Data[[#This Row],[Profit]]/Clean_Data[[#This Row],[Total_Sales]]</f>
        <v>0.36390666666666666</v>
      </c>
      <c r="P527" t="str">
        <f>_xlfn.XLOOKUP(Clean_Data[[#This Row],[Product_Code]],Product_Catalog!A:A,Product_Catalog!C:C)</f>
        <v>Electronics</v>
      </c>
      <c r="Q527">
        <f>IF(Clean_Data[[#This Row],[Order_Date]]="","",YEAR(Clean_Data[[#This Row],[Order_Date]]))</f>
        <v>2025</v>
      </c>
      <c r="R527" t="str">
        <f>TEXT(Clean_Data[[#This Row],[Order_Date]],"mmm")</f>
        <v>Nov</v>
      </c>
      <c r="S527" t="str">
        <f>TEXT(Clean_Data[[#This Row],[Order_Date]],"mmm-yy")</f>
        <v>Nov-25</v>
      </c>
      <c r="V527"/>
    </row>
    <row r="528" spans="1:22" x14ac:dyDescent="0.25">
      <c r="A528" t="s">
        <v>591</v>
      </c>
      <c r="B528" s="1">
        <v>45850</v>
      </c>
      <c r="C528" t="s">
        <v>73</v>
      </c>
      <c r="D528" t="s">
        <v>13</v>
      </c>
      <c r="E528" t="s">
        <v>49</v>
      </c>
      <c r="F528" t="s">
        <v>50</v>
      </c>
      <c r="G528">
        <v>13</v>
      </c>
      <c r="H528">
        <v>75000</v>
      </c>
      <c r="I528">
        <v>51910</v>
      </c>
      <c r="J528" t="s">
        <v>16</v>
      </c>
      <c r="K528" t="s">
        <v>23</v>
      </c>
      <c r="L528">
        <f>SUM(Clean_Data[[#This Row],[Units_Sold]]*Clean_Data[[#This Row],[Unit_Price]])</f>
        <v>975000</v>
      </c>
      <c r="M528">
        <f>Clean_Data[[#This Row],[Units_Sold]]*Clean_Data[[#This Row],[Cost_Price]]</f>
        <v>674830</v>
      </c>
      <c r="N528">
        <f>Clean_Data[[#This Row],[Total_Sales]]-Clean_Data[[#This Row],[Total_Cost]]</f>
        <v>300170</v>
      </c>
      <c r="O528" s="2">
        <f>Clean_Data[[#This Row],[Profit]]/Clean_Data[[#This Row],[Total_Sales]]</f>
        <v>0.30786666666666668</v>
      </c>
      <c r="P528" t="str">
        <f>_xlfn.XLOOKUP(Clean_Data[[#This Row],[Product_Code]],Product_Catalog!A:A,Product_Catalog!C:C)</f>
        <v>Electronics</v>
      </c>
      <c r="Q528">
        <f>IF(Clean_Data[[#This Row],[Order_Date]]="","",YEAR(Clean_Data[[#This Row],[Order_Date]]))</f>
        <v>2025</v>
      </c>
      <c r="R528" t="str">
        <f>TEXT(Clean_Data[[#This Row],[Order_Date]],"mmm")</f>
        <v>Jul</v>
      </c>
      <c r="S528" t="str">
        <f>TEXT(Clean_Data[[#This Row],[Order_Date]],"mmm-yy")</f>
        <v>Jul-25</v>
      </c>
      <c r="V528"/>
    </row>
    <row r="529" spans="1:22" x14ac:dyDescent="0.25">
      <c r="A529" t="s">
        <v>592</v>
      </c>
      <c r="B529" s="1">
        <v>45902</v>
      </c>
      <c r="C529" t="s">
        <v>48</v>
      </c>
      <c r="D529" t="s">
        <v>13</v>
      </c>
      <c r="E529" t="s">
        <v>49</v>
      </c>
      <c r="F529" t="s">
        <v>50</v>
      </c>
      <c r="G529">
        <v>12</v>
      </c>
      <c r="H529">
        <v>75000</v>
      </c>
      <c r="I529">
        <v>49378</v>
      </c>
      <c r="J529" t="s">
        <v>22</v>
      </c>
      <c r="K529" t="s">
        <v>17</v>
      </c>
      <c r="L529">
        <f>SUM(Clean_Data[[#This Row],[Units_Sold]]*Clean_Data[[#This Row],[Unit_Price]])</f>
        <v>900000</v>
      </c>
      <c r="M529">
        <f>Clean_Data[[#This Row],[Units_Sold]]*Clean_Data[[#This Row],[Cost_Price]]</f>
        <v>592536</v>
      </c>
      <c r="N529">
        <f>Clean_Data[[#This Row],[Total_Sales]]-Clean_Data[[#This Row],[Total_Cost]]</f>
        <v>307464</v>
      </c>
      <c r="O529" s="2">
        <f>Clean_Data[[#This Row],[Profit]]/Clean_Data[[#This Row],[Total_Sales]]</f>
        <v>0.34162666666666669</v>
      </c>
      <c r="P529" t="str">
        <f>_xlfn.XLOOKUP(Clean_Data[[#This Row],[Product_Code]],Product_Catalog!A:A,Product_Catalog!C:C)</f>
        <v>Electronics</v>
      </c>
      <c r="Q529">
        <f>IF(Clean_Data[[#This Row],[Order_Date]]="","",YEAR(Clean_Data[[#This Row],[Order_Date]]))</f>
        <v>2025</v>
      </c>
      <c r="R529" t="str">
        <f>TEXT(Clean_Data[[#This Row],[Order_Date]],"mmm")</f>
        <v>Sep</v>
      </c>
      <c r="S529" t="str">
        <f>TEXT(Clean_Data[[#This Row],[Order_Date]],"mmm-yy")</f>
        <v>Sep-25</v>
      </c>
      <c r="V529"/>
    </row>
    <row r="530" spans="1:22" x14ac:dyDescent="0.25">
      <c r="A530" t="s">
        <v>593</v>
      </c>
      <c r="B530" s="1">
        <v>45776</v>
      </c>
      <c r="C530" t="s">
        <v>53</v>
      </c>
      <c r="D530" t="s">
        <v>36</v>
      </c>
      <c r="E530" t="s">
        <v>37</v>
      </c>
      <c r="F530" t="s">
        <v>38</v>
      </c>
      <c r="G530">
        <v>5</v>
      </c>
      <c r="H530">
        <v>55000</v>
      </c>
      <c r="I530">
        <v>33835</v>
      </c>
      <c r="J530" t="s">
        <v>29</v>
      </c>
      <c r="K530" t="s">
        <v>17</v>
      </c>
      <c r="L530">
        <f>SUM(Clean_Data[[#This Row],[Units_Sold]]*Clean_Data[[#This Row],[Unit_Price]])</f>
        <v>275000</v>
      </c>
      <c r="M530">
        <f>Clean_Data[[#This Row],[Units_Sold]]*Clean_Data[[#This Row],[Cost_Price]]</f>
        <v>169175</v>
      </c>
      <c r="N530">
        <f>Clean_Data[[#This Row],[Total_Sales]]-Clean_Data[[#This Row],[Total_Cost]]</f>
        <v>105825</v>
      </c>
      <c r="O530" s="2">
        <f>Clean_Data[[#This Row],[Profit]]/Clean_Data[[#This Row],[Total_Sales]]</f>
        <v>0.38481818181818184</v>
      </c>
      <c r="P530" t="str">
        <f>_xlfn.XLOOKUP(Clean_Data[[#This Row],[Product_Code]],Product_Catalog!A:A,Product_Catalog!C:C)</f>
        <v>Electronics</v>
      </c>
      <c r="Q530">
        <f>IF(Clean_Data[[#This Row],[Order_Date]]="","",YEAR(Clean_Data[[#This Row],[Order_Date]]))</f>
        <v>2025</v>
      </c>
      <c r="R530" t="str">
        <f>TEXT(Clean_Data[[#This Row],[Order_Date]],"mmm")</f>
        <v>Apr</v>
      </c>
      <c r="S530" t="str">
        <f>TEXT(Clean_Data[[#This Row],[Order_Date]],"mmm-yy")</f>
        <v>Apr-25</v>
      </c>
      <c r="V530"/>
    </row>
    <row r="531" spans="1:22" x14ac:dyDescent="0.25">
      <c r="A531" t="s">
        <v>594</v>
      </c>
      <c r="B531" s="1">
        <v>46000</v>
      </c>
      <c r="C531" t="s">
        <v>53</v>
      </c>
      <c r="D531" t="s">
        <v>13</v>
      </c>
      <c r="E531" t="s">
        <v>63</v>
      </c>
      <c r="F531" t="s">
        <v>59</v>
      </c>
      <c r="G531">
        <v>5</v>
      </c>
      <c r="H531">
        <v>4500</v>
      </c>
      <c r="I531">
        <v>3513</v>
      </c>
      <c r="J531" t="s">
        <v>45</v>
      </c>
      <c r="K531" t="s">
        <v>23</v>
      </c>
      <c r="L531">
        <f>SUM(Clean_Data[[#This Row],[Units_Sold]]*Clean_Data[[#This Row],[Unit_Price]])</f>
        <v>22500</v>
      </c>
      <c r="M531">
        <f>Clean_Data[[#This Row],[Units_Sold]]*Clean_Data[[#This Row],[Cost_Price]]</f>
        <v>17565</v>
      </c>
      <c r="N531">
        <f>Clean_Data[[#This Row],[Total_Sales]]-Clean_Data[[#This Row],[Total_Cost]]</f>
        <v>4935</v>
      </c>
      <c r="O531" s="2">
        <f>Clean_Data[[#This Row],[Profit]]/Clean_Data[[#This Row],[Total_Sales]]</f>
        <v>0.21933333333333332</v>
      </c>
      <c r="P531" t="str">
        <f>_xlfn.XLOOKUP(Clean_Data[[#This Row],[Product_Code]],Product_Catalog!A:A,Product_Catalog!C:C)</f>
        <v>Electronics</v>
      </c>
      <c r="Q531">
        <f>IF(Clean_Data[[#This Row],[Order_Date]]="","",YEAR(Clean_Data[[#This Row],[Order_Date]]))</f>
        <v>2025</v>
      </c>
      <c r="R531" t="str">
        <f>TEXT(Clean_Data[[#This Row],[Order_Date]],"mmm")</f>
        <v>Dec</v>
      </c>
      <c r="S531" t="str">
        <f>TEXT(Clean_Data[[#This Row],[Order_Date]],"mmm-yy")</f>
        <v>Dec-25</v>
      </c>
      <c r="V531"/>
    </row>
    <row r="532" spans="1:22" x14ac:dyDescent="0.25">
      <c r="A532" t="s">
        <v>595</v>
      </c>
      <c r="B532" s="1">
        <v>45936</v>
      </c>
      <c r="C532" t="s">
        <v>25</v>
      </c>
      <c r="D532" t="s">
        <v>13</v>
      </c>
      <c r="E532" t="s">
        <v>55</v>
      </c>
      <c r="F532" t="s">
        <v>34</v>
      </c>
      <c r="G532">
        <v>5</v>
      </c>
      <c r="H532">
        <v>35000</v>
      </c>
      <c r="I532">
        <v>21693</v>
      </c>
      <c r="J532" t="s">
        <v>22</v>
      </c>
      <c r="K532" t="s">
        <v>23</v>
      </c>
      <c r="L532">
        <f>SUM(Clean_Data[[#This Row],[Units_Sold]]*Clean_Data[[#This Row],[Unit_Price]])</f>
        <v>175000</v>
      </c>
      <c r="M532">
        <f>Clean_Data[[#This Row],[Units_Sold]]*Clean_Data[[#This Row],[Cost_Price]]</f>
        <v>108465</v>
      </c>
      <c r="N532">
        <f>Clean_Data[[#This Row],[Total_Sales]]-Clean_Data[[#This Row],[Total_Cost]]</f>
        <v>66535</v>
      </c>
      <c r="O532" s="2">
        <f>Clean_Data[[#This Row],[Profit]]/Clean_Data[[#This Row],[Total_Sales]]</f>
        <v>0.38019999999999998</v>
      </c>
      <c r="P532" t="str">
        <f>_xlfn.XLOOKUP(Clean_Data[[#This Row],[Product_Code]],Product_Catalog!A:A,Product_Catalog!C:C)</f>
        <v>Furniture</v>
      </c>
      <c r="Q532">
        <f>IF(Clean_Data[[#This Row],[Order_Date]]="","",YEAR(Clean_Data[[#This Row],[Order_Date]]))</f>
        <v>2025</v>
      </c>
      <c r="R532" t="str">
        <f>TEXT(Clean_Data[[#This Row],[Order_Date]],"mmm")</f>
        <v>Oct</v>
      </c>
      <c r="S532" t="str">
        <f>TEXT(Clean_Data[[#This Row],[Order_Date]],"mmm-yy")</f>
        <v>Oct-25</v>
      </c>
      <c r="V532"/>
    </row>
    <row r="533" spans="1:22" x14ac:dyDescent="0.25">
      <c r="A533" t="s">
        <v>596</v>
      </c>
      <c r="B533" s="1">
        <v>45684</v>
      </c>
      <c r="C533" t="s">
        <v>31</v>
      </c>
      <c r="D533" t="s">
        <v>36</v>
      </c>
      <c r="E533" t="s">
        <v>20</v>
      </c>
      <c r="F533" t="s">
        <v>21</v>
      </c>
      <c r="G533">
        <v>7</v>
      </c>
      <c r="H533">
        <v>8500</v>
      </c>
      <c r="I533">
        <v>6580</v>
      </c>
      <c r="J533" t="s">
        <v>29</v>
      </c>
      <c r="K533" t="s">
        <v>17</v>
      </c>
      <c r="L533">
        <f>SUM(Clean_Data[[#This Row],[Units_Sold]]*Clean_Data[[#This Row],[Unit_Price]])</f>
        <v>59500</v>
      </c>
      <c r="M533">
        <f>Clean_Data[[#This Row],[Units_Sold]]*Clean_Data[[#This Row],[Cost_Price]]</f>
        <v>46060</v>
      </c>
      <c r="N533">
        <f>Clean_Data[[#This Row],[Total_Sales]]-Clean_Data[[#This Row],[Total_Cost]]</f>
        <v>13440</v>
      </c>
      <c r="O533" s="2">
        <f>Clean_Data[[#This Row],[Profit]]/Clean_Data[[#This Row],[Total_Sales]]</f>
        <v>0.22588235294117648</v>
      </c>
      <c r="P533" t="str">
        <f>_xlfn.XLOOKUP(Clean_Data[[#This Row],[Product_Code]],Product_Catalog!A:A,Product_Catalog!C:C)</f>
        <v>Accessories</v>
      </c>
      <c r="Q533">
        <f>IF(Clean_Data[[#This Row],[Order_Date]]="","",YEAR(Clean_Data[[#This Row],[Order_Date]]))</f>
        <v>2025</v>
      </c>
      <c r="R533" t="str">
        <f>TEXT(Clean_Data[[#This Row],[Order_Date]],"mmm")</f>
        <v>Jan</v>
      </c>
      <c r="S533" t="str">
        <f>TEXT(Clean_Data[[#This Row],[Order_Date]],"mmm-yy")</f>
        <v>Jan-25</v>
      </c>
      <c r="V533"/>
    </row>
    <row r="534" spans="1:22" x14ac:dyDescent="0.25">
      <c r="A534" t="s">
        <v>597</v>
      </c>
      <c r="B534" s="1">
        <v>45733</v>
      </c>
      <c r="C534" t="s">
        <v>19</v>
      </c>
      <c r="D534" t="s">
        <v>13</v>
      </c>
      <c r="E534" t="s">
        <v>49</v>
      </c>
      <c r="F534" t="s">
        <v>50</v>
      </c>
      <c r="G534">
        <v>10</v>
      </c>
      <c r="H534">
        <v>75000</v>
      </c>
      <c r="I534">
        <v>53850</v>
      </c>
      <c r="J534" t="s">
        <v>22</v>
      </c>
      <c r="K534" t="s">
        <v>46</v>
      </c>
      <c r="L534">
        <f>SUM(Clean_Data[[#This Row],[Units_Sold]]*Clean_Data[[#This Row],[Unit_Price]])</f>
        <v>750000</v>
      </c>
      <c r="M534">
        <f>Clean_Data[[#This Row],[Units_Sold]]*Clean_Data[[#This Row],[Cost_Price]]</f>
        <v>538500</v>
      </c>
      <c r="N534">
        <f>Clean_Data[[#This Row],[Total_Sales]]-Clean_Data[[#This Row],[Total_Cost]]</f>
        <v>211500</v>
      </c>
      <c r="O534" s="2">
        <f>Clean_Data[[#This Row],[Profit]]/Clean_Data[[#This Row],[Total_Sales]]</f>
        <v>0.28199999999999997</v>
      </c>
      <c r="P534" t="str">
        <f>_xlfn.XLOOKUP(Clean_Data[[#This Row],[Product_Code]],Product_Catalog!A:A,Product_Catalog!C:C)</f>
        <v>Electronics</v>
      </c>
      <c r="Q534">
        <f>IF(Clean_Data[[#This Row],[Order_Date]]="","",YEAR(Clean_Data[[#This Row],[Order_Date]]))</f>
        <v>2025</v>
      </c>
      <c r="R534" t="str">
        <f>TEXT(Clean_Data[[#This Row],[Order_Date]],"mmm")</f>
        <v>Mar</v>
      </c>
      <c r="S534" t="str">
        <f>TEXT(Clean_Data[[#This Row],[Order_Date]],"mmm-yy")</f>
        <v>Mar-25</v>
      </c>
      <c r="V534"/>
    </row>
    <row r="535" spans="1:22" x14ac:dyDescent="0.25">
      <c r="A535" t="s">
        <v>598</v>
      </c>
      <c r="B535" s="1">
        <v>45976</v>
      </c>
      <c r="C535" t="s">
        <v>31</v>
      </c>
      <c r="D535" t="s">
        <v>13</v>
      </c>
      <c r="E535" t="s">
        <v>14</v>
      </c>
      <c r="F535" t="s">
        <v>15</v>
      </c>
      <c r="G535">
        <v>12</v>
      </c>
      <c r="H535">
        <v>12500</v>
      </c>
      <c r="I535">
        <v>7995</v>
      </c>
      <c r="J535" t="s">
        <v>22</v>
      </c>
      <c r="K535" t="s">
        <v>17</v>
      </c>
      <c r="L535">
        <f>SUM(Clean_Data[[#This Row],[Units_Sold]]*Clean_Data[[#This Row],[Unit_Price]])</f>
        <v>150000</v>
      </c>
      <c r="M535">
        <f>Clean_Data[[#This Row],[Units_Sold]]*Clean_Data[[#This Row],[Cost_Price]]</f>
        <v>95940</v>
      </c>
      <c r="N535">
        <f>Clean_Data[[#This Row],[Total_Sales]]-Clean_Data[[#This Row],[Total_Cost]]</f>
        <v>54060</v>
      </c>
      <c r="O535" s="2">
        <f>Clean_Data[[#This Row],[Profit]]/Clean_Data[[#This Row],[Total_Sales]]</f>
        <v>0.3604</v>
      </c>
      <c r="P535" t="str">
        <f>_xlfn.XLOOKUP(Clean_Data[[#This Row],[Product_Code]],Product_Catalog!A:A,Product_Catalog!C:C)</f>
        <v>Accessories</v>
      </c>
      <c r="Q535">
        <f>IF(Clean_Data[[#This Row],[Order_Date]]="","",YEAR(Clean_Data[[#This Row],[Order_Date]]))</f>
        <v>2025</v>
      </c>
      <c r="R535" t="str">
        <f>TEXT(Clean_Data[[#This Row],[Order_Date]],"mmm")</f>
        <v>Nov</v>
      </c>
      <c r="S535" t="str">
        <f>TEXT(Clean_Data[[#This Row],[Order_Date]],"mmm-yy")</f>
        <v>Nov-25</v>
      </c>
      <c r="V535"/>
    </row>
    <row r="536" spans="1:22" x14ac:dyDescent="0.25">
      <c r="A536" t="s">
        <v>599</v>
      </c>
      <c r="B536" s="1">
        <v>45990</v>
      </c>
      <c r="C536" t="s">
        <v>31</v>
      </c>
      <c r="D536" t="s">
        <v>13</v>
      </c>
      <c r="E536" t="s">
        <v>20</v>
      </c>
      <c r="F536" t="s">
        <v>21</v>
      </c>
      <c r="G536">
        <v>5</v>
      </c>
      <c r="H536">
        <v>8500</v>
      </c>
      <c r="I536">
        <v>6186</v>
      </c>
      <c r="J536" t="s">
        <v>29</v>
      </c>
      <c r="K536" t="s">
        <v>46</v>
      </c>
      <c r="L536">
        <f>SUM(Clean_Data[[#This Row],[Units_Sold]]*Clean_Data[[#This Row],[Unit_Price]])</f>
        <v>42500</v>
      </c>
      <c r="M536">
        <f>Clean_Data[[#This Row],[Units_Sold]]*Clean_Data[[#This Row],[Cost_Price]]</f>
        <v>30930</v>
      </c>
      <c r="N536">
        <f>Clean_Data[[#This Row],[Total_Sales]]-Clean_Data[[#This Row],[Total_Cost]]</f>
        <v>11570</v>
      </c>
      <c r="O536" s="2">
        <f>Clean_Data[[#This Row],[Profit]]/Clean_Data[[#This Row],[Total_Sales]]</f>
        <v>0.27223529411764708</v>
      </c>
      <c r="P536" t="str">
        <f>_xlfn.XLOOKUP(Clean_Data[[#This Row],[Product_Code]],Product_Catalog!A:A,Product_Catalog!C:C)</f>
        <v>Accessories</v>
      </c>
      <c r="Q536">
        <f>IF(Clean_Data[[#This Row],[Order_Date]]="","",YEAR(Clean_Data[[#This Row],[Order_Date]]))</f>
        <v>2025</v>
      </c>
      <c r="R536" t="str">
        <f>TEXT(Clean_Data[[#This Row],[Order_Date]],"mmm")</f>
        <v>Nov</v>
      </c>
      <c r="S536" t="str">
        <f>TEXT(Clean_Data[[#This Row],[Order_Date]],"mmm-yy")</f>
        <v>Nov-25</v>
      </c>
      <c r="V536"/>
    </row>
    <row r="537" spans="1:22" x14ac:dyDescent="0.25">
      <c r="A537" t="s">
        <v>600</v>
      </c>
      <c r="B537" s="1">
        <v>45981</v>
      </c>
      <c r="C537" t="s">
        <v>31</v>
      </c>
      <c r="D537" t="s">
        <v>40</v>
      </c>
      <c r="E537" t="s">
        <v>66</v>
      </c>
      <c r="F537" t="s">
        <v>67</v>
      </c>
      <c r="G537">
        <v>15</v>
      </c>
      <c r="H537">
        <v>2500</v>
      </c>
      <c r="I537">
        <v>1967</v>
      </c>
      <c r="J537" t="s">
        <v>22</v>
      </c>
      <c r="K537" t="s">
        <v>46</v>
      </c>
      <c r="L537">
        <f>SUM(Clean_Data[[#This Row],[Units_Sold]]*Clean_Data[[#This Row],[Unit_Price]])</f>
        <v>37500</v>
      </c>
      <c r="M537">
        <f>Clean_Data[[#This Row],[Units_Sold]]*Clean_Data[[#This Row],[Cost_Price]]</f>
        <v>29505</v>
      </c>
      <c r="N537">
        <f>Clean_Data[[#This Row],[Total_Sales]]-Clean_Data[[#This Row],[Total_Cost]]</f>
        <v>7995</v>
      </c>
      <c r="O537" s="2">
        <f>Clean_Data[[#This Row],[Profit]]/Clean_Data[[#This Row],[Total_Sales]]</f>
        <v>0.2132</v>
      </c>
      <c r="P537" t="str">
        <f>_xlfn.XLOOKUP(Clean_Data[[#This Row],[Product_Code]],Product_Catalog!A:A,Product_Catalog!C:C)</f>
        <v>Electronics</v>
      </c>
      <c r="Q537">
        <f>IF(Clean_Data[[#This Row],[Order_Date]]="","",YEAR(Clean_Data[[#This Row],[Order_Date]]))</f>
        <v>2025</v>
      </c>
      <c r="R537" t="str">
        <f>TEXT(Clean_Data[[#This Row],[Order_Date]],"mmm")</f>
        <v>Nov</v>
      </c>
      <c r="S537" t="str">
        <f>TEXT(Clean_Data[[#This Row],[Order_Date]],"mmm-yy")</f>
        <v>Nov-25</v>
      </c>
      <c r="V537"/>
    </row>
    <row r="538" spans="1:22" x14ac:dyDescent="0.25">
      <c r="A538" t="s">
        <v>601</v>
      </c>
      <c r="B538" s="1">
        <v>45902</v>
      </c>
      <c r="C538" t="s">
        <v>19</v>
      </c>
      <c r="D538" t="s">
        <v>40</v>
      </c>
      <c r="E538" t="s">
        <v>27</v>
      </c>
      <c r="F538" t="s">
        <v>28</v>
      </c>
      <c r="G538">
        <v>15</v>
      </c>
      <c r="H538">
        <v>14000</v>
      </c>
      <c r="I538">
        <v>10435</v>
      </c>
      <c r="J538" t="s">
        <v>29</v>
      </c>
      <c r="K538" t="s">
        <v>46</v>
      </c>
      <c r="L538">
        <f>SUM(Clean_Data[[#This Row],[Units_Sold]]*Clean_Data[[#This Row],[Unit_Price]])</f>
        <v>210000</v>
      </c>
      <c r="M538">
        <f>Clean_Data[[#This Row],[Units_Sold]]*Clean_Data[[#This Row],[Cost_Price]]</f>
        <v>156525</v>
      </c>
      <c r="N538">
        <f>Clean_Data[[#This Row],[Total_Sales]]-Clean_Data[[#This Row],[Total_Cost]]</f>
        <v>53475</v>
      </c>
      <c r="O538" s="2">
        <f>Clean_Data[[#This Row],[Profit]]/Clean_Data[[#This Row],[Total_Sales]]</f>
        <v>0.25464285714285712</v>
      </c>
      <c r="P538" t="str">
        <f>_xlfn.XLOOKUP(Clean_Data[[#This Row],[Product_Code]],Product_Catalog!A:A,Product_Catalog!C:C)</f>
        <v>Furniture</v>
      </c>
      <c r="Q538">
        <f>IF(Clean_Data[[#This Row],[Order_Date]]="","",YEAR(Clean_Data[[#This Row],[Order_Date]]))</f>
        <v>2025</v>
      </c>
      <c r="R538" t="str">
        <f>TEXT(Clean_Data[[#This Row],[Order_Date]],"mmm")</f>
        <v>Sep</v>
      </c>
      <c r="S538" t="str">
        <f>TEXT(Clean_Data[[#This Row],[Order_Date]],"mmm-yy")</f>
        <v>Sep-25</v>
      </c>
      <c r="V538"/>
    </row>
    <row r="539" spans="1:22" x14ac:dyDescent="0.25">
      <c r="A539" t="s">
        <v>602</v>
      </c>
      <c r="B539" s="1">
        <v>45711</v>
      </c>
      <c r="C539" t="s">
        <v>44</v>
      </c>
      <c r="D539" t="s">
        <v>13</v>
      </c>
      <c r="E539" t="s">
        <v>41</v>
      </c>
      <c r="F539" t="s">
        <v>42</v>
      </c>
      <c r="G539">
        <v>8</v>
      </c>
      <c r="H539">
        <v>28000</v>
      </c>
      <c r="I539">
        <v>21681</v>
      </c>
      <c r="J539" t="s">
        <v>22</v>
      </c>
      <c r="K539" t="s">
        <v>17</v>
      </c>
      <c r="L539">
        <f>SUM(Clean_Data[[#This Row],[Units_Sold]]*Clean_Data[[#This Row],[Unit_Price]])</f>
        <v>224000</v>
      </c>
      <c r="M539">
        <f>Clean_Data[[#This Row],[Units_Sold]]*Clean_Data[[#This Row],[Cost_Price]]</f>
        <v>173448</v>
      </c>
      <c r="N539">
        <f>Clean_Data[[#This Row],[Total_Sales]]-Clean_Data[[#This Row],[Total_Cost]]</f>
        <v>50552</v>
      </c>
      <c r="O539" s="2">
        <f>Clean_Data[[#This Row],[Profit]]/Clean_Data[[#This Row],[Total_Sales]]</f>
        <v>0.22567857142857142</v>
      </c>
      <c r="P539" t="str">
        <f>_xlfn.XLOOKUP(Clean_Data[[#This Row],[Product_Code]],Product_Catalog!A:A,Product_Catalog!C:C)</f>
        <v>Electronics</v>
      </c>
      <c r="Q539">
        <f>IF(Clean_Data[[#This Row],[Order_Date]]="","",YEAR(Clean_Data[[#This Row],[Order_Date]]))</f>
        <v>2025</v>
      </c>
      <c r="R539" t="str">
        <f>TEXT(Clean_Data[[#This Row],[Order_Date]],"mmm")</f>
        <v>Feb</v>
      </c>
      <c r="S539" t="str">
        <f>TEXT(Clean_Data[[#This Row],[Order_Date]],"mmm-yy")</f>
        <v>Feb-25</v>
      </c>
      <c r="V539"/>
    </row>
    <row r="540" spans="1:22" x14ac:dyDescent="0.25">
      <c r="A540" t="s">
        <v>604</v>
      </c>
      <c r="B540" s="1">
        <v>45705</v>
      </c>
      <c r="C540" t="s">
        <v>25</v>
      </c>
      <c r="D540" t="s">
        <v>40</v>
      </c>
      <c r="E540" t="s">
        <v>20</v>
      </c>
      <c r="F540" t="s">
        <v>21</v>
      </c>
      <c r="G540">
        <v>17</v>
      </c>
      <c r="H540">
        <v>8500</v>
      </c>
      <c r="I540">
        <v>5408</v>
      </c>
      <c r="J540" t="s">
        <v>22</v>
      </c>
      <c r="K540" t="s">
        <v>17</v>
      </c>
      <c r="L540">
        <f>SUM(Clean_Data[[#This Row],[Units_Sold]]*Clean_Data[[#This Row],[Unit_Price]])</f>
        <v>144500</v>
      </c>
      <c r="M540">
        <f>Clean_Data[[#This Row],[Units_Sold]]*Clean_Data[[#This Row],[Cost_Price]]</f>
        <v>91936</v>
      </c>
      <c r="N540">
        <f>Clean_Data[[#This Row],[Total_Sales]]-Clean_Data[[#This Row],[Total_Cost]]</f>
        <v>52564</v>
      </c>
      <c r="O540" s="2">
        <f>Clean_Data[[#This Row],[Profit]]/Clean_Data[[#This Row],[Total_Sales]]</f>
        <v>0.36376470588235293</v>
      </c>
      <c r="P540" t="str">
        <f>_xlfn.XLOOKUP(Clean_Data[[#This Row],[Product_Code]],Product_Catalog!A:A,Product_Catalog!C:C)</f>
        <v>Accessories</v>
      </c>
      <c r="Q540">
        <f>IF(Clean_Data[[#This Row],[Order_Date]]="","",YEAR(Clean_Data[[#This Row],[Order_Date]]))</f>
        <v>2025</v>
      </c>
      <c r="R540" t="str">
        <f>TEXT(Clean_Data[[#This Row],[Order_Date]],"mmm")</f>
        <v>Feb</v>
      </c>
      <c r="S540" t="str">
        <f>TEXT(Clean_Data[[#This Row],[Order_Date]],"mmm-yy")</f>
        <v>Feb-25</v>
      </c>
      <c r="V540"/>
    </row>
    <row r="541" spans="1:22" x14ac:dyDescent="0.25">
      <c r="A541" t="s">
        <v>605</v>
      </c>
      <c r="B541" s="1">
        <v>46020</v>
      </c>
      <c r="C541" t="s">
        <v>25</v>
      </c>
      <c r="D541" t="s">
        <v>33</v>
      </c>
      <c r="E541" t="s">
        <v>37</v>
      </c>
      <c r="F541" t="s">
        <v>38</v>
      </c>
      <c r="G541">
        <v>12</v>
      </c>
      <c r="H541">
        <v>55000</v>
      </c>
      <c r="I541">
        <v>35560</v>
      </c>
      <c r="J541" t="s">
        <v>29</v>
      </c>
      <c r="K541" t="s">
        <v>46</v>
      </c>
      <c r="L541">
        <f>SUM(Clean_Data[[#This Row],[Units_Sold]]*Clean_Data[[#This Row],[Unit_Price]])</f>
        <v>660000</v>
      </c>
      <c r="M541">
        <f>Clean_Data[[#This Row],[Units_Sold]]*Clean_Data[[#This Row],[Cost_Price]]</f>
        <v>426720</v>
      </c>
      <c r="N541">
        <f>Clean_Data[[#This Row],[Total_Sales]]-Clean_Data[[#This Row],[Total_Cost]]</f>
        <v>233280</v>
      </c>
      <c r="O541" s="2">
        <f>Clean_Data[[#This Row],[Profit]]/Clean_Data[[#This Row],[Total_Sales]]</f>
        <v>0.35345454545454547</v>
      </c>
      <c r="P541" t="str">
        <f>_xlfn.XLOOKUP(Clean_Data[[#This Row],[Product_Code]],Product_Catalog!A:A,Product_Catalog!C:C)</f>
        <v>Electronics</v>
      </c>
      <c r="Q541">
        <f>IF(Clean_Data[[#This Row],[Order_Date]]="","",YEAR(Clean_Data[[#This Row],[Order_Date]]))</f>
        <v>2025</v>
      </c>
      <c r="R541" t="str">
        <f>TEXT(Clean_Data[[#This Row],[Order_Date]],"mmm")</f>
        <v>Dec</v>
      </c>
      <c r="S541" t="str">
        <f>TEXT(Clean_Data[[#This Row],[Order_Date]],"mmm-yy")</f>
        <v>Dec-25</v>
      </c>
      <c r="V541"/>
    </row>
    <row r="542" spans="1:22" x14ac:dyDescent="0.25">
      <c r="A542" t="s">
        <v>606</v>
      </c>
      <c r="B542" s="1">
        <v>46257</v>
      </c>
      <c r="C542" t="s">
        <v>31</v>
      </c>
      <c r="D542" t="s">
        <v>40</v>
      </c>
      <c r="E542" t="s">
        <v>63</v>
      </c>
      <c r="F542" t="s">
        <v>59</v>
      </c>
      <c r="G542">
        <v>18</v>
      </c>
      <c r="H542">
        <v>4500</v>
      </c>
      <c r="I542">
        <v>2823</v>
      </c>
      <c r="J542" t="s">
        <v>29</v>
      </c>
      <c r="K542" t="s">
        <v>46</v>
      </c>
      <c r="L542">
        <f>SUM(Clean_Data[[#This Row],[Units_Sold]]*Clean_Data[[#This Row],[Unit_Price]])</f>
        <v>81000</v>
      </c>
      <c r="M542">
        <f>Clean_Data[[#This Row],[Units_Sold]]*Clean_Data[[#This Row],[Cost_Price]]</f>
        <v>50814</v>
      </c>
      <c r="N542">
        <f>Clean_Data[[#This Row],[Total_Sales]]-Clean_Data[[#This Row],[Total_Cost]]</f>
        <v>30186</v>
      </c>
      <c r="O542" s="2">
        <f>Clean_Data[[#This Row],[Profit]]/Clean_Data[[#This Row],[Total_Sales]]</f>
        <v>0.37266666666666665</v>
      </c>
      <c r="P542" t="str">
        <f>_xlfn.XLOOKUP(Clean_Data[[#This Row],[Product_Code]],Product_Catalog!A:A,Product_Catalog!C:C)</f>
        <v>Electronics</v>
      </c>
      <c r="Q542">
        <f>IF(Clean_Data[[#This Row],[Order_Date]]="","",YEAR(Clean_Data[[#This Row],[Order_Date]]))</f>
        <v>2026</v>
      </c>
      <c r="R542" t="str">
        <f>TEXT(Clean_Data[[#This Row],[Order_Date]],"mmm")</f>
        <v>Aug</v>
      </c>
      <c r="S542" t="str">
        <f>TEXT(Clean_Data[[#This Row],[Order_Date]],"mmm-yy")</f>
        <v>Aug-26</v>
      </c>
      <c r="V542"/>
    </row>
    <row r="543" spans="1:22" x14ac:dyDescent="0.25">
      <c r="A543" t="s">
        <v>607</v>
      </c>
      <c r="B543" s="1">
        <v>46233</v>
      </c>
      <c r="C543" t="s">
        <v>44</v>
      </c>
      <c r="D543" t="s">
        <v>36</v>
      </c>
      <c r="E543" t="s">
        <v>41</v>
      </c>
      <c r="F543" t="s">
        <v>42</v>
      </c>
      <c r="G543">
        <v>2</v>
      </c>
      <c r="H543">
        <v>28000</v>
      </c>
      <c r="I543">
        <v>20733</v>
      </c>
      <c r="J543" t="s">
        <v>16</v>
      </c>
      <c r="K543" t="s">
        <v>17</v>
      </c>
      <c r="L543">
        <f>SUM(Clean_Data[[#This Row],[Units_Sold]]*Clean_Data[[#This Row],[Unit_Price]])</f>
        <v>56000</v>
      </c>
      <c r="M543">
        <f>Clean_Data[[#This Row],[Units_Sold]]*Clean_Data[[#This Row],[Cost_Price]]</f>
        <v>41466</v>
      </c>
      <c r="N543">
        <f>Clean_Data[[#This Row],[Total_Sales]]-Clean_Data[[#This Row],[Total_Cost]]</f>
        <v>14534</v>
      </c>
      <c r="O543" s="2">
        <f>Clean_Data[[#This Row],[Profit]]/Clean_Data[[#This Row],[Total_Sales]]</f>
        <v>0.25953571428571426</v>
      </c>
      <c r="P543" t="str">
        <f>_xlfn.XLOOKUP(Clean_Data[[#This Row],[Product_Code]],Product_Catalog!A:A,Product_Catalog!C:C)</f>
        <v>Electronics</v>
      </c>
      <c r="Q543">
        <f>IF(Clean_Data[[#This Row],[Order_Date]]="","",YEAR(Clean_Data[[#This Row],[Order_Date]]))</f>
        <v>2026</v>
      </c>
      <c r="R543" t="str">
        <f>TEXT(Clean_Data[[#This Row],[Order_Date]],"mmm")</f>
        <v>Jul</v>
      </c>
      <c r="S543" t="str">
        <f>TEXT(Clean_Data[[#This Row],[Order_Date]],"mmm-yy")</f>
        <v>Jul-26</v>
      </c>
      <c r="V543"/>
    </row>
    <row r="544" spans="1:22" x14ac:dyDescent="0.25">
      <c r="A544" t="s">
        <v>608</v>
      </c>
      <c r="B544" s="1">
        <v>46178</v>
      </c>
      <c r="C544" t="s">
        <v>19</v>
      </c>
      <c r="D544" t="s">
        <v>40</v>
      </c>
      <c r="E544" t="s">
        <v>66</v>
      </c>
      <c r="F544" t="s">
        <v>67</v>
      </c>
      <c r="G544">
        <v>10</v>
      </c>
      <c r="H544">
        <v>2500</v>
      </c>
      <c r="I544">
        <v>1951</v>
      </c>
      <c r="J544" t="s">
        <v>45</v>
      </c>
      <c r="K544" t="s">
        <v>17</v>
      </c>
      <c r="L544">
        <f>SUM(Clean_Data[[#This Row],[Units_Sold]]*Clean_Data[[#This Row],[Unit_Price]])</f>
        <v>25000</v>
      </c>
      <c r="M544">
        <f>Clean_Data[[#This Row],[Units_Sold]]*Clean_Data[[#This Row],[Cost_Price]]</f>
        <v>19510</v>
      </c>
      <c r="N544">
        <f>Clean_Data[[#This Row],[Total_Sales]]-Clean_Data[[#This Row],[Total_Cost]]</f>
        <v>5490</v>
      </c>
      <c r="O544" s="2">
        <f>Clean_Data[[#This Row],[Profit]]/Clean_Data[[#This Row],[Total_Sales]]</f>
        <v>0.21959999999999999</v>
      </c>
      <c r="P544" t="str">
        <f>_xlfn.XLOOKUP(Clean_Data[[#This Row],[Product_Code]],Product_Catalog!A:A,Product_Catalog!C:C)</f>
        <v>Electronics</v>
      </c>
      <c r="Q544">
        <f>IF(Clean_Data[[#This Row],[Order_Date]]="","",YEAR(Clean_Data[[#This Row],[Order_Date]]))</f>
        <v>2026</v>
      </c>
      <c r="R544" t="str">
        <f>TEXT(Clean_Data[[#This Row],[Order_Date]],"mmm")</f>
        <v>Jun</v>
      </c>
      <c r="S544" t="str">
        <f>TEXT(Clean_Data[[#This Row],[Order_Date]],"mmm-yy")</f>
        <v>Jun-26</v>
      </c>
      <c r="V544"/>
    </row>
    <row r="545" spans="1:22" x14ac:dyDescent="0.25">
      <c r="A545" t="s">
        <v>609</v>
      </c>
      <c r="B545" s="1">
        <v>45689</v>
      </c>
      <c r="C545" t="s">
        <v>19</v>
      </c>
      <c r="D545" t="s">
        <v>33</v>
      </c>
      <c r="E545" t="s">
        <v>55</v>
      </c>
      <c r="F545" t="s">
        <v>34</v>
      </c>
      <c r="G545">
        <v>13</v>
      </c>
      <c r="H545">
        <v>35000</v>
      </c>
      <c r="I545">
        <v>21734</v>
      </c>
      <c r="J545" t="s">
        <v>22</v>
      </c>
      <c r="K545" t="s">
        <v>17</v>
      </c>
      <c r="L545">
        <f>SUM(Clean_Data[[#This Row],[Units_Sold]]*Clean_Data[[#This Row],[Unit_Price]])</f>
        <v>455000</v>
      </c>
      <c r="M545">
        <f>Clean_Data[[#This Row],[Units_Sold]]*Clean_Data[[#This Row],[Cost_Price]]</f>
        <v>282542</v>
      </c>
      <c r="N545">
        <f>Clean_Data[[#This Row],[Total_Sales]]-Clean_Data[[#This Row],[Total_Cost]]</f>
        <v>172458</v>
      </c>
      <c r="O545" s="2">
        <f>Clean_Data[[#This Row],[Profit]]/Clean_Data[[#This Row],[Total_Sales]]</f>
        <v>0.37902857142857144</v>
      </c>
      <c r="P545" t="str">
        <f>_xlfn.XLOOKUP(Clean_Data[[#This Row],[Product_Code]],Product_Catalog!A:A,Product_Catalog!C:C)</f>
        <v>Furniture</v>
      </c>
      <c r="Q545">
        <f>IF(Clean_Data[[#This Row],[Order_Date]]="","",YEAR(Clean_Data[[#This Row],[Order_Date]]))</f>
        <v>2025</v>
      </c>
      <c r="R545" t="str">
        <f>TEXT(Clean_Data[[#This Row],[Order_Date]],"mmm")</f>
        <v>Feb</v>
      </c>
      <c r="S545" t="str">
        <f>TEXT(Clean_Data[[#This Row],[Order_Date]],"mmm-yy")</f>
        <v>Feb-25</v>
      </c>
      <c r="V545"/>
    </row>
    <row r="546" spans="1:22" x14ac:dyDescent="0.25">
      <c r="A546" t="s">
        <v>610</v>
      </c>
      <c r="B546" s="1">
        <v>46218</v>
      </c>
      <c r="C546" t="s">
        <v>62</v>
      </c>
      <c r="D546" t="s">
        <v>33</v>
      </c>
      <c r="E546" t="s">
        <v>49</v>
      </c>
      <c r="F546" t="s">
        <v>50</v>
      </c>
      <c r="G546">
        <v>14</v>
      </c>
      <c r="H546">
        <v>75000</v>
      </c>
      <c r="I546">
        <v>54873</v>
      </c>
      <c r="J546" t="s">
        <v>16</v>
      </c>
      <c r="K546" t="s">
        <v>23</v>
      </c>
      <c r="L546">
        <f>SUM(Clean_Data[[#This Row],[Units_Sold]]*Clean_Data[[#This Row],[Unit_Price]])</f>
        <v>1050000</v>
      </c>
      <c r="M546">
        <f>Clean_Data[[#This Row],[Units_Sold]]*Clean_Data[[#This Row],[Cost_Price]]</f>
        <v>768222</v>
      </c>
      <c r="N546">
        <f>Clean_Data[[#This Row],[Total_Sales]]-Clean_Data[[#This Row],[Total_Cost]]</f>
        <v>281778</v>
      </c>
      <c r="O546" s="2">
        <f>Clean_Data[[#This Row],[Profit]]/Clean_Data[[#This Row],[Total_Sales]]</f>
        <v>0.26835999999999999</v>
      </c>
      <c r="P546" t="str">
        <f>_xlfn.XLOOKUP(Clean_Data[[#This Row],[Product_Code]],Product_Catalog!A:A,Product_Catalog!C:C)</f>
        <v>Electronics</v>
      </c>
      <c r="Q546">
        <f>IF(Clean_Data[[#This Row],[Order_Date]]="","",YEAR(Clean_Data[[#This Row],[Order_Date]]))</f>
        <v>2026</v>
      </c>
      <c r="R546" t="str">
        <f>TEXT(Clean_Data[[#This Row],[Order_Date]],"mmm")</f>
        <v>Jul</v>
      </c>
      <c r="S546" t="str">
        <f>TEXT(Clean_Data[[#This Row],[Order_Date]],"mmm-yy")</f>
        <v>Jul-26</v>
      </c>
      <c r="V546"/>
    </row>
    <row r="547" spans="1:22" x14ac:dyDescent="0.25">
      <c r="A547" t="s">
        <v>611</v>
      </c>
      <c r="B547" s="1">
        <v>45735</v>
      </c>
      <c r="C547" t="s">
        <v>73</v>
      </c>
      <c r="D547" t="s">
        <v>40</v>
      </c>
      <c r="E547" t="s">
        <v>41</v>
      </c>
      <c r="F547" t="s">
        <v>42</v>
      </c>
      <c r="G547">
        <v>1</v>
      </c>
      <c r="H547">
        <v>28000</v>
      </c>
      <c r="I547">
        <v>17921</v>
      </c>
      <c r="J547" t="s">
        <v>16</v>
      </c>
      <c r="K547" t="s">
        <v>17</v>
      </c>
      <c r="L547">
        <f>SUM(Clean_Data[[#This Row],[Units_Sold]]*Clean_Data[[#This Row],[Unit_Price]])</f>
        <v>28000</v>
      </c>
      <c r="M547">
        <f>Clean_Data[[#This Row],[Units_Sold]]*Clean_Data[[#This Row],[Cost_Price]]</f>
        <v>17921</v>
      </c>
      <c r="N547">
        <f>Clean_Data[[#This Row],[Total_Sales]]-Clean_Data[[#This Row],[Total_Cost]]</f>
        <v>10079</v>
      </c>
      <c r="O547" s="2">
        <f>Clean_Data[[#This Row],[Profit]]/Clean_Data[[#This Row],[Total_Sales]]</f>
        <v>0.35996428571428574</v>
      </c>
      <c r="P547" t="str">
        <f>_xlfn.XLOOKUP(Clean_Data[[#This Row],[Product_Code]],Product_Catalog!A:A,Product_Catalog!C:C)</f>
        <v>Electronics</v>
      </c>
      <c r="Q547">
        <f>IF(Clean_Data[[#This Row],[Order_Date]]="","",YEAR(Clean_Data[[#This Row],[Order_Date]]))</f>
        <v>2025</v>
      </c>
      <c r="R547" t="str">
        <f>TEXT(Clean_Data[[#This Row],[Order_Date]],"mmm")</f>
        <v>Mar</v>
      </c>
      <c r="S547" t="str">
        <f>TEXT(Clean_Data[[#This Row],[Order_Date]],"mmm-yy")</f>
        <v>Mar-25</v>
      </c>
      <c r="V547"/>
    </row>
    <row r="548" spans="1:22" x14ac:dyDescent="0.25">
      <c r="A548" t="s">
        <v>612</v>
      </c>
      <c r="B548" s="1">
        <v>45902</v>
      </c>
      <c r="C548" t="s">
        <v>44</v>
      </c>
      <c r="D548" t="s">
        <v>26</v>
      </c>
      <c r="E548" t="s">
        <v>14</v>
      </c>
      <c r="F548" t="s">
        <v>15</v>
      </c>
      <c r="G548">
        <v>4</v>
      </c>
      <c r="H548">
        <v>12500</v>
      </c>
      <c r="I548">
        <v>8767</v>
      </c>
      <c r="J548" t="s">
        <v>29</v>
      </c>
      <c r="K548" t="s">
        <v>17</v>
      </c>
      <c r="L548">
        <f>SUM(Clean_Data[[#This Row],[Units_Sold]]*Clean_Data[[#This Row],[Unit_Price]])</f>
        <v>50000</v>
      </c>
      <c r="M548">
        <f>Clean_Data[[#This Row],[Units_Sold]]*Clean_Data[[#This Row],[Cost_Price]]</f>
        <v>35068</v>
      </c>
      <c r="N548">
        <f>Clean_Data[[#This Row],[Total_Sales]]-Clean_Data[[#This Row],[Total_Cost]]</f>
        <v>14932</v>
      </c>
      <c r="O548" s="2">
        <f>Clean_Data[[#This Row],[Profit]]/Clean_Data[[#This Row],[Total_Sales]]</f>
        <v>0.29864000000000002</v>
      </c>
      <c r="P548" t="str">
        <f>_xlfn.XLOOKUP(Clean_Data[[#This Row],[Product_Code]],Product_Catalog!A:A,Product_Catalog!C:C)</f>
        <v>Accessories</v>
      </c>
      <c r="Q548">
        <f>IF(Clean_Data[[#This Row],[Order_Date]]="","",YEAR(Clean_Data[[#This Row],[Order_Date]]))</f>
        <v>2025</v>
      </c>
      <c r="R548" t="str">
        <f>TEXT(Clean_Data[[#This Row],[Order_Date]],"mmm")</f>
        <v>Sep</v>
      </c>
      <c r="S548" t="str">
        <f>TEXT(Clean_Data[[#This Row],[Order_Date]],"mmm-yy")</f>
        <v>Sep-25</v>
      </c>
      <c r="V548"/>
    </row>
    <row r="549" spans="1:22" x14ac:dyDescent="0.25">
      <c r="A549" t="s">
        <v>613</v>
      </c>
      <c r="B549" s="1">
        <v>46207</v>
      </c>
      <c r="C549" t="s">
        <v>62</v>
      </c>
      <c r="D549" t="s">
        <v>40</v>
      </c>
      <c r="E549" t="s">
        <v>55</v>
      </c>
      <c r="F549" t="s">
        <v>34</v>
      </c>
      <c r="G549">
        <v>18</v>
      </c>
      <c r="H549">
        <v>35000</v>
      </c>
      <c r="I549">
        <v>21494</v>
      </c>
      <c r="J549" t="s">
        <v>45</v>
      </c>
      <c r="K549" t="s">
        <v>17</v>
      </c>
      <c r="L549">
        <f>SUM(Clean_Data[[#This Row],[Units_Sold]]*Clean_Data[[#This Row],[Unit_Price]])</f>
        <v>630000</v>
      </c>
      <c r="M549">
        <f>Clean_Data[[#This Row],[Units_Sold]]*Clean_Data[[#This Row],[Cost_Price]]</f>
        <v>386892</v>
      </c>
      <c r="N549">
        <f>Clean_Data[[#This Row],[Total_Sales]]-Clean_Data[[#This Row],[Total_Cost]]</f>
        <v>243108</v>
      </c>
      <c r="O549" s="2">
        <f>Clean_Data[[#This Row],[Profit]]/Clean_Data[[#This Row],[Total_Sales]]</f>
        <v>0.38588571428571428</v>
      </c>
      <c r="P549" t="str">
        <f>_xlfn.XLOOKUP(Clean_Data[[#This Row],[Product_Code]],Product_Catalog!A:A,Product_Catalog!C:C)</f>
        <v>Furniture</v>
      </c>
      <c r="Q549">
        <f>IF(Clean_Data[[#This Row],[Order_Date]]="","",YEAR(Clean_Data[[#This Row],[Order_Date]]))</f>
        <v>2026</v>
      </c>
      <c r="R549" t="str">
        <f>TEXT(Clean_Data[[#This Row],[Order_Date]],"mmm")</f>
        <v>Jul</v>
      </c>
      <c r="S549" t="str">
        <f>TEXT(Clean_Data[[#This Row],[Order_Date]],"mmm-yy")</f>
        <v>Jul-26</v>
      </c>
      <c r="V549"/>
    </row>
    <row r="550" spans="1:22" x14ac:dyDescent="0.25">
      <c r="A550" t="s">
        <v>614</v>
      </c>
      <c r="B550" s="1">
        <v>46239</v>
      </c>
      <c r="C550" t="s">
        <v>44</v>
      </c>
      <c r="D550" t="s">
        <v>33</v>
      </c>
      <c r="E550" t="s">
        <v>20</v>
      </c>
      <c r="F550" t="s">
        <v>21</v>
      </c>
      <c r="G550">
        <v>17</v>
      </c>
      <c r="H550">
        <v>8500</v>
      </c>
      <c r="I550">
        <v>6535</v>
      </c>
      <c r="J550" t="s">
        <v>22</v>
      </c>
      <c r="K550" t="s">
        <v>23</v>
      </c>
      <c r="L550">
        <f>SUM(Clean_Data[[#This Row],[Units_Sold]]*Clean_Data[[#This Row],[Unit_Price]])</f>
        <v>144500</v>
      </c>
      <c r="M550">
        <f>Clean_Data[[#This Row],[Units_Sold]]*Clean_Data[[#This Row],[Cost_Price]]</f>
        <v>111095</v>
      </c>
      <c r="N550">
        <f>Clean_Data[[#This Row],[Total_Sales]]-Clean_Data[[#This Row],[Total_Cost]]</f>
        <v>33405</v>
      </c>
      <c r="O550" s="2">
        <f>Clean_Data[[#This Row],[Profit]]/Clean_Data[[#This Row],[Total_Sales]]</f>
        <v>0.23117647058823529</v>
      </c>
      <c r="P550" t="str">
        <f>_xlfn.XLOOKUP(Clean_Data[[#This Row],[Product_Code]],Product_Catalog!A:A,Product_Catalog!C:C)</f>
        <v>Accessories</v>
      </c>
      <c r="Q550">
        <f>IF(Clean_Data[[#This Row],[Order_Date]]="","",YEAR(Clean_Data[[#This Row],[Order_Date]]))</f>
        <v>2026</v>
      </c>
      <c r="R550" t="str">
        <f>TEXT(Clean_Data[[#This Row],[Order_Date]],"mmm")</f>
        <v>Aug</v>
      </c>
      <c r="S550" t="str">
        <f>TEXT(Clean_Data[[#This Row],[Order_Date]],"mmm-yy")</f>
        <v>Aug-26</v>
      </c>
      <c r="V550"/>
    </row>
    <row r="551" spans="1:22" x14ac:dyDescent="0.25">
      <c r="A551" t="s">
        <v>615</v>
      </c>
      <c r="B551" s="1">
        <v>46221</v>
      </c>
      <c r="C551" t="s">
        <v>73</v>
      </c>
      <c r="D551" t="s">
        <v>26</v>
      </c>
      <c r="E551" t="s">
        <v>55</v>
      </c>
      <c r="F551" t="s">
        <v>34</v>
      </c>
      <c r="G551">
        <v>12</v>
      </c>
      <c r="H551">
        <v>35000</v>
      </c>
      <c r="I551">
        <v>24527</v>
      </c>
      <c r="J551" t="s">
        <v>45</v>
      </c>
      <c r="K551" t="s">
        <v>46</v>
      </c>
      <c r="L551">
        <f>SUM(Clean_Data[[#This Row],[Units_Sold]]*Clean_Data[[#This Row],[Unit_Price]])</f>
        <v>420000</v>
      </c>
      <c r="M551">
        <f>Clean_Data[[#This Row],[Units_Sold]]*Clean_Data[[#This Row],[Cost_Price]]</f>
        <v>294324</v>
      </c>
      <c r="N551">
        <f>Clean_Data[[#This Row],[Total_Sales]]-Clean_Data[[#This Row],[Total_Cost]]</f>
        <v>125676</v>
      </c>
      <c r="O551" s="2">
        <f>Clean_Data[[#This Row],[Profit]]/Clean_Data[[#This Row],[Total_Sales]]</f>
        <v>0.29922857142857145</v>
      </c>
      <c r="P551" t="str">
        <f>_xlfn.XLOOKUP(Clean_Data[[#This Row],[Product_Code]],Product_Catalog!A:A,Product_Catalog!C:C)</f>
        <v>Furniture</v>
      </c>
      <c r="Q551">
        <f>IF(Clean_Data[[#This Row],[Order_Date]]="","",YEAR(Clean_Data[[#This Row],[Order_Date]]))</f>
        <v>2026</v>
      </c>
      <c r="R551" t="str">
        <f>TEXT(Clean_Data[[#This Row],[Order_Date]],"mmm")</f>
        <v>Jul</v>
      </c>
      <c r="S551" t="str">
        <f>TEXT(Clean_Data[[#This Row],[Order_Date]],"mmm-yy")</f>
        <v>Jul-26</v>
      </c>
      <c r="V551"/>
    </row>
    <row r="552" spans="1:22" x14ac:dyDescent="0.25">
      <c r="A552" t="s">
        <v>616</v>
      </c>
      <c r="B552" s="1">
        <v>46126</v>
      </c>
      <c r="C552" t="s">
        <v>44</v>
      </c>
      <c r="D552" t="s">
        <v>40</v>
      </c>
      <c r="E552" t="s">
        <v>66</v>
      </c>
      <c r="F552" t="s">
        <v>67</v>
      </c>
      <c r="G552">
        <v>4</v>
      </c>
      <c r="H552">
        <v>2500</v>
      </c>
      <c r="I552">
        <v>1800</v>
      </c>
      <c r="J552" t="s">
        <v>45</v>
      </c>
      <c r="K552" t="s">
        <v>17</v>
      </c>
      <c r="L552">
        <f>SUM(Clean_Data[[#This Row],[Units_Sold]]*Clean_Data[[#This Row],[Unit_Price]])</f>
        <v>10000</v>
      </c>
      <c r="M552">
        <f>Clean_Data[[#This Row],[Units_Sold]]*Clean_Data[[#This Row],[Cost_Price]]</f>
        <v>7200</v>
      </c>
      <c r="N552">
        <f>Clean_Data[[#This Row],[Total_Sales]]-Clean_Data[[#This Row],[Total_Cost]]</f>
        <v>2800</v>
      </c>
      <c r="O552" s="2">
        <f>Clean_Data[[#This Row],[Profit]]/Clean_Data[[#This Row],[Total_Sales]]</f>
        <v>0.28000000000000003</v>
      </c>
      <c r="P552" t="str">
        <f>_xlfn.XLOOKUP(Clean_Data[[#This Row],[Product_Code]],Product_Catalog!A:A,Product_Catalog!C:C)</f>
        <v>Electronics</v>
      </c>
      <c r="Q552">
        <f>IF(Clean_Data[[#This Row],[Order_Date]]="","",YEAR(Clean_Data[[#This Row],[Order_Date]]))</f>
        <v>2026</v>
      </c>
      <c r="R552" t="str">
        <f>TEXT(Clean_Data[[#This Row],[Order_Date]],"mmm")</f>
        <v>Apr</v>
      </c>
      <c r="S552" t="str">
        <f>TEXT(Clean_Data[[#This Row],[Order_Date]],"mmm-yy")</f>
        <v>Apr-26</v>
      </c>
      <c r="V552"/>
    </row>
    <row r="553" spans="1:22" x14ac:dyDescent="0.25">
      <c r="A553" t="s">
        <v>617</v>
      </c>
      <c r="B553" s="1">
        <v>45679</v>
      </c>
      <c r="C553" t="s">
        <v>31</v>
      </c>
      <c r="D553" t="s">
        <v>26</v>
      </c>
      <c r="E553" t="s">
        <v>66</v>
      </c>
      <c r="F553" t="s">
        <v>67</v>
      </c>
      <c r="G553">
        <v>8</v>
      </c>
      <c r="H553">
        <v>2500</v>
      </c>
      <c r="I553">
        <v>1919</v>
      </c>
      <c r="J553" t="s">
        <v>29</v>
      </c>
      <c r="K553" t="s">
        <v>17</v>
      </c>
      <c r="L553">
        <f>SUM(Clean_Data[[#This Row],[Units_Sold]]*Clean_Data[[#This Row],[Unit_Price]])</f>
        <v>20000</v>
      </c>
      <c r="M553">
        <f>Clean_Data[[#This Row],[Units_Sold]]*Clean_Data[[#This Row],[Cost_Price]]</f>
        <v>15352</v>
      </c>
      <c r="N553">
        <f>Clean_Data[[#This Row],[Total_Sales]]-Clean_Data[[#This Row],[Total_Cost]]</f>
        <v>4648</v>
      </c>
      <c r="O553" s="2">
        <f>Clean_Data[[#This Row],[Profit]]/Clean_Data[[#This Row],[Total_Sales]]</f>
        <v>0.2324</v>
      </c>
      <c r="P553" t="str">
        <f>_xlfn.XLOOKUP(Clean_Data[[#This Row],[Product_Code]],Product_Catalog!A:A,Product_Catalog!C:C)</f>
        <v>Electronics</v>
      </c>
      <c r="Q553">
        <f>IF(Clean_Data[[#This Row],[Order_Date]]="","",YEAR(Clean_Data[[#This Row],[Order_Date]]))</f>
        <v>2025</v>
      </c>
      <c r="R553" t="str">
        <f>TEXT(Clean_Data[[#This Row],[Order_Date]],"mmm")</f>
        <v>Jan</v>
      </c>
      <c r="S553" t="str">
        <f>TEXT(Clean_Data[[#This Row],[Order_Date]],"mmm-yy")</f>
        <v>Jan-25</v>
      </c>
      <c r="V553"/>
    </row>
    <row r="554" spans="1:22" x14ac:dyDescent="0.25">
      <c r="A554" t="s">
        <v>618</v>
      </c>
      <c r="B554" s="1">
        <v>45790</v>
      </c>
      <c r="C554" t="s">
        <v>53</v>
      </c>
      <c r="D554" t="s">
        <v>33</v>
      </c>
      <c r="E554" t="s">
        <v>63</v>
      </c>
      <c r="F554" t="s">
        <v>59</v>
      </c>
      <c r="G554">
        <v>18</v>
      </c>
      <c r="H554">
        <v>4500</v>
      </c>
      <c r="I554">
        <v>3128</v>
      </c>
      <c r="J554" t="s">
        <v>45</v>
      </c>
      <c r="K554" t="s">
        <v>17</v>
      </c>
      <c r="L554">
        <f>SUM(Clean_Data[[#This Row],[Units_Sold]]*Clean_Data[[#This Row],[Unit_Price]])</f>
        <v>81000</v>
      </c>
      <c r="M554">
        <f>Clean_Data[[#This Row],[Units_Sold]]*Clean_Data[[#This Row],[Cost_Price]]</f>
        <v>56304</v>
      </c>
      <c r="N554">
        <f>Clean_Data[[#This Row],[Total_Sales]]-Clean_Data[[#This Row],[Total_Cost]]</f>
        <v>24696</v>
      </c>
      <c r="O554" s="2">
        <f>Clean_Data[[#This Row],[Profit]]/Clean_Data[[#This Row],[Total_Sales]]</f>
        <v>0.30488888888888888</v>
      </c>
      <c r="P554" t="str">
        <f>_xlfn.XLOOKUP(Clean_Data[[#This Row],[Product_Code]],Product_Catalog!A:A,Product_Catalog!C:C)</f>
        <v>Electronics</v>
      </c>
      <c r="Q554">
        <f>IF(Clean_Data[[#This Row],[Order_Date]]="","",YEAR(Clean_Data[[#This Row],[Order_Date]]))</f>
        <v>2025</v>
      </c>
      <c r="R554" t="str">
        <f>TEXT(Clean_Data[[#This Row],[Order_Date]],"mmm")</f>
        <v>May</v>
      </c>
      <c r="S554" t="str">
        <f>TEXT(Clean_Data[[#This Row],[Order_Date]],"mmm-yy")</f>
        <v>May-25</v>
      </c>
      <c r="V554"/>
    </row>
    <row r="555" spans="1:22" x14ac:dyDescent="0.25">
      <c r="A555" t="s">
        <v>619</v>
      </c>
      <c r="B555" s="1">
        <v>46131</v>
      </c>
      <c r="C555" t="s">
        <v>48</v>
      </c>
      <c r="D555" t="s">
        <v>40</v>
      </c>
      <c r="E555" t="s">
        <v>37</v>
      </c>
      <c r="F555" t="s">
        <v>38</v>
      </c>
      <c r="G555">
        <v>1</v>
      </c>
      <c r="H555">
        <v>55000</v>
      </c>
      <c r="I555">
        <v>42287</v>
      </c>
      <c r="J555" t="s">
        <v>22</v>
      </c>
      <c r="K555" t="s">
        <v>46</v>
      </c>
      <c r="L555">
        <f>SUM(Clean_Data[[#This Row],[Units_Sold]]*Clean_Data[[#This Row],[Unit_Price]])</f>
        <v>55000</v>
      </c>
      <c r="M555">
        <f>Clean_Data[[#This Row],[Units_Sold]]*Clean_Data[[#This Row],[Cost_Price]]</f>
        <v>42287</v>
      </c>
      <c r="N555">
        <f>Clean_Data[[#This Row],[Total_Sales]]-Clean_Data[[#This Row],[Total_Cost]]</f>
        <v>12713</v>
      </c>
      <c r="O555" s="2">
        <f>Clean_Data[[#This Row],[Profit]]/Clean_Data[[#This Row],[Total_Sales]]</f>
        <v>0.23114545454545454</v>
      </c>
      <c r="P555" t="str">
        <f>_xlfn.XLOOKUP(Clean_Data[[#This Row],[Product_Code]],Product_Catalog!A:A,Product_Catalog!C:C)</f>
        <v>Electronics</v>
      </c>
      <c r="Q555">
        <f>IF(Clean_Data[[#This Row],[Order_Date]]="","",YEAR(Clean_Data[[#This Row],[Order_Date]]))</f>
        <v>2026</v>
      </c>
      <c r="R555" t="str">
        <f>TEXT(Clean_Data[[#This Row],[Order_Date]],"mmm")</f>
        <v>Apr</v>
      </c>
      <c r="S555" t="str">
        <f>TEXT(Clean_Data[[#This Row],[Order_Date]],"mmm-yy")</f>
        <v>Apr-26</v>
      </c>
      <c r="V555"/>
    </row>
    <row r="556" spans="1:22" x14ac:dyDescent="0.25">
      <c r="A556" t="s">
        <v>620</v>
      </c>
      <c r="B556" s="1">
        <v>45753</v>
      </c>
      <c r="C556" t="s">
        <v>12</v>
      </c>
      <c r="D556" t="s">
        <v>13</v>
      </c>
      <c r="E556" t="s">
        <v>49</v>
      </c>
      <c r="F556" t="s">
        <v>50</v>
      </c>
      <c r="G556">
        <v>16</v>
      </c>
      <c r="H556">
        <v>75000</v>
      </c>
      <c r="I556">
        <v>55704</v>
      </c>
      <c r="J556" t="s">
        <v>45</v>
      </c>
      <c r="K556" t="s">
        <v>17</v>
      </c>
      <c r="L556">
        <f>SUM(Clean_Data[[#This Row],[Units_Sold]]*Clean_Data[[#This Row],[Unit_Price]])</f>
        <v>1200000</v>
      </c>
      <c r="M556">
        <f>Clean_Data[[#This Row],[Units_Sold]]*Clean_Data[[#This Row],[Cost_Price]]</f>
        <v>891264</v>
      </c>
      <c r="N556">
        <f>Clean_Data[[#This Row],[Total_Sales]]-Clean_Data[[#This Row],[Total_Cost]]</f>
        <v>308736</v>
      </c>
      <c r="O556" s="2">
        <f>Clean_Data[[#This Row],[Profit]]/Clean_Data[[#This Row],[Total_Sales]]</f>
        <v>0.25728000000000001</v>
      </c>
      <c r="P556" t="str">
        <f>_xlfn.XLOOKUP(Clean_Data[[#This Row],[Product_Code]],Product_Catalog!A:A,Product_Catalog!C:C)</f>
        <v>Electronics</v>
      </c>
      <c r="Q556">
        <f>IF(Clean_Data[[#This Row],[Order_Date]]="","",YEAR(Clean_Data[[#This Row],[Order_Date]]))</f>
        <v>2025</v>
      </c>
      <c r="R556" t="str">
        <f>TEXT(Clean_Data[[#This Row],[Order_Date]],"mmm")</f>
        <v>Apr</v>
      </c>
      <c r="S556" t="str">
        <f>TEXT(Clean_Data[[#This Row],[Order_Date]],"mmm-yy")</f>
        <v>Apr-25</v>
      </c>
      <c r="V556"/>
    </row>
    <row r="557" spans="1:22" x14ac:dyDescent="0.25">
      <c r="A557" t="s">
        <v>621</v>
      </c>
      <c r="B557" s="1">
        <v>46021</v>
      </c>
      <c r="C557" t="s">
        <v>12</v>
      </c>
      <c r="D557" t="s">
        <v>26</v>
      </c>
      <c r="E557" t="s">
        <v>55</v>
      </c>
      <c r="F557" t="s">
        <v>34</v>
      </c>
      <c r="G557">
        <v>3</v>
      </c>
      <c r="H557">
        <v>35000</v>
      </c>
      <c r="I557">
        <v>24945</v>
      </c>
      <c r="J557" t="s">
        <v>45</v>
      </c>
      <c r="K557" t="s">
        <v>17</v>
      </c>
      <c r="L557">
        <f>SUM(Clean_Data[[#This Row],[Units_Sold]]*Clean_Data[[#This Row],[Unit_Price]])</f>
        <v>105000</v>
      </c>
      <c r="M557">
        <f>Clean_Data[[#This Row],[Units_Sold]]*Clean_Data[[#This Row],[Cost_Price]]</f>
        <v>74835</v>
      </c>
      <c r="N557">
        <f>Clean_Data[[#This Row],[Total_Sales]]-Clean_Data[[#This Row],[Total_Cost]]</f>
        <v>30165</v>
      </c>
      <c r="O557" s="2">
        <f>Clean_Data[[#This Row],[Profit]]/Clean_Data[[#This Row],[Total_Sales]]</f>
        <v>0.28728571428571431</v>
      </c>
      <c r="P557" t="str">
        <f>_xlfn.XLOOKUP(Clean_Data[[#This Row],[Product_Code]],Product_Catalog!A:A,Product_Catalog!C:C)</f>
        <v>Furniture</v>
      </c>
      <c r="Q557">
        <f>IF(Clean_Data[[#This Row],[Order_Date]]="","",YEAR(Clean_Data[[#This Row],[Order_Date]]))</f>
        <v>2025</v>
      </c>
      <c r="R557" t="str">
        <f>TEXT(Clean_Data[[#This Row],[Order_Date]],"mmm")</f>
        <v>Dec</v>
      </c>
      <c r="S557" t="str">
        <f>TEXT(Clean_Data[[#This Row],[Order_Date]],"mmm-yy")</f>
        <v>Dec-25</v>
      </c>
      <c r="V557"/>
    </row>
    <row r="558" spans="1:22" x14ac:dyDescent="0.25">
      <c r="A558" t="s">
        <v>622</v>
      </c>
      <c r="B558" s="1">
        <v>46068</v>
      </c>
      <c r="C558" t="s">
        <v>25</v>
      </c>
      <c r="D558" t="s">
        <v>13</v>
      </c>
      <c r="E558" t="s">
        <v>49</v>
      </c>
      <c r="F558" t="s">
        <v>50</v>
      </c>
      <c r="G558">
        <v>10</v>
      </c>
      <c r="H558">
        <v>75000</v>
      </c>
      <c r="I558">
        <v>56364</v>
      </c>
      <c r="J558" t="s">
        <v>29</v>
      </c>
      <c r="K558" t="s">
        <v>23</v>
      </c>
      <c r="L558">
        <f>SUM(Clean_Data[[#This Row],[Units_Sold]]*Clean_Data[[#This Row],[Unit_Price]])</f>
        <v>750000</v>
      </c>
      <c r="M558">
        <f>Clean_Data[[#This Row],[Units_Sold]]*Clean_Data[[#This Row],[Cost_Price]]</f>
        <v>563640</v>
      </c>
      <c r="N558">
        <f>Clean_Data[[#This Row],[Total_Sales]]-Clean_Data[[#This Row],[Total_Cost]]</f>
        <v>186360</v>
      </c>
      <c r="O558" s="2">
        <f>Clean_Data[[#This Row],[Profit]]/Clean_Data[[#This Row],[Total_Sales]]</f>
        <v>0.24848000000000001</v>
      </c>
      <c r="P558" t="str">
        <f>_xlfn.XLOOKUP(Clean_Data[[#This Row],[Product_Code]],Product_Catalog!A:A,Product_Catalog!C:C)</f>
        <v>Electronics</v>
      </c>
      <c r="Q558">
        <f>IF(Clean_Data[[#This Row],[Order_Date]]="","",YEAR(Clean_Data[[#This Row],[Order_Date]]))</f>
        <v>2026</v>
      </c>
      <c r="R558" t="str">
        <f>TEXT(Clean_Data[[#This Row],[Order_Date]],"mmm")</f>
        <v>Feb</v>
      </c>
      <c r="S558" t="str">
        <f>TEXT(Clean_Data[[#This Row],[Order_Date]],"mmm-yy")</f>
        <v>Feb-26</v>
      </c>
      <c r="V558"/>
    </row>
    <row r="559" spans="1:22" x14ac:dyDescent="0.25">
      <c r="A559" t="s">
        <v>623</v>
      </c>
      <c r="B559" s="1">
        <v>45831</v>
      </c>
      <c r="C559" t="s">
        <v>31</v>
      </c>
      <c r="D559" t="s">
        <v>40</v>
      </c>
      <c r="E559" t="s">
        <v>66</v>
      </c>
      <c r="F559" t="s">
        <v>67</v>
      </c>
      <c r="G559">
        <v>19</v>
      </c>
      <c r="H559">
        <v>2500</v>
      </c>
      <c r="I559">
        <v>1572</v>
      </c>
      <c r="J559" t="s">
        <v>29</v>
      </c>
      <c r="K559" t="s">
        <v>17</v>
      </c>
      <c r="L559">
        <f>SUM(Clean_Data[[#This Row],[Units_Sold]]*Clean_Data[[#This Row],[Unit_Price]])</f>
        <v>47500</v>
      </c>
      <c r="M559">
        <f>Clean_Data[[#This Row],[Units_Sold]]*Clean_Data[[#This Row],[Cost_Price]]</f>
        <v>29868</v>
      </c>
      <c r="N559">
        <f>Clean_Data[[#This Row],[Total_Sales]]-Clean_Data[[#This Row],[Total_Cost]]</f>
        <v>17632</v>
      </c>
      <c r="O559" s="2">
        <f>Clean_Data[[#This Row],[Profit]]/Clean_Data[[#This Row],[Total_Sales]]</f>
        <v>0.37119999999999997</v>
      </c>
      <c r="P559" t="str">
        <f>_xlfn.XLOOKUP(Clean_Data[[#This Row],[Product_Code]],Product_Catalog!A:A,Product_Catalog!C:C)</f>
        <v>Electronics</v>
      </c>
      <c r="Q559">
        <f>IF(Clean_Data[[#This Row],[Order_Date]]="","",YEAR(Clean_Data[[#This Row],[Order_Date]]))</f>
        <v>2025</v>
      </c>
      <c r="R559" t="str">
        <f>TEXT(Clean_Data[[#This Row],[Order_Date]],"mmm")</f>
        <v>Jun</v>
      </c>
      <c r="S559" t="str">
        <f>TEXT(Clean_Data[[#This Row],[Order_Date]],"mmm-yy")</f>
        <v>Jun-25</v>
      </c>
      <c r="V559"/>
    </row>
    <row r="560" spans="1:22" x14ac:dyDescent="0.25">
      <c r="A560" t="s">
        <v>624</v>
      </c>
      <c r="B560" s="1">
        <v>45955</v>
      </c>
      <c r="C560" t="s">
        <v>53</v>
      </c>
      <c r="D560" t="s">
        <v>33</v>
      </c>
      <c r="E560" t="s">
        <v>49</v>
      </c>
      <c r="F560" t="s">
        <v>50</v>
      </c>
      <c r="G560">
        <v>8</v>
      </c>
      <c r="H560">
        <v>75000</v>
      </c>
      <c r="I560">
        <v>51042</v>
      </c>
      <c r="J560" t="s">
        <v>16</v>
      </c>
      <c r="K560" t="s">
        <v>46</v>
      </c>
      <c r="L560">
        <f>SUM(Clean_Data[[#This Row],[Units_Sold]]*Clean_Data[[#This Row],[Unit_Price]])</f>
        <v>600000</v>
      </c>
      <c r="M560">
        <f>Clean_Data[[#This Row],[Units_Sold]]*Clean_Data[[#This Row],[Cost_Price]]</f>
        <v>408336</v>
      </c>
      <c r="N560">
        <f>Clean_Data[[#This Row],[Total_Sales]]-Clean_Data[[#This Row],[Total_Cost]]</f>
        <v>191664</v>
      </c>
      <c r="O560" s="2">
        <f>Clean_Data[[#This Row],[Profit]]/Clean_Data[[#This Row],[Total_Sales]]</f>
        <v>0.31944</v>
      </c>
      <c r="P560" t="str">
        <f>_xlfn.XLOOKUP(Clean_Data[[#This Row],[Product_Code]],Product_Catalog!A:A,Product_Catalog!C:C)</f>
        <v>Electronics</v>
      </c>
      <c r="Q560">
        <f>IF(Clean_Data[[#This Row],[Order_Date]]="","",YEAR(Clean_Data[[#This Row],[Order_Date]]))</f>
        <v>2025</v>
      </c>
      <c r="R560" t="str">
        <f>TEXT(Clean_Data[[#This Row],[Order_Date]],"mmm")</f>
        <v>Oct</v>
      </c>
      <c r="S560" t="str">
        <f>TEXT(Clean_Data[[#This Row],[Order_Date]],"mmm-yy")</f>
        <v>Oct-25</v>
      </c>
      <c r="V560"/>
    </row>
    <row r="561" spans="1:22" x14ac:dyDescent="0.25">
      <c r="A561" t="s">
        <v>625</v>
      </c>
      <c r="B561" s="1">
        <v>46154</v>
      </c>
      <c r="C561" t="s">
        <v>44</v>
      </c>
      <c r="D561" t="s">
        <v>13</v>
      </c>
      <c r="E561" t="s">
        <v>66</v>
      </c>
      <c r="F561" t="s">
        <v>67</v>
      </c>
      <c r="G561">
        <v>18</v>
      </c>
      <c r="H561">
        <v>2500</v>
      </c>
      <c r="I561">
        <v>1854</v>
      </c>
      <c r="J561" t="s">
        <v>29</v>
      </c>
      <c r="K561" t="s">
        <v>17</v>
      </c>
      <c r="L561">
        <f>SUM(Clean_Data[[#This Row],[Units_Sold]]*Clean_Data[[#This Row],[Unit_Price]])</f>
        <v>45000</v>
      </c>
      <c r="M561">
        <f>Clean_Data[[#This Row],[Units_Sold]]*Clean_Data[[#This Row],[Cost_Price]]</f>
        <v>33372</v>
      </c>
      <c r="N561">
        <f>Clean_Data[[#This Row],[Total_Sales]]-Clean_Data[[#This Row],[Total_Cost]]</f>
        <v>11628</v>
      </c>
      <c r="O561" s="2">
        <f>Clean_Data[[#This Row],[Profit]]/Clean_Data[[#This Row],[Total_Sales]]</f>
        <v>0.25840000000000002</v>
      </c>
      <c r="P561" t="str">
        <f>_xlfn.XLOOKUP(Clean_Data[[#This Row],[Product_Code]],Product_Catalog!A:A,Product_Catalog!C:C)</f>
        <v>Electronics</v>
      </c>
      <c r="Q561">
        <f>IF(Clean_Data[[#This Row],[Order_Date]]="","",YEAR(Clean_Data[[#This Row],[Order_Date]]))</f>
        <v>2026</v>
      </c>
      <c r="R561" t="str">
        <f>TEXT(Clean_Data[[#This Row],[Order_Date]],"mmm")</f>
        <v>May</v>
      </c>
      <c r="S561" t="str">
        <f>TEXT(Clean_Data[[#This Row],[Order_Date]],"mmm-yy")</f>
        <v>May-26</v>
      </c>
      <c r="V561"/>
    </row>
    <row r="562" spans="1:22" x14ac:dyDescent="0.25">
      <c r="A562" t="s">
        <v>626</v>
      </c>
      <c r="B562" s="1">
        <v>46235</v>
      </c>
      <c r="C562" t="s">
        <v>44</v>
      </c>
      <c r="D562" t="s">
        <v>26</v>
      </c>
      <c r="E562" t="s">
        <v>41</v>
      </c>
      <c r="F562" t="s">
        <v>42</v>
      </c>
      <c r="G562">
        <v>12</v>
      </c>
      <c r="H562">
        <v>28000</v>
      </c>
      <c r="I562">
        <v>20171</v>
      </c>
      <c r="J562" t="s">
        <v>45</v>
      </c>
      <c r="K562" t="s">
        <v>17</v>
      </c>
      <c r="L562">
        <f>SUM(Clean_Data[[#This Row],[Units_Sold]]*Clean_Data[[#This Row],[Unit_Price]])</f>
        <v>336000</v>
      </c>
      <c r="M562">
        <f>Clean_Data[[#This Row],[Units_Sold]]*Clean_Data[[#This Row],[Cost_Price]]</f>
        <v>242052</v>
      </c>
      <c r="N562">
        <f>Clean_Data[[#This Row],[Total_Sales]]-Clean_Data[[#This Row],[Total_Cost]]</f>
        <v>93948</v>
      </c>
      <c r="O562" s="2">
        <f>Clean_Data[[#This Row],[Profit]]/Clean_Data[[#This Row],[Total_Sales]]</f>
        <v>0.27960714285714283</v>
      </c>
      <c r="P562" t="str">
        <f>_xlfn.XLOOKUP(Clean_Data[[#This Row],[Product_Code]],Product_Catalog!A:A,Product_Catalog!C:C)</f>
        <v>Electronics</v>
      </c>
      <c r="Q562">
        <f>IF(Clean_Data[[#This Row],[Order_Date]]="","",YEAR(Clean_Data[[#This Row],[Order_Date]]))</f>
        <v>2026</v>
      </c>
      <c r="R562" t="str">
        <f>TEXT(Clean_Data[[#This Row],[Order_Date]],"mmm")</f>
        <v>Aug</v>
      </c>
      <c r="S562" t="str">
        <f>TEXT(Clean_Data[[#This Row],[Order_Date]],"mmm-yy")</f>
        <v>Aug-26</v>
      </c>
      <c r="V562"/>
    </row>
    <row r="563" spans="1:22" x14ac:dyDescent="0.25">
      <c r="A563" t="s">
        <v>627</v>
      </c>
      <c r="B563" s="1">
        <v>46217</v>
      </c>
      <c r="C563" t="s">
        <v>48</v>
      </c>
      <c r="D563" t="s">
        <v>26</v>
      </c>
      <c r="E563" t="s">
        <v>55</v>
      </c>
      <c r="F563" t="s">
        <v>34</v>
      </c>
      <c r="G563">
        <v>13</v>
      </c>
      <c r="H563">
        <v>35000</v>
      </c>
      <c r="I563">
        <v>21728</v>
      </c>
      <c r="J563" t="s">
        <v>29</v>
      </c>
      <c r="K563" t="s">
        <v>17</v>
      </c>
      <c r="L563">
        <f>SUM(Clean_Data[[#This Row],[Units_Sold]]*Clean_Data[[#This Row],[Unit_Price]])</f>
        <v>455000</v>
      </c>
      <c r="M563">
        <f>Clean_Data[[#This Row],[Units_Sold]]*Clean_Data[[#This Row],[Cost_Price]]</f>
        <v>282464</v>
      </c>
      <c r="N563">
        <f>Clean_Data[[#This Row],[Total_Sales]]-Clean_Data[[#This Row],[Total_Cost]]</f>
        <v>172536</v>
      </c>
      <c r="O563" s="2">
        <f>Clean_Data[[#This Row],[Profit]]/Clean_Data[[#This Row],[Total_Sales]]</f>
        <v>0.37919999999999998</v>
      </c>
      <c r="P563" t="str">
        <f>_xlfn.XLOOKUP(Clean_Data[[#This Row],[Product_Code]],Product_Catalog!A:A,Product_Catalog!C:C)</f>
        <v>Furniture</v>
      </c>
      <c r="Q563">
        <f>IF(Clean_Data[[#This Row],[Order_Date]]="","",YEAR(Clean_Data[[#This Row],[Order_Date]]))</f>
        <v>2026</v>
      </c>
      <c r="R563" t="str">
        <f>TEXT(Clean_Data[[#This Row],[Order_Date]],"mmm")</f>
        <v>Jul</v>
      </c>
      <c r="S563" t="str">
        <f>TEXT(Clean_Data[[#This Row],[Order_Date]],"mmm-yy")</f>
        <v>Jul-26</v>
      </c>
      <c r="V563"/>
    </row>
    <row r="564" spans="1:22" x14ac:dyDescent="0.25">
      <c r="A564" t="s">
        <v>628</v>
      </c>
      <c r="B564" s="1">
        <v>45733</v>
      </c>
      <c r="C564" t="s">
        <v>53</v>
      </c>
      <c r="D564" t="s">
        <v>36</v>
      </c>
      <c r="E564" t="s">
        <v>14</v>
      </c>
      <c r="F564" t="s">
        <v>15</v>
      </c>
      <c r="G564">
        <v>11</v>
      </c>
      <c r="H564">
        <v>12500</v>
      </c>
      <c r="I564">
        <v>7764</v>
      </c>
      <c r="J564" t="s">
        <v>22</v>
      </c>
      <c r="K564" t="s">
        <v>84</v>
      </c>
      <c r="L564">
        <f>SUM(Clean_Data[[#This Row],[Units_Sold]]*Clean_Data[[#This Row],[Unit_Price]])</f>
        <v>137500</v>
      </c>
      <c r="M564">
        <f>Clean_Data[[#This Row],[Units_Sold]]*Clean_Data[[#This Row],[Cost_Price]]</f>
        <v>85404</v>
      </c>
      <c r="N564">
        <f>Clean_Data[[#This Row],[Total_Sales]]-Clean_Data[[#This Row],[Total_Cost]]</f>
        <v>52096</v>
      </c>
      <c r="O564" s="2">
        <f>Clean_Data[[#This Row],[Profit]]/Clean_Data[[#This Row],[Total_Sales]]</f>
        <v>0.37887999999999999</v>
      </c>
      <c r="P564" t="str">
        <f>_xlfn.XLOOKUP(Clean_Data[[#This Row],[Product_Code]],Product_Catalog!A:A,Product_Catalog!C:C)</f>
        <v>Accessories</v>
      </c>
      <c r="Q564">
        <f>IF(Clean_Data[[#This Row],[Order_Date]]="","",YEAR(Clean_Data[[#This Row],[Order_Date]]))</f>
        <v>2025</v>
      </c>
      <c r="R564" t="str">
        <f>TEXT(Clean_Data[[#This Row],[Order_Date]],"mmm")</f>
        <v>Mar</v>
      </c>
      <c r="S564" t="str">
        <f>TEXT(Clean_Data[[#This Row],[Order_Date]],"mmm-yy")</f>
        <v>Mar-25</v>
      </c>
      <c r="V564"/>
    </row>
    <row r="565" spans="1:22" x14ac:dyDescent="0.25">
      <c r="A565" t="s">
        <v>629</v>
      </c>
      <c r="B565" s="1">
        <v>45862</v>
      </c>
      <c r="C565" t="s">
        <v>48</v>
      </c>
      <c r="D565" t="s">
        <v>13</v>
      </c>
      <c r="E565" t="s">
        <v>66</v>
      </c>
      <c r="F565" t="s">
        <v>67</v>
      </c>
      <c r="G565">
        <v>16</v>
      </c>
      <c r="H565">
        <v>2500</v>
      </c>
      <c r="I565">
        <v>1515</v>
      </c>
      <c r="J565" t="s">
        <v>29</v>
      </c>
      <c r="K565" t="s">
        <v>17</v>
      </c>
      <c r="L565">
        <f>SUM(Clean_Data[[#This Row],[Units_Sold]]*Clean_Data[[#This Row],[Unit_Price]])</f>
        <v>40000</v>
      </c>
      <c r="M565">
        <f>Clean_Data[[#This Row],[Units_Sold]]*Clean_Data[[#This Row],[Cost_Price]]</f>
        <v>24240</v>
      </c>
      <c r="N565">
        <f>Clean_Data[[#This Row],[Total_Sales]]-Clean_Data[[#This Row],[Total_Cost]]</f>
        <v>15760</v>
      </c>
      <c r="O565" s="2">
        <f>Clean_Data[[#This Row],[Profit]]/Clean_Data[[#This Row],[Total_Sales]]</f>
        <v>0.39400000000000002</v>
      </c>
      <c r="P565" t="str">
        <f>_xlfn.XLOOKUP(Clean_Data[[#This Row],[Product_Code]],Product_Catalog!A:A,Product_Catalog!C:C)</f>
        <v>Electronics</v>
      </c>
      <c r="Q565">
        <f>IF(Clean_Data[[#This Row],[Order_Date]]="","",YEAR(Clean_Data[[#This Row],[Order_Date]]))</f>
        <v>2025</v>
      </c>
      <c r="R565" t="str">
        <f>TEXT(Clean_Data[[#This Row],[Order_Date]],"mmm")</f>
        <v>Jul</v>
      </c>
      <c r="S565" t="str">
        <f>TEXT(Clean_Data[[#This Row],[Order_Date]],"mmm-yy")</f>
        <v>Jul-25</v>
      </c>
      <c r="V565"/>
    </row>
    <row r="566" spans="1:22" x14ac:dyDescent="0.25">
      <c r="A566" t="s">
        <v>630</v>
      </c>
      <c r="B566" s="1">
        <v>46131</v>
      </c>
      <c r="C566" t="s">
        <v>31</v>
      </c>
      <c r="D566" t="s">
        <v>26</v>
      </c>
      <c r="E566" t="s">
        <v>27</v>
      </c>
      <c r="F566" t="s">
        <v>28</v>
      </c>
      <c r="G566">
        <v>17</v>
      </c>
      <c r="H566">
        <v>14000</v>
      </c>
      <c r="I566">
        <v>10288</v>
      </c>
      <c r="J566" t="s">
        <v>22</v>
      </c>
      <c r="K566" t="s">
        <v>23</v>
      </c>
      <c r="L566">
        <f>SUM(Clean_Data[[#This Row],[Units_Sold]]*Clean_Data[[#This Row],[Unit_Price]])</f>
        <v>238000</v>
      </c>
      <c r="M566">
        <f>Clean_Data[[#This Row],[Units_Sold]]*Clean_Data[[#This Row],[Cost_Price]]</f>
        <v>174896</v>
      </c>
      <c r="N566">
        <f>Clean_Data[[#This Row],[Total_Sales]]-Clean_Data[[#This Row],[Total_Cost]]</f>
        <v>63104</v>
      </c>
      <c r="O566" s="2">
        <f>Clean_Data[[#This Row],[Profit]]/Clean_Data[[#This Row],[Total_Sales]]</f>
        <v>0.26514285714285712</v>
      </c>
      <c r="P566" t="str">
        <f>_xlfn.XLOOKUP(Clean_Data[[#This Row],[Product_Code]],Product_Catalog!A:A,Product_Catalog!C:C)</f>
        <v>Furniture</v>
      </c>
      <c r="Q566">
        <f>IF(Clean_Data[[#This Row],[Order_Date]]="","",YEAR(Clean_Data[[#This Row],[Order_Date]]))</f>
        <v>2026</v>
      </c>
      <c r="R566" t="str">
        <f>TEXT(Clean_Data[[#This Row],[Order_Date]],"mmm")</f>
        <v>Apr</v>
      </c>
      <c r="S566" t="str">
        <f>TEXT(Clean_Data[[#This Row],[Order_Date]],"mmm-yy")</f>
        <v>Apr-26</v>
      </c>
      <c r="V566"/>
    </row>
    <row r="567" spans="1:22" x14ac:dyDescent="0.25">
      <c r="A567" t="s">
        <v>631</v>
      </c>
      <c r="B567" s="1">
        <v>46219</v>
      </c>
      <c r="C567" t="s">
        <v>31</v>
      </c>
      <c r="D567" t="s">
        <v>13</v>
      </c>
      <c r="E567" t="s">
        <v>20</v>
      </c>
      <c r="F567" t="s">
        <v>21</v>
      </c>
      <c r="G567">
        <v>14</v>
      </c>
      <c r="H567">
        <v>8500</v>
      </c>
      <c r="I567">
        <v>5828</v>
      </c>
      <c r="J567" t="s">
        <v>45</v>
      </c>
      <c r="K567" t="s">
        <v>23</v>
      </c>
      <c r="L567">
        <f>SUM(Clean_Data[[#This Row],[Units_Sold]]*Clean_Data[[#This Row],[Unit_Price]])</f>
        <v>119000</v>
      </c>
      <c r="M567">
        <f>Clean_Data[[#This Row],[Units_Sold]]*Clean_Data[[#This Row],[Cost_Price]]</f>
        <v>81592</v>
      </c>
      <c r="N567">
        <f>Clean_Data[[#This Row],[Total_Sales]]-Clean_Data[[#This Row],[Total_Cost]]</f>
        <v>37408</v>
      </c>
      <c r="O567" s="2">
        <f>Clean_Data[[#This Row],[Profit]]/Clean_Data[[#This Row],[Total_Sales]]</f>
        <v>0.31435294117647061</v>
      </c>
      <c r="P567" t="str">
        <f>_xlfn.XLOOKUP(Clean_Data[[#This Row],[Product_Code]],Product_Catalog!A:A,Product_Catalog!C:C)</f>
        <v>Accessories</v>
      </c>
      <c r="Q567">
        <f>IF(Clean_Data[[#This Row],[Order_Date]]="","",YEAR(Clean_Data[[#This Row],[Order_Date]]))</f>
        <v>2026</v>
      </c>
      <c r="R567" t="str">
        <f>TEXT(Clean_Data[[#This Row],[Order_Date]],"mmm")</f>
        <v>Jul</v>
      </c>
      <c r="S567" t="str">
        <f>TEXT(Clean_Data[[#This Row],[Order_Date]],"mmm-yy")</f>
        <v>Jul-26</v>
      </c>
      <c r="V567"/>
    </row>
    <row r="568" spans="1:22" x14ac:dyDescent="0.25">
      <c r="A568" t="s">
        <v>632</v>
      </c>
      <c r="B568" s="1">
        <v>46025</v>
      </c>
      <c r="C568" t="s">
        <v>44</v>
      </c>
      <c r="D568" t="s">
        <v>26</v>
      </c>
      <c r="E568" t="s">
        <v>66</v>
      </c>
      <c r="F568" t="s">
        <v>67</v>
      </c>
      <c r="G568">
        <v>9</v>
      </c>
      <c r="H568">
        <v>2500</v>
      </c>
      <c r="I568">
        <v>1918</v>
      </c>
      <c r="J568" t="s">
        <v>45</v>
      </c>
      <c r="K568" t="s">
        <v>23</v>
      </c>
      <c r="L568">
        <f>SUM(Clean_Data[[#This Row],[Units_Sold]]*Clean_Data[[#This Row],[Unit_Price]])</f>
        <v>22500</v>
      </c>
      <c r="M568">
        <f>Clean_Data[[#This Row],[Units_Sold]]*Clean_Data[[#This Row],[Cost_Price]]</f>
        <v>17262</v>
      </c>
      <c r="N568">
        <f>Clean_Data[[#This Row],[Total_Sales]]-Clean_Data[[#This Row],[Total_Cost]]</f>
        <v>5238</v>
      </c>
      <c r="O568" s="2">
        <f>Clean_Data[[#This Row],[Profit]]/Clean_Data[[#This Row],[Total_Sales]]</f>
        <v>0.23280000000000001</v>
      </c>
      <c r="P568" t="str">
        <f>_xlfn.XLOOKUP(Clean_Data[[#This Row],[Product_Code]],Product_Catalog!A:A,Product_Catalog!C:C)</f>
        <v>Electronics</v>
      </c>
      <c r="Q568">
        <f>IF(Clean_Data[[#This Row],[Order_Date]]="","",YEAR(Clean_Data[[#This Row],[Order_Date]]))</f>
        <v>2026</v>
      </c>
      <c r="R568" t="str">
        <f>TEXT(Clean_Data[[#This Row],[Order_Date]],"mmm")</f>
        <v>Jan</v>
      </c>
      <c r="S568" t="str">
        <f>TEXT(Clean_Data[[#This Row],[Order_Date]],"mmm-yy")</f>
        <v>Jan-26</v>
      </c>
      <c r="V568"/>
    </row>
    <row r="569" spans="1:22" x14ac:dyDescent="0.25">
      <c r="A569" t="s">
        <v>633</v>
      </c>
      <c r="B569" s="1">
        <v>45774</v>
      </c>
      <c r="C569" t="s">
        <v>73</v>
      </c>
      <c r="D569" t="s">
        <v>33</v>
      </c>
      <c r="E569" t="s">
        <v>55</v>
      </c>
      <c r="F569" t="s">
        <v>34</v>
      </c>
      <c r="G569">
        <v>1</v>
      </c>
      <c r="H569">
        <v>35000</v>
      </c>
      <c r="I569">
        <v>25678</v>
      </c>
      <c r="J569" t="s">
        <v>45</v>
      </c>
      <c r="K569" t="s">
        <v>23</v>
      </c>
      <c r="L569">
        <f>SUM(Clean_Data[[#This Row],[Units_Sold]]*Clean_Data[[#This Row],[Unit_Price]])</f>
        <v>35000</v>
      </c>
      <c r="M569">
        <f>Clean_Data[[#This Row],[Units_Sold]]*Clean_Data[[#This Row],[Cost_Price]]</f>
        <v>25678</v>
      </c>
      <c r="N569">
        <f>Clean_Data[[#This Row],[Total_Sales]]-Clean_Data[[#This Row],[Total_Cost]]</f>
        <v>9322</v>
      </c>
      <c r="O569" s="2">
        <f>Clean_Data[[#This Row],[Profit]]/Clean_Data[[#This Row],[Total_Sales]]</f>
        <v>0.26634285714285716</v>
      </c>
      <c r="P569" t="str">
        <f>_xlfn.XLOOKUP(Clean_Data[[#This Row],[Product_Code]],Product_Catalog!A:A,Product_Catalog!C:C)</f>
        <v>Furniture</v>
      </c>
      <c r="Q569">
        <f>IF(Clean_Data[[#This Row],[Order_Date]]="","",YEAR(Clean_Data[[#This Row],[Order_Date]]))</f>
        <v>2025</v>
      </c>
      <c r="R569" t="str">
        <f>TEXT(Clean_Data[[#This Row],[Order_Date]],"mmm")</f>
        <v>Apr</v>
      </c>
      <c r="S569" t="str">
        <f>TEXT(Clean_Data[[#This Row],[Order_Date]],"mmm-yy")</f>
        <v>Apr-25</v>
      </c>
      <c r="V569"/>
    </row>
    <row r="570" spans="1:22" x14ac:dyDescent="0.25">
      <c r="A570" t="s">
        <v>634</v>
      </c>
      <c r="B570" s="1">
        <v>45731</v>
      </c>
      <c r="C570" t="s">
        <v>31</v>
      </c>
      <c r="D570" t="s">
        <v>40</v>
      </c>
      <c r="E570" t="s">
        <v>49</v>
      </c>
      <c r="F570" t="s">
        <v>50</v>
      </c>
      <c r="G570">
        <v>14</v>
      </c>
      <c r="H570">
        <v>75000</v>
      </c>
      <c r="I570">
        <v>49772</v>
      </c>
      <c r="J570" t="s">
        <v>29</v>
      </c>
      <c r="K570" t="s">
        <v>23</v>
      </c>
      <c r="L570">
        <f>SUM(Clean_Data[[#This Row],[Units_Sold]]*Clean_Data[[#This Row],[Unit_Price]])</f>
        <v>1050000</v>
      </c>
      <c r="M570">
        <f>Clean_Data[[#This Row],[Units_Sold]]*Clean_Data[[#This Row],[Cost_Price]]</f>
        <v>696808</v>
      </c>
      <c r="N570">
        <f>Clean_Data[[#This Row],[Total_Sales]]-Clean_Data[[#This Row],[Total_Cost]]</f>
        <v>353192</v>
      </c>
      <c r="O570" s="2">
        <f>Clean_Data[[#This Row],[Profit]]/Clean_Data[[#This Row],[Total_Sales]]</f>
        <v>0.33637333333333336</v>
      </c>
      <c r="P570" t="str">
        <f>_xlfn.XLOOKUP(Clean_Data[[#This Row],[Product_Code]],Product_Catalog!A:A,Product_Catalog!C:C)</f>
        <v>Electronics</v>
      </c>
      <c r="Q570">
        <f>IF(Clean_Data[[#This Row],[Order_Date]]="","",YEAR(Clean_Data[[#This Row],[Order_Date]]))</f>
        <v>2025</v>
      </c>
      <c r="R570" t="str">
        <f>TEXT(Clean_Data[[#This Row],[Order_Date]],"mmm")</f>
        <v>Mar</v>
      </c>
      <c r="S570" t="str">
        <f>TEXT(Clean_Data[[#This Row],[Order_Date]],"mmm-yy")</f>
        <v>Mar-25</v>
      </c>
      <c r="V570"/>
    </row>
    <row r="571" spans="1:22" x14ac:dyDescent="0.25">
      <c r="A571" t="s">
        <v>635</v>
      </c>
      <c r="B571" s="1">
        <v>45845</v>
      </c>
      <c r="C571" t="s">
        <v>25</v>
      </c>
      <c r="D571" t="s">
        <v>13</v>
      </c>
      <c r="E571" t="s">
        <v>49</v>
      </c>
      <c r="F571" t="s">
        <v>50</v>
      </c>
      <c r="G571">
        <v>9</v>
      </c>
      <c r="H571">
        <v>75000</v>
      </c>
      <c r="I571">
        <v>45933</v>
      </c>
      <c r="J571" t="s">
        <v>45</v>
      </c>
      <c r="K571" t="s">
        <v>23</v>
      </c>
      <c r="L571">
        <f>SUM(Clean_Data[[#This Row],[Units_Sold]]*Clean_Data[[#This Row],[Unit_Price]])</f>
        <v>675000</v>
      </c>
      <c r="M571">
        <f>Clean_Data[[#This Row],[Units_Sold]]*Clean_Data[[#This Row],[Cost_Price]]</f>
        <v>413397</v>
      </c>
      <c r="N571">
        <f>Clean_Data[[#This Row],[Total_Sales]]-Clean_Data[[#This Row],[Total_Cost]]</f>
        <v>261603</v>
      </c>
      <c r="O571" s="2">
        <f>Clean_Data[[#This Row],[Profit]]/Clean_Data[[#This Row],[Total_Sales]]</f>
        <v>0.38756000000000002</v>
      </c>
      <c r="P571" t="str">
        <f>_xlfn.XLOOKUP(Clean_Data[[#This Row],[Product_Code]],Product_Catalog!A:A,Product_Catalog!C:C)</f>
        <v>Electronics</v>
      </c>
      <c r="Q571">
        <f>IF(Clean_Data[[#This Row],[Order_Date]]="","",YEAR(Clean_Data[[#This Row],[Order_Date]]))</f>
        <v>2025</v>
      </c>
      <c r="R571" t="str">
        <f>TEXT(Clean_Data[[#This Row],[Order_Date]],"mmm")</f>
        <v>Jul</v>
      </c>
      <c r="S571" t="str">
        <f>TEXT(Clean_Data[[#This Row],[Order_Date]],"mmm-yy")</f>
        <v>Jul-25</v>
      </c>
      <c r="V571"/>
    </row>
    <row r="572" spans="1:22" x14ac:dyDescent="0.25">
      <c r="A572" t="s">
        <v>636</v>
      </c>
      <c r="B572" s="1">
        <v>46108</v>
      </c>
      <c r="C572" t="s">
        <v>53</v>
      </c>
      <c r="D572" t="s">
        <v>40</v>
      </c>
      <c r="E572" t="s">
        <v>27</v>
      </c>
      <c r="F572" t="s">
        <v>28</v>
      </c>
      <c r="G572">
        <v>6</v>
      </c>
      <c r="H572">
        <v>14000</v>
      </c>
      <c r="I572">
        <v>10985</v>
      </c>
      <c r="J572" t="s">
        <v>29</v>
      </c>
      <c r="K572" t="s">
        <v>17</v>
      </c>
      <c r="L572">
        <f>SUM(Clean_Data[[#This Row],[Units_Sold]]*Clean_Data[[#This Row],[Unit_Price]])</f>
        <v>84000</v>
      </c>
      <c r="M572">
        <f>Clean_Data[[#This Row],[Units_Sold]]*Clean_Data[[#This Row],[Cost_Price]]</f>
        <v>65910</v>
      </c>
      <c r="N572">
        <f>Clean_Data[[#This Row],[Total_Sales]]-Clean_Data[[#This Row],[Total_Cost]]</f>
        <v>18090</v>
      </c>
      <c r="O572" s="2">
        <f>Clean_Data[[#This Row],[Profit]]/Clean_Data[[#This Row],[Total_Sales]]</f>
        <v>0.21535714285714286</v>
      </c>
      <c r="P572" t="str">
        <f>_xlfn.XLOOKUP(Clean_Data[[#This Row],[Product_Code]],Product_Catalog!A:A,Product_Catalog!C:C)</f>
        <v>Furniture</v>
      </c>
      <c r="Q572">
        <f>IF(Clean_Data[[#This Row],[Order_Date]]="","",YEAR(Clean_Data[[#This Row],[Order_Date]]))</f>
        <v>2026</v>
      </c>
      <c r="R572" t="str">
        <f>TEXT(Clean_Data[[#This Row],[Order_Date]],"mmm")</f>
        <v>Mar</v>
      </c>
      <c r="S572" t="str">
        <f>TEXT(Clean_Data[[#This Row],[Order_Date]],"mmm-yy")</f>
        <v>Mar-26</v>
      </c>
      <c r="V572"/>
    </row>
    <row r="573" spans="1:22" x14ac:dyDescent="0.25">
      <c r="A573" t="s">
        <v>637</v>
      </c>
      <c r="B573" s="1">
        <v>45675</v>
      </c>
      <c r="C573" t="s">
        <v>44</v>
      </c>
      <c r="D573" t="s">
        <v>40</v>
      </c>
      <c r="E573" t="s">
        <v>63</v>
      </c>
      <c r="F573" t="s">
        <v>59</v>
      </c>
      <c r="G573">
        <v>8</v>
      </c>
      <c r="H573">
        <v>4500</v>
      </c>
      <c r="I573">
        <v>2930</v>
      </c>
      <c r="J573" t="s">
        <v>22</v>
      </c>
      <c r="K573" t="s">
        <v>23</v>
      </c>
      <c r="L573">
        <f>SUM(Clean_Data[[#This Row],[Units_Sold]]*Clean_Data[[#This Row],[Unit_Price]])</f>
        <v>36000</v>
      </c>
      <c r="M573">
        <f>Clean_Data[[#This Row],[Units_Sold]]*Clean_Data[[#This Row],[Cost_Price]]</f>
        <v>23440</v>
      </c>
      <c r="N573">
        <f>Clean_Data[[#This Row],[Total_Sales]]-Clean_Data[[#This Row],[Total_Cost]]</f>
        <v>12560</v>
      </c>
      <c r="O573" s="2">
        <f>Clean_Data[[#This Row],[Profit]]/Clean_Data[[#This Row],[Total_Sales]]</f>
        <v>0.34888888888888892</v>
      </c>
      <c r="P573" t="str">
        <f>_xlfn.XLOOKUP(Clean_Data[[#This Row],[Product_Code]],Product_Catalog!A:A,Product_Catalog!C:C)</f>
        <v>Electronics</v>
      </c>
      <c r="Q573">
        <f>IF(Clean_Data[[#This Row],[Order_Date]]="","",YEAR(Clean_Data[[#This Row],[Order_Date]]))</f>
        <v>2025</v>
      </c>
      <c r="R573" t="str">
        <f>TEXT(Clean_Data[[#This Row],[Order_Date]],"mmm")</f>
        <v>Jan</v>
      </c>
      <c r="S573" t="str">
        <f>TEXT(Clean_Data[[#This Row],[Order_Date]],"mmm-yy")</f>
        <v>Jan-25</v>
      </c>
      <c r="V573"/>
    </row>
    <row r="574" spans="1:22" x14ac:dyDescent="0.25">
      <c r="A574" t="s">
        <v>639</v>
      </c>
      <c r="B574" s="1">
        <v>45864</v>
      </c>
      <c r="C574" t="s">
        <v>62</v>
      </c>
      <c r="D574" t="s">
        <v>26</v>
      </c>
      <c r="E574" t="s">
        <v>55</v>
      </c>
      <c r="F574" t="s">
        <v>34</v>
      </c>
      <c r="G574">
        <v>10</v>
      </c>
      <c r="H574">
        <v>35000</v>
      </c>
      <c r="I574">
        <v>26046</v>
      </c>
      <c r="J574" t="s">
        <v>45</v>
      </c>
      <c r="K574" t="s">
        <v>17</v>
      </c>
      <c r="L574">
        <f>SUM(Clean_Data[[#This Row],[Units_Sold]]*Clean_Data[[#This Row],[Unit_Price]])</f>
        <v>350000</v>
      </c>
      <c r="M574">
        <f>Clean_Data[[#This Row],[Units_Sold]]*Clean_Data[[#This Row],[Cost_Price]]</f>
        <v>260460</v>
      </c>
      <c r="N574">
        <f>Clean_Data[[#This Row],[Total_Sales]]-Clean_Data[[#This Row],[Total_Cost]]</f>
        <v>89540</v>
      </c>
      <c r="O574" s="2">
        <f>Clean_Data[[#This Row],[Profit]]/Clean_Data[[#This Row],[Total_Sales]]</f>
        <v>0.25582857142857141</v>
      </c>
      <c r="P574" t="str">
        <f>_xlfn.XLOOKUP(Clean_Data[[#This Row],[Product_Code]],Product_Catalog!A:A,Product_Catalog!C:C)</f>
        <v>Furniture</v>
      </c>
      <c r="Q574">
        <f>IF(Clean_Data[[#This Row],[Order_Date]]="","",YEAR(Clean_Data[[#This Row],[Order_Date]]))</f>
        <v>2025</v>
      </c>
      <c r="R574" t="str">
        <f>TEXT(Clean_Data[[#This Row],[Order_Date]],"mmm")</f>
        <v>Jul</v>
      </c>
      <c r="S574" t="str">
        <f>TEXT(Clean_Data[[#This Row],[Order_Date]],"mmm-yy")</f>
        <v>Jul-25</v>
      </c>
      <c r="V574"/>
    </row>
    <row r="575" spans="1:22" x14ac:dyDescent="0.25">
      <c r="A575" t="s">
        <v>640</v>
      </c>
      <c r="B575" s="1">
        <v>45871</v>
      </c>
      <c r="C575" t="s">
        <v>73</v>
      </c>
      <c r="D575" t="s">
        <v>40</v>
      </c>
      <c r="E575" t="s">
        <v>66</v>
      </c>
      <c r="F575" t="s">
        <v>67</v>
      </c>
      <c r="G575">
        <v>1</v>
      </c>
      <c r="H575">
        <v>2500</v>
      </c>
      <c r="I575">
        <v>1639</v>
      </c>
      <c r="J575" t="s">
        <v>16</v>
      </c>
      <c r="K575" t="s">
        <v>46</v>
      </c>
      <c r="L575">
        <f>SUM(Clean_Data[[#This Row],[Units_Sold]]*Clean_Data[[#This Row],[Unit_Price]])</f>
        <v>2500</v>
      </c>
      <c r="M575">
        <f>Clean_Data[[#This Row],[Units_Sold]]*Clean_Data[[#This Row],[Cost_Price]]</f>
        <v>1639</v>
      </c>
      <c r="N575">
        <f>Clean_Data[[#This Row],[Total_Sales]]-Clean_Data[[#This Row],[Total_Cost]]</f>
        <v>861</v>
      </c>
      <c r="O575" s="2">
        <f>Clean_Data[[#This Row],[Profit]]/Clean_Data[[#This Row],[Total_Sales]]</f>
        <v>0.34439999999999998</v>
      </c>
      <c r="P575" t="str">
        <f>_xlfn.XLOOKUP(Clean_Data[[#This Row],[Product_Code]],Product_Catalog!A:A,Product_Catalog!C:C)</f>
        <v>Electronics</v>
      </c>
      <c r="Q575">
        <f>IF(Clean_Data[[#This Row],[Order_Date]]="","",YEAR(Clean_Data[[#This Row],[Order_Date]]))</f>
        <v>2025</v>
      </c>
      <c r="R575" t="str">
        <f>TEXT(Clean_Data[[#This Row],[Order_Date]],"mmm")</f>
        <v>Aug</v>
      </c>
      <c r="S575" t="str">
        <f>TEXT(Clean_Data[[#This Row],[Order_Date]],"mmm-yy")</f>
        <v>Aug-25</v>
      </c>
      <c r="V575"/>
    </row>
    <row r="576" spans="1:22" x14ac:dyDescent="0.25">
      <c r="A576" t="s">
        <v>641</v>
      </c>
      <c r="B576" s="1">
        <v>45978</v>
      </c>
      <c r="C576" t="s">
        <v>25</v>
      </c>
      <c r="D576" t="s">
        <v>13</v>
      </c>
      <c r="E576" t="s">
        <v>49</v>
      </c>
      <c r="F576" t="s">
        <v>50</v>
      </c>
      <c r="G576">
        <v>10</v>
      </c>
      <c r="H576">
        <v>75000</v>
      </c>
      <c r="I576">
        <v>51879</v>
      </c>
      <c r="J576" t="s">
        <v>45</v>
      </c>
      <c r="K576" t="s">
        <v>46</v>
      </c>
      <c r="L576">
        <f>SUM(Clean_Data[[#This Row],[Units_Sold]]*Clean_Data[[#This Row],[Unit_Price]])</f>
        <v>750000</v>
      </c>
      <c r="M576">
        <f>Clean_Data[[#This Row],[Units_Sold]]*Clean_Data[[#This Row],[Cost_Price]]</f>
        <v>518790</v>
      </c>
      <c r="N576">
        <f>Clean_Data[[#This Row],[Total_Sales]]-Clean_Data[[#This Row],[Total_Cost]]</f>
        <v>231210</v>
      </c>
      <c r="O576" s="2">
        <f>Clean_Data[[#This Row],[Profit]]/Clean_Data[[#This Row],[Total_Sales]]</f>
        <v>0.30828</v>
      </c>
      <c r="P576" t="str">
        <f>_xlfn.XLOOKUP(Clean_Data[[#This Row],[Product_Code]],Product_Catalog!A:A,Product_Catalog!C:C)</f>
        <v>Electronics</v>
      </c>
      <c r="Q576">
        <f>IF(Clean_Data[[#This Row],[Order_Date]]="","",YEAR(Clean_Data[[#This Row],[Order_Date]]))</f>
        <v>2025</v>
      </c>
      <c r="R576" t="str">
        <f>TEXT(Clean_Data[[#This Row],[Order_Date]],"mmm")</f>
        <v>Nov</v>
      </c>
      <c r="S576" t="str">
        <f>TEXT(Clean_Data[[#This Row],[Order_Date]],"mmm-yy")</f>
        <v>Nov-25</v>
      </c>
      <c r="V576"/>
    </row>
    <row r="577" spans="1:22" x14ac:dyDescent="0.25">
      <c r="A577" t="s">
        <v>642</v>
      </c>
      <c r="B577" s="1">
        <v>46194</v>
      </c>
      <c r="C577" t="s">
        <v>73</v>
      </c>
      <c r="D577" t="s">
        <v>40</v>
      </c>
      <c r="E577" t="s">
        <v>14</v>
      </c>
      <c r="F577" t="s">
        <v>15</v>
      </c>
      <c r="G577">
        <v>6</v>
      </c>
      <c r="H577">
        <v>12500</v>
      </c>
      <c r="I577">
        <v>9202</v>
      </c>
      <c r="J577" t="s">
        <v>29</v>
      </c>
      <c r="K577" t="s">
        <v>17</v>
      </c>
      <c r="L577">
        <f>SUM(Clean_Data[[#This Row],[Units_Sold]]*Clean_Data[[#This Row],[Unit_Price]])</f>
        <v>75000</v>
      </c>
      <c r="M577">
        <f>Clean_Data[[#This Row],[Units_Sold]]*Clean_Data[[#This Row],[Cost_Price]]</f>
        <v>55212</v>
      </c>
      <c r="N577">
        <f>Clean_Data[[#This Row],[Total_Sales]]-Clean_Data[[#This Row],[Total_Cost]]</f>
        <v>19788</v>
      </c>
      <c r="O577" s="2">
        <f>Clean_Data[[#This Row],[Profit]]/Clean_Data[[#This Row],[Total_Sales]]</f>
        <v>0.26384000000000002</v>
      </c>
      <c r="P577" t="str">
        <f>_xlfn.XLOOKUP(Clean_Data[[#This Row],[Product_Code]],Product_Catalog!A:A,Product_Catalog!C:C)</f>
        <v>Accessories</v>
      </c>
      <c r="Q577">
        <f>IF(Clean_Data[[#This Row],[Order_Date]]="","",YEAR(Clean_Data[[#This Row],[Order_Date]]))</f>
        <v>2026</v>
      </c>
      <c r="R577" t="str">
        <f>TEXT(Clean_Data[[#This Row],[Order_Date]],"mmm")</f>
        <v>Jun</v>
      </c>
      <c r="S577" t="str">
        <f>TEXT(Clean_Data[[#This Row],[Order_Date]],"mmm-yy")</f>
        <v>Jun-26</v>
      </c>
      <c r="V577"/>
    </row>
    <row r="578" spans="1:22" x14ac:dyDescent="0.25">
      <c r="A578" t="s">
        <v>643</v>
      </c>
      <c r="B578" s="1">
        <v>46071</v>
      </c>
      <c r="C578" t="s">
        <v>19</v>
      </c>
      <c r="D578" t="s">
        <v>13</v>
      </c>
      <c r="E578" t="s">
        <v>49</v>
      </c>
      <c r="F578" t="s">
        <v>50</v>
      </c>
      <c r="G578">
        <v>2</v>
      </c>
      <c r="H578">
        <v>75000</v>
      </c>
      <c r="I578">
        <v>56888</v>
      </c>
      <c r="J578" t="s">
        <v>45</v>
      </c>
      <c r="K578" t="s">
        <v>46</v>
      </c>
      <c r="L578">
        <f>SUM(Clean_Data[[#This Row],[Units_Sold]]*Clean_Data[[#This Row],[Unit_Price]])</f>
        <v>150000</v>
      </c>
      <c r="M578">
        <f>Clean_Data[[#This Row],[Units_Sold]]*Clean_Data[[#This Row],[Cost_Price]]</f>
        <v>113776</v>
      </c>
      <c r="N578">
        <f>Clean_Data[[#This Row],[Total_Sales]]-Clean_Data[[#This Row],[Total_Cost]]</f>
        <v>36224</v>
      </c>
      <c r="O578" s="2">
        <f>Clean_Data[[#This Row],[Profit]]/Clean_Data[[#This Row],[Total_Sales]]</f>
        <v>0.24149333333333334</v>
      </c>
      <c r="P578" t="str">
        <f>_xlfn.XLOOKUP(Clean_Data[[#This Row],[Product_Code]],Product_Catalog!A:A,Product_Catalog!C:C)</f>
        <v>Electronics</v>
      </c>
      <c r="Q578">
        <f>IF(Clean_Data[[#This Row],[Order_Date]]="","",YEAR(Clean_Data[[#This Row],[Order_Date]]))</f>
        <v>2026</v>
      </c>
      <c r="R578" t="str">
        <f>TEXT(Clean_Data[[#This Row],[Order_Date]],"mmm")</f>
        <v>Feb</v>
      </c>
      <c r="S578" t="str">
        <f>TEXT(Clean_Data[[#This Row],[Order_Date]],"mmm-yy")</f>
        <v>Feb-26</v>
      </c>
      <c r="V578"/>
    </row>
    <row r="579" spans="1:22" x14ac:dyDescent="0.25">
      <c r="A579" t="s">
        <v>644</v>
      </c>
      <c r="B579" s="1">
        <v>45715</v>
      </c>
      <c r="C579" t="s">
        <v>62</v>
      </c>
      <c r="D579" t="s">
        <v>26</v>
      </c>
      <c r="E579" t="s">
        <v>20</v>
      </c>
      <c r="F579" t="s">
        <v>21</v>
      </c>
      <c r="G579">
        <v>5</v>
      </c>
      <c r="H579">
        <v>8500</v>
      </c>
      <c r="I579">
        <v>5180</v>
      </c>
      <c r="J579" t="s">
        <v>29</v>
      </c>
      <c r="K579" t="s">
        <v>17</v>
      </c>
      <c r="L579">
        <f>SUM(Clean_Data[[#This Row],[Units_Sold]]*Clean_Data[[#This Row],[Unit_Price]])</f>
        <v>42500</v>
      </c>
      <c r="M579">
        <f>Clean_Data[[#This Row],[Units_Sold]]*Clean_Data[[#This Row],[Cost_Price]]</f>
        <v>25900</v>
      </c>
      <c r="N579">
        <f>Clean_Data[[#This Row],[Total_Sales]]-Clean_Data[[#This Row],[Total_Cost]]</f>
        <v>16600</v>
      </c>
      <c r="O579" s="2">
        <f>Clean_Data[[#This Row],[Profit]]/Clean_Data[[#This Row],[Total_Sales]]</f>
        <v>0.39058823529411762</v>
      </c>
      <c r="P579" t="str">
        <f>_xlfn.XLOOKUP(Clean_Data[[#This Row],[Product_Code]],Product_Catalog!A:A,Product_Catalog!C:C)</f>
        <v>Accessories</v>
      </c>
      <c r="Q579">
        <f>IF(Clean_Data[[#This Row],[Order_Date]]="","",YEAR(Clean_Data[[#This Row],[Order_Date]]))</f>
        <v>2025</v>
      </c>
      <c r="R579" t="str">
        <f>TEXT(Clean_Data[[#This Row],[Order_Date]],"mmm")</f>
        <v>Feb</v>
      </c>
      <c r="S579" t="str">
        <f>TEXT(Clean_Data[[#This Row],[Order_Date]],"mmm-yy")</f>
        <v>Feb-25</v>
      </c>
      <c r="V579"/>
    </row>
    <row r="580" spans="1:22" x14ac:dyDescent="0.25">
      <c r="A580" t="s">
        <v>645</v>
      </c>
      <c r="B580" s="1">
        <v>45981</v>
      </c>
      <c r="C580" t="s">
        <v>53</v>
      </c>
      <c r="D580" t="s">
        <v>13</v>
      </c>
      <c r="E580" t="s">
        <v>37</v>
      </c>
      <c r="F580" t="s">
        <v>38</v>
      </c>
      <c r="G580">
        <v>14</v>
      </c>
      <c r="H580">
        <v>55000</v>
      </c>
      <c r="I580">
        <v>36756</v>
      </c>
      <c r="J580" t="s">
        <v>22</v>
      </c>
      <c r="K580" t="s">
        <v>46</v>
      </c>
      <c r="L580">
        <f>SUM(Clean_Data[[#This Row],[Units_Sold]]*Clean_Data[[#This Row],[Unit_Price]])</f>
        <v>770000</v>
      </c>
      <c r="M580">
        <f>Clean_Data[[#This Row],[Units_Sold]]*Clean_Data[[#This Row],[Cost_Price]]</f>
        <v>514584</v>
      </c>
      <c r="N580">
        <f>Clean_Data[[#This Row],[Total_Sales]]-Clean_Data[[#This Row],[Total_Cost]]</f>
        <v>255416</v>
      </c>
      <c r="O580" s="2">
        <f>Clean_Data[[#This Row],[Profit]]/Clean_Data[[#This Row],[Total_Sales]]</f>
        <v>0.3317090909090909</v>
      </c>
      <c r="P580" t="str">
        <f>_xlfn.XLOOKUP(Clean_Data[[#This Row],[Product_Code]],Product_Catalog!A:A,Product_Catalog!C:C)</f>
        <v>Electronics</v>
      </c>
      <c r="Q580">
        <f>IF(Clean_Data[[#This Row],[Order_Date]]="","",YEAR(Clean_Data[[#This Row],[Order_Date]]))</f>
        <v>2025</v>
      </c>
      <c r="R580" t="str">
        <f>TEXT(Clean_Data[[#This Row],[Order_Date]],"mmm")</f>
        <v>Nov</v>
      </c>
      <c r="S580" t="str">
        <f>TEXT(Clean_Data[[#This Row],[Order_Date]],"mmm-yy")</f>
        <v>Nov-25</v>
      </c>
      <c r="V580"/>
    </row>
    <row r="581" spans="1:22" x14ac:dyDescent="0.25">
      <c r="A581" t="s">
        <v>646</v>
      </c>
      <c r="B581" s="1">
        <v>45706</v>
      </c>
      <c r="C581" t="s">
        <v>12</v>
      </c>
      <c r="D581" t="s">
        <v>40</v>
      </c>
      <c r="E581" t="s">
        <v>37</v>
      </c>
      <c r="F581" t="s">
        <v>38</v>
      </c>
      <c r="G581">
        <v>12</v>
      </c>
      <c r="H581">
        <v>55000</v>
      </c>
      <c r="I581">
        <v>36658</v>
      </c>
      <c r="J581" t="s">
        <v>16</v>
      </c>
      <c r="K581" t="s">
        <v>17</v>
      </c>
      <c r="L581">
        <f>SUM(Clean_Data[[#This Row],[Units_Sold]]*Clean_Data[[#This Row],[Unit_Price]])</f>
        <v>660000</v>
      </c>
      <c r="M581">
        <f>Clean_Data[[#This Row],[Units_Sold]]*Clean_Data[[#This Row],[Cost_Price]]</f>
        <v>439896</v>
      </c>
      <c r="N581">
        <f>Clean_Data[[#This Row],[Total_Sales]]-Clean_Data[[#This Row],[Total_Cost]]</f>
        <v>220104</v>
      </c>
      <c r="O581" s="2">
        <f>Clean_Data[[#This Row],[Profit]]/Clean_Data[[#This Row],[Total_Sales]]</f>
        <v>0.33349090909090912</v>
      </c>
      <c r="P581" t="str">
        <f>_xlfn.XLOOKUP(Clean_Data[[#This Row],[Product_Code]],Product_Catalog!A:A,Product_Catalog!C:C)</f>
        <v>Electronics</v>
      </c>
      <c r="Q581">
        <f>IF(Clean_Data[[#This Row],[Order_Date]]="","",YEAR(Clean_Data[[#This Row],[Order_Date]]))</f>
        <v>2025</v>
      </c>
      <c r="R581" t="str">
        <f>TEXT(Clean_Data[[#This Row],[Order_Date]],"mmm")</f>
        <v>Feb</v>
      </c>
      <c r="S581" t="str">
        <f>TEXT(Clean_Data[[#This Row],[Order_Date]],"mmm-yy")</f>
        <v>Feb-25</v>
      </c>
      <c r="V581"/>
    </row>
    <row r="582" spans="1:22" x14ac:dyDescent="0.25">
      <c r="A582" t="s">
        <v>647</v>
      </c>
      <c r="B582" s="1">
        <v>45839</v>
      </c>
      <c r="C582" t="s">
        <v>73</v>
      </c>
      <c r="D582" t="s">
        <v>36</v>
      </c>
      <c r="E582" t="s">
        <v>55</v>
      </c>
      <c r="F582" t="s">
        <v>34</v>
      </c>
      <c r="G582">
        <v>13</v>
      </c>
      <c r="H582">
        <v>35000</v>
      </c>
      <c r="I582">
        <v>22797</v>
      </c>
      <c r="J582" t="s">
        <v>29</v>
      </c>
      <c r="K582" t="s">
        <v>17</v>
      </c>
      <c r="L582">
        <f>SUM(Clean_Data[[#This Row],[Units_Sold]]*Clean_Data[[#This Row],[Unit_Price]])</f>
        <v>455000</v>
      </c>
      <c r="M582">
        <f>Clean_Data[[#This Row],[Units_Sold]]*Clean_Data[[#This Row],[Cost_Price]]</f>
        <v>296361</v>
      </c>
      <c r="N582">
        <f>Clean_Data[[#This Row],[Total_Sales]]-Clean_Data[[#This Row],[Total_Cost]]</f>
        <v>158639</v>
      </c>
      <c r="O582" s="2">
        <f>Clean_Data[[#This Row],[Profit]]/Clean_Data[[#This Row],[Total_Sales]]</f>
        <v>0.34865714285714283</v>
      </c>
      <c r="P582" t="str">
        <f>_xlfn.XLOOKUP(Clean_Data[[#This Row],[Product_Code]],Product_Catalog!A:A,Product_Catalog!C:C)</f>
        <v>Furniture</v>
      </c>
      <c r="Q582">
        <f>IF(Clean_Data[[#This Row],[Order_Date]]="","",YEAR(Clean_Data[[#This Row],[Order_Date]]))</f>
        <v>2025</v>
      </c>
      <c r="R582" t="str">
        <f>TEXT(Clean_Data[[#This Row],[Order_Date]],"mmm")</f>
        <v>Jul</v>
      </c>
      <c r="S582" t="str">
        <f>TEXT(Clean_Data[[#This Row],[Order_Date]],"mmm-yy")</f>
        <v>Jul-25</v>
      </c>
      <c r="V582"/>
    </row>
    <row r="583" spans="1:22" x14ac:dyDescent="0.25">
      <c r="A583" t="s">
        <v>648</v>
      </c>
      <c r="B583" s="1">
        <v>46019</v>
      </c>
      <c r="C583" t="s">
        <v>73</v>
      </c>
      <c r="D583" t="s">
        <v>26</v>
      </c>
      <c r="E583" t="s">
        <v>63</v>
      </c>
      <c r="F583" t="s">
        <v>59</v>
      </c>
      <c r="G583">
        <v>5</v>
      </c>
      <c r="H583">
        <v>4500</v>
      </c>
      <c r="I583">
        <v>3295</v>
      </c>
      <c r="J583" t="s">
        <v>29</v>
      </c>
      <c r="K583" t="s">
        <v>17</v>
      </c>
      <c r="L583">
        <f>SUM(Clean_Data[[#This Row],[Units_Sold]]*Clean_Data[[#This Row],[Unit_Price]])</f>
        <v>22500</v>
      </c>
      <c r="M583">
        <f>Clean_Data[[#This Row],[Units_Sold]]*Clean_Data[[#This Row],[Cost_Price]]</f>
        <v>16475</v>
      </c>
      <c r="N583">
        <f>Clean_Data[[#This Row],[Total_Sales]]-Clean_Data[[#This Row],[Total_Cost]]</f>
        <v>6025</v>
      </c>
      <c r="O583" s="2">
        <f>Clean_Data[[#This Row],[Profit]]/Clean_Data[[#This Row],[Total_Sales]]</f>
        <v>0.26777777777777778</v>
      </c>
      <c r="P583" t="str">
        <f>_xlfn.XLOOKUP(Clean_Data[[#This Row],[Product_Code]],Product_Catalog!A:A,Product_Catalog!C:C)</f>
        <v>Electronics</v>
      </c>
      <c r="Q583">
        <f>IF(Clean_Data[[#This Row],[Order_Date]]="","",YEAR(Clean_Data[[#This Row],[Order_Date]]))</f>
        <v>2025</v>
      </c>
      <c r="R583" t="str">
        <f>TEXT(Clean_Data[[#This Row],[Order_Date]],"mmm")</f>
        <v>Dec</v>
      </c>
      <c r="S583" t="str">
        <f>TEXT(Clean_Data[[#This Row],[Order_Date]],"mmm-yy")</f>
        <v>Dec-25</v>
      </c>
      <c r="V583"/>
    </row>
    <row r="584" spans="1:22" x14ac:dyDescent="0.25">
      <c r="A584" t="s">
        <v>649</v>
      </c>
      <c r="B584" s="1">
        <v>46131</v>
      </c>
      <c r="C584" t="s">
        <v>31</v>
      </c>
      <c r="D584" t="s">
        <v>40</v>
      </c>
      <c r="E584" t="s">
        <v>41</v>
      </c>
      <c r="F584" t="s">
        <v>42</v>
      </c>
      <c r="G584">
        <v>10</v>
      </c>
      <c r="H584">
        <v>28000</v>
      </c>
      <c r="I584">
        <v>20026</v>
      </c>
      <c r="J584" t="s">
        <v>22</v>
      </c>
      <c r="K584" t="s">
        <v>17</v>
      </c>
      <c r="L584">
        <f>SUM(Clean_Data[[#This Row],[Units_Sold]]*Clean_Data[[#This Row],[Unit_Price]])</f>
        <v>280000</v>
      </c>
      <c r="M584">
        <f>Clean_Data[[#This Row],[Units_Sold]]*Clean_Data[[#This Row],[Cost_Price]]</f>
        <v>200260</v>
      </c>
      <c r="N584">
        <f>Clean_Data[[#This Row],[Total_Sales]]-Clean_Data[[#This Row],[Total_Cost]]</f>
        <v>79740</v>
      </c>
      <c r="O584" s="2">
        <f>Clean_Data[[#This Row],[Profit]]/Clean_Data[[#This Row],[Total_Sales]]</f>
        <v>0.28478571428571431</v>
      </c>
      <c r="P584" t="str">
        <f>_xlfn.XLOOKUP(Clean_Data[[#This Row],[Product_Code]],Product_Catalog!A:A,Product_Catalog!C:C)</f>
        <v>Electronics</v>
      </c>
      <c r="Q584">
        <f>IF(Clean_Data[[#This Row],[Order_Date]]="","",YEAR(Clean_Data[[#This Row],[Order_Date]]))</f>
        <v>2026</v>
      </c>
      <c r="R584" t="str">
        <f>TEXT(Clean_Data[[#This Row],[Order_Date]],"mmm")</f>
        <v>Apr</v>
      </c>
      <c r="S584" t="str">
        <f>TEXT(Clean_Data[[#This Row],[Order_Date]],"mmm-yy")</f>
        <v>Apr-26</v>
      </c>
      <c r="V584"/>
    </row>
    <row r="585" spans="1:22" x14ac:dyDescent="0.25">
      <c r="A585" t="s">
        <v>650</v>
      </c>
      <c r="B585" s="1">
        <v>45954</v>
      </c>
      <c r="C585" t="s">
        <v>48</v>
      </c>
      <c r="D585" t="s">
        <v>13</v>
      </c>
      <c r="E585" t="s">
        <v>20</v>
      </c>
      <c r="F585" t="s">
        <v>21</v>
      </c>
      <c r="G585">
        <v>2</v>
      </c>
      <c r="H585">
        <v>8500</v>
      </c>
      <c r="I585">
        <v>5135</v>
      </c>
      <c r="J585" t="s">
        <v>22</v>
      </c>
      <c r="K585" t="s">
        <v>23</v>
      </c>
      <c r="L585">
        <f>SUM(Clean_Data[[#This Row],[Units_Sold]]*Clean_Data[[#This Row],[Unit_Price]])</f>
        <v>17000</v>
      </c>
      <c r="M585">
        <f>Clean_Data[[#This Row],[Units_Sold]]*Clean_Data[[#This Row],[Cost_Price]]</f>
        <v>10270</v>
      </c>
      <c r="N585">
        <f>Clean_Data[[#This Row],[Total_Sales]]-Clean_Data[[#This Row],[Total_Cost]]</f>
        <v>6730</v>
      </c>
      <c r="O585" s="2">
        <f>Clean_Data[[#This Row],[Profit]]/Clean_Data[[#This Row],[Total_Sales]]</f>
        <v>0.39588235294117646</v>
      </c>
      <c r="P585" t="str">
        <f>_xlfn.XLOOKUP(Clean_Data[[#This Row],[Product_Code]],Product_Catalog!A:A,Product_Catalog!C:C)</f>
        <v>Accessories</v>
      </c>
      <c r="Q585">
        <f>IF(Clean_Data[[#This Row],[Order_Date]]="","",YEAR(Clean_Data[[#This Row],[Order_Date]]))</f>
        <v>2025</v>
      </c>
      <c r="R585" t="str">
        <f>TEXT(Clean_Data[[#This Row],[Order_Date]],"mmm")</f>
        <v>Oct</v>
      </c>
      <c r="S585" t="str">
        <f>TEXT(Clean_Data[[#This Row],[Order_Date]],"mmm-yy")</f>
        <v>Oct-25</v>
      </c>
      <c r="V585"/>
    </row>
    <row r="586" spans="1:22" x14ac:dyDescent="0.25">
      <c r="A586" t="s">
        <v>651</v>
      </c>
      <c r="B586" s="1">
        <v>46213</v>
      </c>
      <c r="C586" t="s">
        <v>53</v>
      </c>
      <c r="D586" t="s">
        <v>33</v>
      </c>
      <c r="E586" t="s">
        <v>20</v>
      </c>
      <c r="F586" t="s">
        <v>21</v>
      </c>
      <c r="G586">
        <v>7</v>
      </c>
      <c r="H586">
        <v>8500</v>
      </c>
      <c r="I586">
        <v>5613</v>
      </c>
      <c r="J586" t="s">
        <v>29</v>
      </c>
      <c r="K586" t="s">
        <v>23</v>
      </c>
      <c r="L586">
        <f>SUM(Clean_Data[[#This Row],[Units_Sold]]*Clean_Data[[#This Row],[Unit_Price]])</f>
        <v>59500</v>
      </c>
      <c r="M586">
        <f>Clean_Data[[#This Row],[Units_Sold]]*Clean_Data[[#This Row],[Cost_Price]]</f>
        <v>39291</v>
      </c>
      <c r="N586">
        <f>Clean_Data[[#This Row],[Total_Sales]]-Clean_Data[[#This Row],[Total_Cost]]</f>
        <v>20209</v>
      </c>
      <c r="O586" s="2">
        <f>Clean_Data[[#This Row],[Profit]]/Clean_Data[[#This Row],[Total_Sales]]</f>
        <v>0.33964705882352941</v>
      </c>
      <c r="P586" t="str">
        <f>_xlfn.XLOOKUP(Clean_Data[[#This Row],[Product_Code]],Product_Catalog!A:A,Product_Catalog!C:C)</f>
        <v>Accessories</v>
      </c>
      <c r="Q586">
        <f>IF(Clean_Data[[#This Row],[Order_Date]]="","",YEAR(Clean_Data[[#This Row],[Order_Date]]))</f>
        <v>2026</v>
      </c>
      <c r="R586" t="str">
        <f>TEXT(Clean_Data[[#This Row],[Order_Date]],"mmm")</f>
        <v>Jul</v>
      </c>
      <c r="S586" t="str">
        <f>TEXT(Clean_Data[[#This Row],[Order_Date]],"mmm-yy")</f>
        <v>Jul-26</v>
      </c>
      <c r="V586"/>
    </row>
    <row r="587" spans="1:22" x14ac:dyDescent="0.25">
      <c r="A587" t="s">
        <v>652</v>
      </c>
      <c r="B587" s="1">
        <v>45902</v>
      </c>
      <c r="C587" t="s">
        <v>53</v>
      </c>
      <c r="D587" t="s">
        <v>26</v>
      </c>
      <c r="E587" t="s">
        <v>14</v>
      </c>
      <c r="F587" t="s">
        <v>15</v>
      </c>
      <c r="G587">
        <v>1</v>
      </c>
      <c r="H587">
        <v>12500</v>
      </c>
      <c r="I587">
        <v>8405</v>
      </c>
      <c r="J587" t="s">
        <v>29</v>
      </c>
      <c r="K587" t="s">
        <v>17</v>
      </c>
      <c r="L587">
        <f>SUM(Clean_Data[[#This Row],[Units_Sold]]*Clean_Data[[#This Row],[Unit_Price]])</f>
        <v>12500</v>
      </c>
      <c r="M587">
        <f>Clean_Data[[#This Row],[Units_Sold]]*Clean_Data[[#This Row],[Cost_Price]]</f>
        <v>8405</v>
      </c>
      <c r="N587">
        <f>Clean_Data[[#This Row],[Total_Sales]]-Clean_Data[[#This Row],[Total_Cost]]</f>
        <v>4095</v>
      </c>
      <c r="O587" s="2">
        <f>Clean_Data[[#This Row],[Profit]]/Clean_Data[[#This Row],[Total_Sales]]</f>
        <v>0.3276</v>
      </c>
      <c r="P587" t="str">
        <f>_xlfn.XLOOKUP(Clean_Data[[#This Row],[Product_Code]],Product_Catalog!A:A,Product_Catalog!C:C)</f>
        <v>Accessories</v>
      </c>
      <c r="Q587">
        <f>IF(Clean_Data[[#This Row],[Order_Date]]="","",YEAR(Clean_Data[[#This Row],[Order_Date]]))</f>
        <v>2025</v>
      </c>
      <c r="R587" t="str">
        <f>TEXT(Clean_Data[[#This Row],[Order_Date]],"mmm")</f>
        <v>Sep</v>
      </c>
      <c r="S587" t="str">
        <f>TEXT(Clean_Data[[#This Row],[Order_Date]],"mmm-yy")</f>
        <v>Sep-25</v>
      </c>
      <c r="V587"/>
    </row>
    <row r="588" spans="1:22" x14ac:dyDescent="0.25">
      <c r="A588" t="s">
        <v>653</v>
      </c>
      <c r="B588" s="1">
        <v>46143</v>
      </c>
      <c r="C588" t="s">
        <v>48</v>
      </c>
      <c r="D588" t="s">
        <v>40</v>
      </c>
      <c r="E588" t="s">
        <v>41</v>
      </c>
      <c r="F588" t="s">
        <v>42</v>
      </c>
      <c r="G588">
        <v>1</v>
      </c>
      <c r="H588">
        <v>28000</v>
      </c>
      <c r="I588">
        <v>18132</v>
      </c>
      <c r="J588" t="s">
        <v>22</v>
      </c>
      <c r="K588" t="s">
        <v>17</v>
      </c>
      <c r="L588">
        <f>SUM(Clean_Data[[#This Row],[Units_Sold]]*Clean_Data[[#This Row],[Unit_Price]])</f>
        <v>28000</v>
      </c>
      <c r="M588">
        <f>Clean_Data[[#This Row],[Units_Sold]]*Clean_Data[[#This Row],[Cost_Price]]</f>
        <v>18132</v>
      </c>
      <c r="N588">
        <f>Clean_Data[[#This Row],[Total_Sales]]-Clean_Data[[#This Row],[Total_Cost]]</f>
        <v>9868</v>
      </c>
      <c r="O588" s="2">
        <f>Clean_Data[[#This Row],[Profit]]/Clean_Data[[#This Row],[Total_Sales]]</f>
        <v>0.35242857142857142</v>
      </c>
      <c r="P588" t="str">
        <f>_xlfn.XLOOKUP(Clean_Data[[#This Row],[Product_Code]],Product_Catalog!A:A,Product_Catalog!C:C)</f>
        <v>Electronics</v>
      </c>
      <c r="Q588">
        <f>IF(Clean_Data[[#This Row],[Order_Date]]="","",YEAR(Clean_Data[[#This Row],[Order_Date]]))</f>
        <v>2026</v>
      </c>
      <c r="R588" t="str">
        <f>TEXT(Clean_Data[[#This Row],[Order_Date]],"mmm")</f>
        <v>May</v>
      </c>
      <c r="S588" t="str">
        <f>TEXT(Clean_Data[[#This Row],[Order_Date]],"mmm-yy")</f>
        <v>May-26</v>
      </c>
      <c r="V588"/>
    </row>
    <row r="589" spans="1:22" x14ac:dyDescent="0.25">
      <c r="A589" t="s">
        <v>654</v>
      </c>
      <c r="B589" s="1">
        <v>46051</v>
      </c>
      <c r="C589" t="s">
        <v>19</v>
      </c>
      <c r="D589" t="s">
        <v>13</v>
      </c>
      <c r="E589" t="s">
        <v>27</v>
      </c>
      <c r="F589" t="s">
        <v>28</v>
      </c>
      <c r="G589">
        <v>6</v>
      </c>
      <c r="H589">
        <v>14000</v>
      </c>
      <c r="I589">
        <v>8856</v>
      </c>
      <c r="J589" t="s">
        <v>29</v>
      </c>
      <c r="K589" t="s">
        <v>17</v>
      </c>
      <c r="L589">
        <f>SUM(Clean_Data[[#This Row],[Units_Sold]]*Clean_Data[[#This Row],[Unit_Price]])</f>
        <v>84000</v>
      </c>
      <c r="M589">
        <f>Clean_Data[[#This Row],[Units_Sold]]*Clean_Data[[#This Row],[Cost_Price]]</f>
        <v>53136</v>
      </c>
      <c r="N589">
        <f>Clean_Data[[#This Row],[Total_Sales]]-Clean_Data[[#This Row],[Total_Cost]]</f>
        <v>30864</v>
      </c>
      <c r="O589" s="2">
        <f>Clean_Data[[#This Row],[Profit]]/Clean_Data[[#This Row],[Total_Sales]]</f>
        <v>0.36742857142857144</v>
      </c>
      <c r="P589" t="str">
        <f>_xlfn.XLOOKUP(Clean_Data[[#This Row],[Product_Code]],Product_Catalog!A:A,Product_Catalog!C:C)</f>
        <v>Furniture</v>
      </c>
      <c r="Q589">
        <f>IF(Clean_Data[[#This Row],[Order_Date]]="","",YEAR(Clean_Data[[#This Row],[Order_Date]]))</f>
        <v>2026</v>
      </c>
      <c r="R589" t="str">
        <f>TEXT(Clean_Data[[#This Row],[Order_Date]],"mmm")</f>
        <v>Jan</v>
      </c>
      <c r="S589" t="str">
        <f>TEXT(Clean_Data[[#This Row],[Order_Date]],"mmm-yy")</f>
        <v>Jan-26</v>
      </c>
      <c r="V589"/>
    </row>
    <row r="590" spans="1:22" x14ac:dyDescent="0.25">
      <c r="A590" t="s">
        <v>655</v>
      </c>
      <c r="B590" s="1">
        <v>45884</v>
      </c>
      <c r="C590" t="s">
        <v>19</v>
      </c>
      <c r="D590" t="s">
        <v>36</v>
      </c>
      <c r="E590" t="s">
        <v>20</v>
      </c>
      <c r="F590" t="s">
        <v>21</v>
      </c>
      <c r="G590">
        <v>8</v>
      </c>
      <c r="H590">
        <v>8500</v>
      </c>
      <c r="I590">
        <v>5310</v>
      </c>
      <c r="J590" t="s">
        <v>29</v>
      </c>
      <c r="K590" t="s">
        <v>46</v>
      </c>
      <c r="L590">
        <f>SUM(Clean_Data[[#This Row],[Units_Sold]]*Clean_Data[[#This Row],[Unit_Price]])</f>
        <v>68000</v>
      </c>
      <c r="M590">
        <f>Clean_Data[[#This Row],[Units_Sold]]*Clean_Data[[#This Row],[Cost_Price]]</f>
        <v>42480</v>
      </c>
      <c r="N590">
        <f>Clean_Data[[#This Row],[Total_Sales]]-Clean_Data[[#This Row],[Total_Cost]]</f>
        <v>25520</v>
      </c>
      <c r="O590" s="2">
        <f>Clean_Data[[#This Row],[Profit]]/Clean_Data[[#This Row],[Total_Sales]]</f>
        <v>0.37529411764705883</v>
      </c>
      <c r="P590" t="str">
        <f>_xlfn.XLOOKUP(Clean_Data[[#This Row],[Product_Code]],Product_Catalog!A:A,Product_Catalog!C:C)</f>
        <v>Accessories</v>
      </c>
      <c r="Q590">
        <f>IF(Clean_Data[[#This Row],[Order_Date]]="","",YEAR(Clean_Data[[#This Row],[Order_Date]]))</f>
        <v>2025</v>
      </c>
      <c r="R590" t="str">
        <f>TEXT(Clean_Data[[#This Row],[Order_Date]],"mmm")</f>
        <v>Aug</v>
      </c>
      <c r="S590" t="str">
        <f>TEXT(Clean_Data[[#This Row],[Order_Date]],"mmm-yy")</f>
        <v>Aug-25</v>
      </c>
      <c r="V590"/>
    </row>
    <row r="591" spans="1:22" x14ac:dyDescent="0.25">
      <c r="A591" t="s">
        <v>656</v>
      </c>
      <c r="B591" s="1">
        <v>46063</v>
      </c>
      <c r="C591" t="s">
        <v>44</v>
      </c>
      <c r="D591" t="s">
        <v>40</v>
      </c>
      <c r="E591" t="s">
        <v>63</v>
      </c>
      <c r="F591" t="s">
        <v>59</v>
      </c>
      <c r="G591">
        <v>10</v>
      </c>
      <c r="H591">
        <v>4500</v>
      </c>
      <c r="I591">
        <v>2769</v>
      </c>
      <c r="J591" t="s">
        <v>45</v>
      </c>
      <c r="K591" t="s">
        <v>17</v>
      </c>
      <c r="L591">
        <f>SUM(Clean_Data[[#This Row],[Units_Sold]]*Clean_Data[[#This Row],[Unit_Price]])</f>
        <v>45000</v>
      </c>
      <c r="M591">
        <f>Clean_Data[[#This Row],[Units_Sold]]*Clean_Data[[#This Row],[Cost_Price]]</f>
        <v>27690</v>
      </c>
      <c r="N591">
        <f>Clean_Data[[#This Row],[Total_Sales]]-Clean_Data[[#This Row],[Total_Cost]]</f>
        <v>17310</v>
      </c>
      <c r="O591" s="2">
        <f>Clean_Data[[#This Row],[Profit]]/Clean_Data[[#This Row],[Total_Sales]]</f>
        <v>0.38466666666666666</v>
      </c>
      <c r="P591" t="str">
        <f>_xlfn.XLOOKUP(Clean_Data[[#This Row],[Product_Code]],Product_Catalog!A:A,Product_Catalog!C:C)</f>
        <v>Electronics</v>
      </c>
      <c r="Q591">
        <f>IF(Clean_Data[[#This Row],[Order_Date]]="","",YEAR(Clean_Data[[#This Row],[Order_Date]]))</f>
        <v>2026</v>
      </c>
      <c r="R591" t="str">
        <f>TEXT(Clean_Data[[#This Row],[Order_Date]],"mmm")</f>
        <v>Feb</v>
      </c>
      <c r="S591" t="str">
        <f>TEXT(Clean_Data[[#This Row],[Order_Date]],"mmm-yy")</f>
        <v>Feb-26</v>
      </c>
      <c r="V591"/>
    </row>
    <row r="592" spans="1:22" x14ac:dyDescent="0.25">
      <c r="A592" t="s">
        <v>657</v>
      </c>
      <c r="B592" s="1">
        <v>45799</v>
      </c>
      <c r="C592" t="s">
        <v>44</v>
      </c>
      <c r="D592" t="s">
        <v>33</v>
      </c>
      <c r="E592" t="s">
        <v>37</v>
      </c>
      <c r="F592" t="s">
        <v>38</v>
      </c>
      <c r="G592">
        <v>18</v>
      </c>
      <c r="H592">
        <v>55000</v>
      </c>
      <c r="I592">
        <v>37123</v>
      </c>
      <c r="J592" t="s">
        <v>16</v>
      </c>
      <c r="K592" t="s">
        <v>46</v>
      </c>
      <c r="L592">
        <f>SUM(Clean_Data[[#This Row],[Units_Sold]]*Clean_Data[[#This Row],[Unit_Price]])</f>
        <v>990000</v>
      </c>
      <c r="M592">
        <f>Clean_Data[[#This Row],[Units_Sold]]*Clean_Data[[#This Row],[Cost_Price]]</f>
        <v>668214</v>
      </c>
      <c r="N592">
        <f>Clean_Data[[#This Row],[Total_Sales]]-Clean_Data[[#This Row],[Total_Cost]]</f>
        <v>321786</v>
      </c>
      <c r="O592" s="2">
        <f>Clean_Data[[#This Row],[Profit]]/Clean_Data[[#This Row],[Total_Sales]]</f>
        <v>0.32503636363636362</v>
      </c>
      <c r="P592" t="str">
        <f>_xlfn.XLOOKUP(Clean_Data[[#This Row],[Product_Code]],Product_Catalog!A:A,Product_Catalog!C:C)</f>
        <v>Electronics</v>
      </c>
      <c r="Q592">
        <f>IF(Clean_Data[[#This Row],[Order_Date]]="","",YEAR(Clean_Data[[#This Row],[Order_Date]]))</f>
        <v>2025</v>
      </c>
      <c r="R592" t="str">
        <f>TEXT(Clean_Data[[#This Row],[Order_Date]],"mmm")</f>
        <v>May</v>
      </c>
      <c r="S592" t="str">
        <f>TEXT(Clean_Data[[#This Row],[Order_Date]],"mmm-yy")</f>
        <v>May-25</v>
      </c>
      <c r="V592"/>
    </row>
    <row r="593" spans="1:22" x14ac:dyDescent="0.25">
      <c r="A593" t="s">
        <v>658</v>
      </c>
      <c r="B593" s="1">
        <v>45969</v>
      </c>
      <c r="C593" t="s">
        <v>25</v>
      </c>
      <c r="D593" t="s">
        <v>33</v>
      </c>
      <c r="E593" t="s">
        <v>20</v>
      </c>
      <c r="F593" t="s">
        <v>21</v>
      </c>
      <c r="G593">
        <v>1</v>
      </c>
      <c r="H593">
        <v>8500</v>
      </c>
      <c r="I593">
        <v>6126</v>
      </c>
      <c r="J593" t="s">
        <v>22</v>
      </c>
      <c r="K593" t="s">
        <v>23</v>
      </c>
      <c r="L593">
        <f>SUM(Clean_Data[[#This Row],[Units_Sold]]*Clean_Data[[#This Row],[Unit_Price]])</f>
        <v>8500</v>
      </c>
      <c r="M593">
        <f>Clean_Data[[#This Row],[Units_Sold]]*Clean_Data[[#This Row],[Cost_Price]]</f>
        <v>6126</v>
      </c>
      <c r="N593">
        <f>Clean_Data[[#This Row],[Total_Sales]]-Clean_Data[[#This Row],[Total_Cost]]</f>
        <v>2374</v>
      </c>
      <c r="O593" s="2">
        <f>Clean_Data[[#This Row],[Profit]]/Clean_Data[[#This Row],[Total_Sales]]</f>
        <v>0.2792941176470588</v>
      </c>
      <c r="P593" t="str">
        <f>_xlfn.XLOOKUP(Clean_Data[[#This Row],[Product_Code]],Product_Catalog!A:A,Product_Catalog!C:C)</f>
        <v>Accessories</v>
      </c>
      <c r="Q593">
        <f>IF(Clean_Data[[#This Row],[Order_Date]]="","",YEAR(Clean_Data[[#This Row],[Order_Date]]))</f>
        <v>2025</v>
      </c>
      <c r="R593" t="str">
        <f>TEXT(Clean_Data[[#This Row],[Order_Date]],"mmm")</f>
        <v>Nov</v>
      </c>
      <c r="S593" t="str">
        <f>TEXT(Clean_Data[[#This Row],[Order_Date]],"mmm-yy")</f>
        <v>Nov-25</v>
      </c>
      <c r="V593"/>
    </row>
    <row r="594" spans="1:22" x14ac:dyDescent="0.25">
      <c r="A594" t="s">
        <v>659</v>
      </c>
      <c r="B594" s="1">
        <v>46049</v>
      </c>
      <c r="C594" t="s">
        <v>73</v>
      </c>
      <c r="D594" t="s">
        <v>36</v>
      </c>
      <c r="E594" t="s">
        <v>66</v>
      </c>
      <c r="F594" t="s">
        <v>67</v>
      </c>
      <c r="G594">
        <v>7</v>
      </c>
      <c r="H594">
        <v>2500</v>
      </c>
      <c r="I594">
        <v>1897</v>
      </c>
      <c r="J594" t="s">
        <v>29</v>
      </c>
      <c r="K594" t="s">
        <v>17</v>
      </c>
      <c r="L594">
        <f>SUM(Clean_Data[[#This Row],[Units_Sold]]*Clean_Data[[#This Row],[Unit_Price]])</f>
        <v>17500</v>
      </c>
      <c r="M594">
        <f>Clean_Data[[#This Row],[Units_Sold]]*Clean_Data[[#This Row],[Cost_Price]]</f>
        <v>13279</v>
      </c>
      <c r="N594">
        <f>Clean_Data[[#This Row],[Total_Sales]]-Clean_Data[[#This Row],[Total_Cost]]</f>
        <v>4221</v>
      </c>
      <c r="O594" s="2">
        <f>Clean_Data[[#This Row],[Profit]]/Clean_Data[[#This Row],[Total_Sales]]</f>
        <v>0.2412</v>
      </c>
      <c r="P594" t="str">
        <f>_xlfn.XLOOKUP(Clean_Data[[#This Row],[Product_Code]],Product_Catalog!A:A,Product_Catalog!C:C)</f>
        <v>Electronics</v>
      </c>
      <c r="Q594">
        <f>IF(Clean_Data[[#This Row],[Order_Date]]="","",YEAR(Clean_Data[[#This Row],[Order_Date]]))</f>
        <v>2026</v>
      </c>
      <c r="R594" t="str">
        <f>TEXT(Clean_Data[[#This Row],[Order_Date]],"mmm")</f>
        <v>Jan</v>
      </c>
      <c r="S594" t="str">
        <f>TEXT(Clean_Data[[#This Row],[Order_Date]],"mmm-yy")</f>
        <v>Jan-26</v>
      </c>
      <c r="V594"/>
    </row>
    <row r="595" spans="1:22" x14ac:dyDescent="0.25">
      <c r="A595" t="s">
        <v>660</v>
      </c>
      <c r="B595" s="1">
        <v>46184</v>
      </c>
      <c r="C595" t="s">
        <v>12</v>
      </c>
      <c r="D595" t="s">
        <v>13</v>
      </c>
      <c r="E595" t="s">
        <v>63</v>
      </c>
      <c r="F595" t="s">
        <v>59</v>
      </c>
      <c r="G595">
        <v>3</v>
      </c>
      <c r="H595">
        <v>4500</v>
      </c>
      <c r="I595">
        <v>2921</v>
      </c>
      <c r="J595" t="s">
        <v>29</v>
      </c>
      <c r="K595" t="s">
        <v>17</v>
      </c>
      <c r="L595">
        <f>SUM(Clean_Data[[#This Row],[Units_Sold]]*Clean_Data[[#This Row],[Unit_Price]])</f>
        <v>13500</v>
      </c>
      <c r="M595">
        <f>Clean_Data[[#This Row],[Units_Sold]]*Clean_Data[[#This Row],[Cost_Price]]</f>
        <v>8763</v>
      </c>
      <c r="N595">
        <f>Clean_Data[[#This Row],[Total_Sales]]-Clean_Data[[#This Row],[Total_Cost]]</f>
        <v>4737</v>
      </c>
      <c r="O595" s="2">
        <f>Clean_Data[[#This Row],[Profit]]/Clean_Data[[#This Row],[Total_Sales]]</f>
        <v>0.35088888888888886</v>
      </c>
      <c r="P595" t="str">
        <f>_xlfn.XLOOKUP(Clean_Data[[#This Row],[Product_Code]],Product_Catalog!A:A,Product_Catalog!C:C)</f>
        <v>Electronics</v>
      </c>
      <c r="Q595">
        <f>IF(Clean_Data[[#This Row],[Order_Date]]="","",YEAR(Clean_Data[[#This Row],[Order_Date]]))</f>
        <v>2026</v>
      </c>
      <c r="R595" t="str">
        <f>TEXT(Clean_Data[[#This Row],[Order_Date]],"mmm")</f>
        <v>Jun</v>
      </c>
      <c r="S595" t="str">
        <f>TEXT(Clean_Data[[#This Row],[Order_Date]],"mmm-yy")</f>
        <v>Jun-26</v>
      </c>
      <c r="V595"/>
    </row>
    <row r="596" spans="1:22" x14ac:dyDescent="0.25">
      <c r="A596" t="s">
        <v>661</v>
      </c>
      <c r="B596" s="1">
        <v>45964</v>
      </c>
      <c r="C596" t="s">
        <v>62</v>
      </c>
      <c r="D596" t="s">
        <v>36</v>
      </c>
      <c r="E596" t="s">
        <v>14</v>
      </c>
      <c r="F596" t="s">
        <v>15</v>
      </c>
      <c r="G596">
        <v>17</v>
      </c>
      <c r="H596">
        <v>12500</v>
      </c>
      <c r="I596">
        <v>8890</v>
      </c>
      <c r="J596" t="s">
        <v>45</v>
      </c>
      <c r="K596" t="s">
        <v>23</v>
      </c>
      <c r="L596">
        <f>SUM(Clean_Data[[#This Row],[Units_Sold]]*Clean_Data[[#This Row],[Unit_Price]])</f>
        <v>212500</v>
      </c>
      <c r="M596">
        <f>Clean_Data[[#This Row],[Units_Sold]]*Clean_Data[[#This Row],[Cost_Price]]</f>
        <v>151130</v>
      </c>
      <c r="N596">
        <f>Clean_Data[[#This Row],[Total_Sales]]-Clean_Data[[#This Row],[Total_Cost]]</f>
        <v>61370</v>
      </c>
      <c r="O596" s="2">
        <f>Clean_Data[[#This Row],[Profit]]/Clean_Data[[#This Row],[Total_Sales]]</f>
        <v>0.2888</v>
      </c>
      <c r="P596" t="str">
        <f>_xlfn.XLOOKUP(Clean_Data[[#This Row],[Product_Code]],Product_Catalog!A:A,Product_Catalog!C:C)</f>
        <v>Accessories</v>
      </c>
      <c r="Q596">
        <f>IF(Clean_Data[[#This Row],[Order_Date]]="","",YEAR(Clean_Data[[#This Row],[Order_Date]]))</f>
        <v>2025</v>
      </c>
      <c r="R596" t="str">
        <f>TEXT(Clean_Data[[#This Row],[Order_Date]],"mmm")</f>
        <v>Nov</v>
      </c>
      <c r="S596" t="str">
        <f>TEXT(Clean_Data[[#This Row],[Order_Date]],"mmm-yy")</f>
        <v>Nov-25</v>
      </c>
      <c r="V596"/>
    </row>
    <row r="597" spans="1:22" x14ac:dyDescent="0.25">
      <c r="A597" t="s">
        <v>662</v>
      </c>
      <c r="B597" s="1">
        <v>46001</v>
      </c>
      <c r="C597" t="s">
        <v>25</v>
      </c>
      <c r="D597" t="s">
        <v>40</v>
      </c>
      <c r="E597" t="s">
        <v>41</v>
      </c>
      <c r="F597" t="s">
        <v>42</v>
      </c>
      <c r="G597">
        <v>12</v>
      </c>
      <c r="H597">
        <v>28000</v>
      </c>
      <c r="I597">
        <v>21688</v>
      </c>
      <c r="J597" t="s">
        <v>29</v>
      </c>
      <c r="K597" t="s">
        <v>46</v>
      </c>
      <c r="L597">
        <f>SUM(Clean_Data[[#This Row],[Units_Sold]]*Clean_Data[[#This Row],[Unit_Price]])</f>
        <v>336000</v>
      </c>
      <c r="M597">
        <f>Clean_Data[[#This Row],[Units_Sold]]*Clean_Data[[#This Row],[Cost_Price]]</f>
        <v>260256</v>
      </c>
      <c r="N597">
        <f>Clean_Data[[#This Row],[Total_Sales]]-Clean_Data[[#This Row],[Total_Cost]]</f>
        <v>75744</v>
      </c>
      <c r="O597" s="2">
        <f>Clean_Data[[#This Row],[Profit]]/Clean_Data[[#This Row],[Total_Sales]]</f>
        <v>0.22542857142857142</v>
      </c>
      <c r="P597" t="str">
        <f>_xlfn.XLOOKUP(Clean_Data[[#This Row],[Product_Code]],Product_Catalog!A:A,Product_Catalog!C:C)</f>
        <v>Electronics</v>
      </c>
      <c r="Q597">
        <f>IF(Clean_Data[[#This Row],[Order_Date]]="","",YEAR(Clean_Data[[#This Row],[Order_Date]]))</f>
        <v>2025</v>
      </c>
      <c r="R597" t="str">
        <f>TEXT(Clean_Data[[#This Row],[Order_Date]],"mmm")</f>
        <v>Dec</v>
      </c>
      <c r="S597" t="str">
        <f>TEXT(Clean_Data[[#This Row],[Order_Date]],"mmm-yy")</f>
        <v>Dec-25</v>
      </c>
      <c r="V597"/>
    </row>
    <row r="598" spans="1:22" x14ac:dyDescent="0.25">
      <c r="A598" t="s">
        <v>663</v>
      </c>
      <c r="B598" s="1">
        <v>45979</v>
      </c>
      <c r="C598" t="s">
        <v>53</v>
      </c>
      <c r="D598" t="s">
        <v>40</v>
      </c>
      <c r="E598" t="s">
        <v>14</v>
      </c>
      <c r="F598" t="s">
        <v>15</v>
      </c>
      <c r="G598">
        <v>11</v>
      </c>
      <c r="H598">
        <v>12500</v>
      </c>
      <c r="I598">
        <v>8378</v>
      </c>
      <c r="J598" t="s">
        <v>16</v>
      </c>
      <c r="K598" t="s">
        <v>17</v>
      </c>
      <c r="L598">
        <f>SUM(Clean_Data[[#This Row],[Units_Sold]]*Clean_Data[[#This Row],[Unit_Price]])</f>
        <v>137500</v>
      </c>
      <c r="M598">
        <f>Clean_Data[[#This Row],[Units_Sold]]*Clean_Data[[#This Row],[Cost_Price]]</f>
        <v>92158</v>
      </c>
      <c r="N598">
        <f>Clean_Data[[#This Row],[Total_Sales]]-Clean_Data[[#This Row],[Total_Cost]]</f>
        <v>45342</v>
      </c>
      <c r="O598" s="2">
        <f>Clean_Data[[#This Row],[Profit]]/Clean_Data[[#This Row],[Total_Sales]]</f>
        <v>0.32976</v>
      </c>
      <c r="P598" t="str">
        <f>_xlfn.XLOOKUP(Clean_Data[[#This Row],[Product_Code]],Product_Catalog!A:A,Product_Catalog!C:C)</f>
        <v>Accessories</v>
      </c>
      <c r="Q598">
        <f>IF(Clean_Data[[#This Row],[Order_Date]]="","",YEAR(Clean_Data[[#This Row],[Order_Date]]))</f>
        <v>2025</v>
      </c>
      <c r="R598" t="str">
        <f>TEXT(Clean_Data[[#This Row],[Order_Date]],"mmm")</f>
        <v>Nov</v>
      </c>
      <c r="S598" t="str">
        <f>TEXT(Clean_Data[[#This Row],[Order_Date]],"mmm-yy")</f>
        <v>Nov-25</v>
      </c>
      <c r="V598"/>
    </row>
    <row r="599" spans="1:22" x14ac:dyDescent="0.25">
      <c r="A599" t="s">
        <v>664</v>
      </c>
      <c r="B599" s="1">
        <v>45739</v>
      </c>
      <c r="C599" t="s">
        <v>19</v>
      </c>
      <c r="D599" t="s">
        <v>26</v>
      </c>
      <c r="E599" t="s">
        <v>14</v>
      </c>
      <c r="F599" t="s">
        <v>15</v>
      </c>
      <c r="G599">
        <v>4</v>
      </c>
      <c r="H599">
        <v>12500</v>
      </c>
      <c r="I599">
        <v>8847</v>
      </c>
      <c r="J599" t="s">
        <v>45</v>
      </c>
      <c r="K599" t="s">
        <v>46</v>
      </c>
      <c r="L599">
        <f>SUM(Clean_Data[[#This Row],[Units_Sold]]*Clean_Data[[#This Row],[Unit_Price]])</f>
        <v>50000</v>
      </c>
      <c r="M599">
        <f>Clean_Data[[#This Row],[Units_Sold]]*Clean_Data[[#This Row],[Cost_Price]]</f>
        <v>35388</v>
      </c>
      <c r="N599">
        <f>Clean_Data[[#This Row],[Total_Sales]]-Clean_Data[[#This Row],[Total_Cost]]</f>
        <v>14612</v>
      </c>
      <c r="O599" s="2">
        <f>Clean_Data[[#This Row],[Profit]]/Clean_Data[[#This Row],[Total_Sales]]</f>
        <v>0.29224</v>
      </c>
      <c r="P599" t="str">
        <f>_xlfn.XLOOKUP(Clean_Data[[#This Row],[Product_Code]],Product_Catalog!A:A,Product_Catalog!C:C)</f>
        <v>Accessories</v>
      </c>
      <c r="Q599">
        <f>IF(Clean_Data[[#This Row],[Order_Date]]="","",YEAR(Clean_Data[[#This Row],[Order_Date]]))</f>
        <v>2025</v>
      </c>
      <c r="R599" t="str">
        <f>TEXT(Clean_Data[[#This Row],[Order_Date]],"mmm")</f>
        <v>Mar</v>
      </c>
      <c r="S599" t="str">
        <f>TEXT(Clean_Data[[#This Row],[Order_Date]],"mmm-yy")</f>
        <v>Mar-25</v>
      </c>
      <c r="V599"/>
    </row>
    <row r="600" spans="1:22" x14ac:dyDescent="0.25">
      <c r="A600" t="s">
        <v>665</v>
      </c>
      <c r="B600" s="1">
        <v>45963</v>
      </c>
      <c r="C600" t="s">
        <v>31</v>
      </c>
      <c r="D600" t="s">
        <v>26</v>
      </c>
      <c r="E600" t="s">
        <v>20</v>
      </c>
      <c r="F600" t="s">
        <v>21</v>
      </c>
      <c r="G600">
        <v>3</v>
      </c>
      <c r="H600">
        <v>8500</v>
      </c>
      <c r="I600">
        <v>5123</v>
      </c>
      <c r="J600" t="s">
        <v>22</v>
      </c>
      <c r="K600" t="s">
        <v>23</v>
      </c>
      <c r="L600">
        <f>SUM(Clean_Data[[#This Row],[Units_Sold]]*Clean_Data[[#This Row],[Unit_Price]])</f>
        <v>25500</v>
      </c>
      <c r="M600">
        <f>Clean_Data[[#This Row],[Units_Sold]]*Clean_Data[[#This Row],[Cost_Price]]</f>
        <v>15369</v>
      </c>
      <c r="N600">
        <f>Clean_Data[[#This Row],[Total_Sales]]-Clean_Data[[#This Row],[Total_Cost]]</f>
        <v>10131</v>
      </c>
      <c r="O600" s="2">
        <f>Clean_Data[[#This Row],[Profit]]/Clean_Data[[#This Row],[Total_Sales]]</f>
        <v>0.3972941176470588</v>
      </c>
      <c r="P600" t="str">
        <f>_xlfn.XLOOKUP(Clean_Data[[#This Row],[Product_Code]],Product_Catalog!A:A,Product_Catalog!C:C)</f>
        <v>Accessories</v>
      </c>
      <c r="Q600">
        <f>IF(Clean_Data[[#This Row],[Order_Date]]="","",YEAR(Clean_Data[[#This Row],[Order_Date]]))</f>
        <v>2025</v>
      </c>
      <c r="R600" t="str">
        <f>TEXT(Clean_Data[[#This Row],[Order_Date]],"mmm")</f>
        <v>Nov</v>
      </c>
      <c r="S600" t="str">
        <f>TEXT(Clean_Data[[#This Row],[Order_Date]],"mmm-yy")</f>
        <v>Nov-25</v>
      </c>
      <c r="V600"/>
    </row>
    <row r="601" spans="1:22" x14ac:dyDescent="0.25">
      <c r="A601" t="s">
        <v>666</v>
      </c>
      <c r="B601" s="1">
        <v>46111</v>
      </c>
      <c r="C601" t="s">
        <v>62</v>
      </c>
      <c r="D601" t="s">
        <v>26</v>
      </c>
      <c r="E601" t="s">
        <v>49</v>
      </c>
      <c r="F601" t="s">
        <v>50</v>
      </c>
      <c r="G601">
        <v>10</v>
      </c>
      <c r="H601">
        <v>75000</v>
      </c>
      <c r="I601">
        <v>57506</v>
      </c>
      <c r="J601" t="s">
        <v>16</v>
      </c>
      <c r="K601" t="s">
        <v>17</v>
      </c>
      <c r="L601">
        <f>SUM(Clean_Data[[#This Row],[Units_Sold]]*Clean_Data[[#This Row],[Unit_Price]])</f>
        <v>750000</v>
      </c>
      <c r="M601">
        <f>Clean_Data[[#This Row],[Units_Sold]]*Clean_Data[[#This Row],[Cost_Price]]</f>
        <v>575060</v>
      </c>
      <c r="N601">
        <f>Clean_Data[[#This Row],[Total_Sales]]-Clean_Data[[#This Row],[Total_Cost]]</f>
        <v>174940</v>
      </c>
      <c r="O601" s="2">
        <f>Clean_Data[[#This Row],[Profit]]/Clean_Data[[#This Row],[Total_Sales]]</f>
        <v>0.23325333333333334</v>
      </c>
      <c r="P601" t="str">
        <f>_xlfn.XLOOKUP(Clean_Data[[#This Row],[Product_Code]],Product_Catalog!A:A,Product_Catalog!C:C)</f>
        <v>Electronics</v>
      </c>
      <c r="Q601">
        <f>IF(Clean_Data[[#This Row],[Order_Date]]="","",YEAR(Clean_Data[[#This Row],[Order_Date]]))</f>
        <v>2026</v>
      </c>
      <c r="R601" t="str">
        <f>TEXT(Clean_Data[[#This Row],[Order_Date]],"mmm")</f>
        <v>Mar</v>
      </c>
      <c r="S601" t="str">
        <f>TEXT(Clean_Data[[#This Row],[Order_Date]],"mmm-yy")</f>
        <v>Mar-26</v>
      </c>
      <c r="V601"/>
    </row>
    <row r="602" spans="1:22" x14ac:dyDescent="0.25">
      <c r="A602" t="s">
        <v>667</v>
      </c>
      <c r="B602" s="1">
        <v>45798</v>
      </c>
      <c r="C602" t="s">
        <v>73</v>
      </c>
      <c r="D602" t="s">
        <v>13</v>
      </c>
      <c r="E602" t="s">
        <v>37</v>
      </c>
      <c r="F602" t="s">
        <v>38</v>
      </c>
      <c r="G602">
        <v>8</v>
      </c>
      <c r="H602">
        <v>55000</v>
      </c>
      <c r="I602">
        <v>35189</v>
      </c>
      <c r="J602" t="s">
        <v>22</v>
      </c>
      <c r="K602" t="s">
        <v>17</v>
      </c>
      <c r="L602">
        <f>SUM(Clean_Data[[#This Row],[Units_Sold]]*Clean_Data[[#This Row],[Unit_Price]])</f>
        <v>440000</v>
      </c>
      <c r="M602">
        <f>Clean_Data[[#This Row],[Units_Sold]]*Clean_Data[[#This Row],[Cost_Price]]</f>
        <v>281512</v>
      </c>
      <c r="N602">
        <f>Clean_Data[[#This Row],[Total_Sales]]-Clean_Data[[#This Row],[Total_Cost]]</f>
        <v>158488</v>
      </c>
      <c r="O602" s="2">
        <f>Clean_Data[[#This Row],[Profit]]/Clean_Data[[#This Row],[Total_Sales]]</f>
        <v>0.36020000000000002</v>
      </c>
      <c r="P602" t="str">
        <f>_xlfn.XLOOKUP(Clean_Data[[#This Row],[Product_Code]],Product_Catalog!A:A,Product_Catalog!C:C)</f>
        <v>Electronics</v>
      </c>
      <c r="Q602">
        <f>IF(Clean_Data[[#This Row],[Order_Date]]="","",YEAR(Clean_Data[[#This Row],[Order_Date]]))</f>
        <v>2025</v>
      </c>
      <c r="R602" t="str">
        <f>TEXT(Clean_Data[[#This Row],[Order_Date]],"mmm")</f>
        <v>May</v>
      </c>
      <c r="S602" t="str">
        <f>TEXT(Clean_Data[[#This Row],[Order_Date]],"mmm-yy")</f>
        <v>May-25</v>
      </c>
      <c r="V602"/>
    </row>
    <row r="603" spans="1:22" x14ac:dyDescent="0.25">
      <c r="A603" t="s">
        <v>668</v>
      </c>
      <c r="B603" s="1">
        <v>46136</v>
      </c>
      <c r="C603" t="s">
        <v>19</v>
      </c>
      <c r="D603" t="s">
        <v>13</v>
      </c>
      <c r="E603" t="s">
        <v>63</v>
      </c>
      <c r="F603" t="s">
        <v>59</v>
      </c>
      <c r="G603">
        <v>9</v>
      </c>
      <c r="H603">
        <v>4500</v>
      </c>
      <c r="I603">
        <v>3491</v>
      </c>
      <c r="J603" t="s">
        <v>22</v>
      </c>
      <c r="K603" t="s">
        <v>17</v>
      </c>
      <c r="L603">
        <f>SUM(Clean_Data[[#This Row],[Units_Sold]]*Clean_Data[[#This Row],[Unit_Price]])</f>
        <v>40500</v>
      </c>
      <c r="M603">
        <f>Clean_Data[[#This Row],[Units_Sold]]*Clean_Data[[#This Row],[Cost_Price]]</f>
        <v>31419</v>
      </c>
      <c r="N603">
        <f>Clean_Data[[#This Row],[Total_Sales]]-Clean_Data[[#This Row],[Total_Cost]]</f>
        <v>9081</v>
      </c>
      <c r="O603" s="2">
        <f>Clean_Data[[#This Row],[Profit]]/Clean_Data[[#This Row],[Total_Sales]]</f>
        <v>0.22422222222222221</v>
      </c>
      <c r="P603" t="str">
        <f>_xlfn.XLOOKUP(Clean_Data[[#This Row],[Product_Code]],Product_Catalog!A:A,Product_Catalog!C:C)</f>
        <v>Electronics</v>
      </c>
      <c r="Q603">
        <f>IF(Clean_Data[[#This Row],[Order_Date]]="","",YEAR(Clean_Data[[#This Row],[Order_Date]]))</f>
        <v>2026</v>
      </c>
      <c r="R603" t="str">
        <f>TEXT(Clean_Data[[#This Row],[Order_Date]],"mmm")</f>
        <v>Apr</v>
      </c>
      <c r="S603" t="str">
        <f>TEXT(Clean_Data[[#This Row],[Order_Date]],"mmm-yy")</f>
        <v>Apr-26</v>
      </c>
      <c r="V603"/>
    </row>
    <row r="604" spans="1:22" x14ac:dyDescent="0.25">
      <c r="A604" t="s">
        <v>669</v>
      </c>
      <c r="B604" s="1">
        <v>46249</v>
      </c>
      <c r="C604" t="s">
        <v>19</v>
      </c>
      <c r="D604" t="s">
        <v>33</v>
      </c>
      <c r="E604" t="s">
        <v>14</v>
      </c>
      <c r="F604" t="s">
        <v>15</v>
      </c>
      <c r="G604">
        <v>9</v>
      </c>
      <c r="H604">
        <v>12500</v>
      </c>
      <c r="I604">
        <v>9182</v>
      </c>
      <c r="J604" t="s">
        <v>45</v>
      </c>
      <c r="K604" t="s">
        <v>17</v>
      </c>
      <c r="L604">
        <f>SUM(Clean_Data[[#This Row],[Units_Sold]]*Clean_Data[[#This Row],[Unit_Price]])</f>
        <v>112500</v>
      </c>
      <c r="M604">
        <f>Clean_Data[[#This Row],[Units_Sold]]*Clean_Data[[#This Row],[Cost_Price]]</f>
        <v>82638</v>
      </c>
      <c r="N604">
        <f>Clean_Data[[#This Row],[Total_Sales]]-Clean_Data[[#This Row],[Total_Cost]]</f>
        <v>29862</v>
      </c>
      <c r="O604" s="2">
        <f>Clean_Data[[#This Row],[Profit]]/Clean_Data[[#This Row],[Total_Sales]]</f>
        <v>0.26544000000000001</v>
      </c>
      <c r="P604" t="str">
        <f>_xlfn.XLOOKUP(Clean_Data[[#This Row],[Product_Code]],Product_Catalog!A:A,Product_Catalog!C:C)</f>
        <v>Accessories</v>
      </c>
      <c r="Q604">
        <f>IF(Clean_Data[[#This Row],[Order_Date]]="","",YEAR(Clean_Data[[#This Row],[Order_Date]]))</f>
        <v>2026</v>
      </c>
      <c r="R604" t="str">
        <f>TEXT(Clean_Data[[#This Row],[Order_Date]],"mmm")</f>
        <v>Aug</v>
      </c>
      <c r="S604" t="str">
        <f>TEXT(Clean_Data[[#This Row],[Order_Date]],"mmm-yy")</f>
        <v>Aug-26</v>
      </c>
      <c r="V604"/>
    </row>
    <row r="605" spans="1:22" x14ac:dyDescent="0.25">
      <c r="A605" t="s">
        <v>670</v>
      </c>
      <c r="B605" s="1">
        <v>46024</v>
      </c>
      <c r="C605" t="s">
        <v>73</v>
      </c>
      <c r="D605" t="s">
        <v>26</v>
      </c>
      <c r="E605" t="s">
        <v>66</v>
      </c>
      <c r="F605" t="s">
        <v>67</v>
      </c>
      <c r="G605">
        <v>15</v>
      </c>
      <c r="H605">
        <v>2500</v>
      </c>
      <c r="I605">
        <v>1891</v>
      </c>
      <c r="J605" t="s">
        <v>29</v>
      </c>
      <c r="K605" t="s">
        <v>23</v>
      </c>
      <c r="L605">
        <f>SUM(Clean_Data[[#This Row],[Units_Sold]]*Clean_Data[[#This Row],[Unit_Price]])</f>
        <v>37500</v>
      </c>
      <c r="M605">
        <f>Clean_Data[[#This Row],[Units_Sold]]*Clean_Data[[#This Row],[Cost_Price]]</f>
        <v>28365</v>
      </c>
      <c r="N605">
        <f>Clean_Data[[#This Row],[Total_Sales]]-Clean_Data[[#This Row],[Total_Cost]]</f>
        <v>9135</v>
      </c>
      <c r="O605" s="2">
        <f>Clean_Data[[#This Row],[Profit]]/Clean_Data[[#This Row],[Total_Sales]]</f>
        <v>0.24360000000000001</v>
      </c>
      <c r="P605" t="str">
        <f>_xlfn.XLOOKUP(Clean_Data[[#This Row],[Product_Code]],Product_Catalog!A:A,Product_Catalog!C:C)</f>
        <v>Electronics</v>
      </c>
      <c r="Q605">
        <f>IF(Clean_Data[[#This Row],[Order_Date]]="","",YEAR(Clean_Data[[#This Row],[Order_Date]]))</f>
        <v>2026</v>
      </c>
      <c r="R605" t="str">
        <f>TEXT(Clean_Data[[#This Row],[Order_Date]],"mmm")</f>
        <v>Jan</v>
      </c>
      <c r="S605" t="str">
        <f>TEXT(Clean_Data[[#This Row],[Order_Date]],"mmm-yy")</f>
        <v>Jan-26</v>
      </c>
      <c r="V605"/>
    </row>
    <row r="606" spans="1:22" x14ac:dyDescent="0.25">
      <c r="A606" t="s">
        <v>671</v>
      </c>
      <c r="B606" s="1">
        <v>46179</v>
      </c>
      <c r="C606" t="s">
        <v>12</v>
      </c>
      <c r="D606" t="s">
        <v>40</v>
      </c>
      <c r="E606" t="s">
        <v>41</v>
      </c>
      <c r="F606" t="s">
        <v>42</v>
      </c>
      <c r="G606">
        <v>12</v>
      </c>
      <c r="H606">
        <v>28000</v>
      </c>
      <c r="I606">
        <v>17399</v>
      </c>
      <c r="J606" t="s">
        <v>45</v>
      </c>
      <c r="K606" t="s">
        <v>23</v>
      </c>
      <c r="L606">
        <f>SUM(Clean_Data[[#This Row],[Units_Sold]]*Clean_Data[[#This Row],[Unit_Price]])</f>
        <v>336000</v>
      </c>
      <c r="M606">
        <f>Clean_Data[[#This Row],[Units_Sold]]*Clean_Data[[#This Row],[Cost_Price]]</f>
        <v>208788</v>
      </c>
      <c r="N606">
        <f>Clean_Data[[#This Row],[Total_Sales]]-Clean_Data[[#This Row],[Total_Cost]]</f>
        <v>127212</v>
      </c>
      <c r="O606" s="2">
        <f>Clean_Data[[#This Row],[Profit]]/Clean_Data[[#This Row],[Total_Sales]]</f>
        <v>0.37860714285714286</v>
      </c>
      <c r="P606" t="str">
        <f>_xlfn.XLOOKUP(Clean_Data[[#This Row],[Product_Code]],Product_Catalog!A:A,Product_Catalog!C:C)</f>
        <v>Electronics</v>
      </c>
      <c r="Q606">
        <f>IF(Clean_Data[[#This Row],[Order_Date]]="","",YEAR(Clean_Data[[#This Row],[Order_Date]]))</f>
        <v>2026</v>
      </c>
      <c r="R606" t="str">
        <f>TEXT(Clean_Data[[#This Row],[Order_Date]],"mmm")</f>
        <v>Jun</v>
      </c>
      <c r="S606" t="str">
        <f>TEXT(Clean_Data[[#This Row],[Order_Date]],"mmm-yy")</f>
        <v>Jun-26</v>
      </c>
      <c r="V606"/>
    </row>
    <row r="607" spans="1:22" x14ac:dyDescent="0.25">
      <c r="A607" t="s">
        <v>673</v>
      </c>
      <c r="B607" s="1">
        <v>46015</v>
      </c>
      <c r="C607" t="s">
        <v>48</v>
      </c>
      <c r="D607" t="s">
        <v>13</v>
      </c>
      <c r="E607" t="s">
        <v>20</v>
      </c>
      <c r="F607" t="s">
        <v>21</v>
      </c>
      <c r="G607">
        <v>12</v>
      </c>
      <c r="H607">
        <v>8500</v>
      </c>
      <c r="I607">
        <v>5294</v>
      </c>
      <c r="J607" t="s">
        <v>29</v>
      </c>
      <c r="K607" t="s">
        <v>17</v>
      </c>
      <c r="L607">
        <f>SUM(Clean_Data[[#This Row],[Units_Sold]]*Clean_Data[[#This Row],[Unit_Price]])</f>
        <v>102000</v>
      </c>
      <c r="M607">
        <f>Clean_Data[[#This Row],[Units_Sold]]*Clean_Data[[#This Row],[Cost_Price]]</f>
        <v>63528</v>
      </c>
      <c r="N607">
        <f>Clean_Data[[#This Row],[Total_Sales]]-Clean_Data[[#This Row],[Total_Cost]]</f>
        <v>38472</v>
      </c>
      <c r="O607" s="2">
        <f>Clean_Data[[#This Row],[Profit]]/Clean_Data[[#This Row],[Total_Sales]]</f>
        <v>0.37717647058823528</v>
      </c>
      <c r="P607" t="str">
        <f>_xlfn.XLOOKUP(Clean_Data[[#This Row],[Product_Code]],Product_Catalog!A:A,Product_Catalog!C:C)</f>
        <v>Accessories</v>
      </c>
      <c r="Q607">
        <f>IF(Clean_Data[[#This Row],[Order_Date]]="","",YEAR(Clean_Data[[#This Row],[Order_Date]]))</f>
        <v>2025</v>
      </c>
      <c r="R607" t="str">
        <f>TEXT(Clean_Data[[#This Row],[Order_Date]],"mmm")</f>
        <v>Dec</v>
      </c>
      <c r="S607" t="str">
        <f>TEXT(Clean_Data[[#This Row],[Order_Date]],"mmm-yy")</f>
        <v>Dec-25</v>
      </c>
      <c r="V607"/>
    </row>
    <row r="608" spans="1:22" x14ac:dyDescent="0.25">
      <c r="A608" t="s">
        <v>674</v>
      </c>
      <c r="B608" s="1">
        <v>45707</v>
      </c>
      <c r="C608" t="s">
        <v>31</v>
      </c>
      <c r="D608" t="s">
        <v>36</v>
      </c>
      <c r="E608" t="s">
        <v>41</v>
      </c>
      <c r="F608" t="s">
        <v>42</v>
      </c>
      <c r="G608">
        <v>6</v>
      </c>
      <c r="H608">
        <v>28000</v>
      </c>
      <c r="I608">
        <v>17760</v>
      </c>
      <c r="J608" t="s">
        <v>29</v>
      </c>
      <c r="K608" t="s">
        <v>17</v>
      </c>
      <c r="L608">
        <f>SUM(Clean_Data[[#This Row],[Units_Sold]]*Clean_Data[[#This Row],[Unit_Price]])</f>
        <v>168000</v>
      </c>
      <c r="M608">
        <f>Clean_Data[[#This Row],[Units_Sold]]*Clean_Data[[#This Row],[Cost_Price]]</f>
        <v>106560</v>
      </c>
      <c r="N608">
        <f>Clean_Data[[#This Row],[Total_Sales]]-Clean_Data[[#This Row],[Total_Cost]]</f>
        <v>61440</v>
      </c>
      <c r="O608" s="2">
        <f>Clean_Data[[#This Row],[Profit]]/Clean_Data[[#This Row],[Total_Sales]]</f>
        <v>0.36571428571428571</v>
      </c>
      <c r="P608" t="str">
        <f>_xlfn.XLOOKUP(Clean_Data[[#This Row],[Product_Code]],Product_Catalog!A:A,Product_Catalog!C:C)</f>
        <v>Electronics</v>
      </c>
      <c r="Q608">
        <f>IF(Clean_Data[[#This Row],[Order_Date]]="","",YEAR(Clean_Data[[#This Row],[Order_Date]]))</f>
        <v>2025</v>
      </c>
      <c r="R608" t="str">
        <f>TEXT(Clean_Data[[#This Row],[Order_Date]],"mmm")</f>
        <v>Feb</v>
      </c>
      <c r="S608" t="str">
        <f>TEXT(Clean_Data[[#This Row],[Order_Date]],"mmm-yy")</f>
        <v>Feb-25</v>
      </c>
      <c r="V608"/>
    </row>
    <row r="609" spans="1:22" x14ac:dyDescent="0.25">
      <c r="A609" t="s">
        <v>675</v>
      </c>
      <c r="B609" s="1">
        <v>45985</v>
      </c>
      <c r="C609" t="s">
        <v>62</v>
      </c>
      <c r="D609" t="s">
        <v>13</v>
      </c>
      <c r="E609" t="s">
        <v>66</v>
      </c>
      <c r="F609" t="s">
        <v>67</v>
      </c>
      <c r="G609">
        <v>12</v>
      </c>
      <c r="H609">
        <v>2500</v>
      </c>
      <c r="I609">
        <v>1535</v>
      </c>
      <c r="J609" t="s">
        <v>29</v>
      </c>
      <c r="K609" t="s">
        <v>46</v>
      </c>
      <c r="L609">
        <f>SUM(Clean_Data[[#This Row],[Units_Sold]]*Clean_Data[[#This Row],[Unit_Price]])</f>
        <v>30000</v>
      </c>
      <c r="M609">
        <f>Clean_Data[[#This Row],[Units_Sold]]*Clean_Data[[#This Row],[Cost_Price]]</f>
        <v>18420</v>
      </c>
      <c r="N609">
        <f>Clean_Data[[#This Row],[Total_Sales]]-Clean_Data[[#This Row],[Total_Cost]]</f>
        <v>11580</v>
      </c>
      <c r="O609" s="2">
        <f>Clean_Data[[#This Row],[Profit]]/Clean_Data[[#This Row],[Total_Sales]]</f>
        <v>0.38600000000000001</v>
      </c>
      <c r="P609" t="str">
        <f>_xlfn.XLOOKUP(Clean_Data[[#This Row],[Product_Code]],Product_Catalog!A:A,Product_Catalog!C:C)</f>
        <v>Electronics</v>
      </c>
      <c r="Q609">
        <f>IF(Clean_Data[[#This Row],[Order_Date]]="","",YEAR(Clean_Data[[#This Row],[Order_Date]]))</f>
        <v>2025</v>
      </c>
      <c r="R609" t="str">
        <f>TEXT(Clean_Data[[#This Row],[Order_Date]],"mmm")</f>
        <v>Nov</v>
      </c>
      <c r="S609" t="str">
        <f>TEXT(Clean_Data[[#This Row],[Order_Date]],"mmm-yy")</f>
        <v>Nov-25</v>
      </c>
      <c r="V609"/>
    </row>
    <row r="610" spans="1:22" x14ac:dyDescent="0.25">
      <c r="A610" t="s">
        <v>676</v>
      </c>
      <c r="B610" s="1">
        <v>46250</v>
      </c>
      <c r="C610" t="s">
        <v>53</v>
      </c>
      <c r="D610" t="s">
        <v>40</v>
      </c>
      <c r="E610" t="s">
        <v>20</v>
      </c>
      <c r="F610" t="s">
        <v>21</v>
      </c>
      <c r="G610">
        <v>12</v>
      </c>
      <c r="H610">
        <v>8500</v>
      </c>
      <c r="I610">
        <v>5102</v>
      </c>
      <c r="J610" t="s">
        <v>45</v>
      </c>
      <c r="K610" t="s">
        <v>23</v>
      </c>
      <c r="L610">
        <f>SUM(Clean_Data[[#This Row],[Units_Sold]]*Clean_Data[[#This Row],[Unit_Price]])</f>
        <v>102000</v>
      </c>
      <c r="M610">
        <f>Clean_Data[[#This Row],[Units_Sold]]*Clean_Data[[#This Row],[Cost_Price]]</f>
        <v>61224</v>
      </c>
      <c r="N610">
        <f>Clean_Data[[#This Row],[Total_Sales]]-Clean_Data[[#This Row],[Total_Cost]]</f>
        <v>40776</v>
      </c>
      <c r="O610" s="2">
        <f>Clean_Data[[#This Row],[Profit]]/Clean_Data[[#This Row],[Total_Sales]]</f>
        <v>0.39976470588235297</v>
      </c>
      <c r="P610" t="str">
        <f>_xlfn.XLOOKUP(Clean_Data[[#This Row],[Product_Code]],Product_Catalog!A:A,Product_Catalog!C:C)</f>
        <v>Accessories</v>
      </c>
      <c r="Q610">
        <f>IF(Clean_Data[[#This Row],[Order_Date]]="","",YEAR(Clean_Data[[#This Row],[Order_Date]]))</f>
        <v>2026</v>
      </c>
      <c r="R610" t="str">
        <f>TEXT(Clean_Data[[#This Row],[Order_Date]],"mmm")</f>
        <v>Aug</v>
      </c>
      <c r="S610" t="str">
        <f>TEXT(Clean_Data[[#This Row],[Order_Date]],"mmm-yy")</f>
        <v>Aug-26</v>
      </c>
      <c r="V610"/>
    </row>
    <row r="611" spans="1:22" x14ac:dyDescent="0.25">
      <c r="A611" t="s">
        <v>677</v>
      </c>
      <c r="B611" s="1">
        <v>46125</v>
      </c>
      <c r="C611" t="s">
        <v>12</v>
      </c>
      <c r="D611" t="s">
        <v>33</v>
      </c>
      <c r="E611" t="s">
        <v>55</v>
      </c>
      <c r="F611" t="s">
        <v>34</v>
      </c>
      <c r="G611">
        <v>7</v>
      </c>
      <c r="H611">
        <v>35000</v>
      </c>
      <c r="I611">
        <v>21863</v>
      </c>
      <c r="J611" t="s">
        <v>29</v>
      </c>
      <c r="K611" t="s">
        <v>46</v>
      </c>
      <c r="L611">
        <f>SUM(Clean_Data[[#This Row],[Units_Sold]]*Clean_Data[[#This Row],[Unit_Price]])</f>
        <v>245000</v>
      </c>
      <c r="M611">
        <f>Clean_Data[[#This Row],[Units_Sold]]*Clean_Data[[#This Row],[Cost_Price]]</f>
        <v>153041</v>
      </c>
      <c r="N611">
        <f>Clean_Data[[#This Row],[Total_Sales]]-Clean_Data[[#This Row],[Total_Cost]]</f>
        <v>91959</v>
      </c>
      <c r="O611" s="2">
        <f>Clean_Data[[#This Row],[Profit]]/Clean_Data[[#This Row],[Total_Sales]]</f>
        <v>0.37534285714285714</v>
      </c>
      <c r="P611" t="str">
        <f>_xlfn.XLOOKUP(Clean_Data[[#This Row],[Product_Code]],Product_Catalog!A:A,Product_Catalog!C:C)</f>
        <v>Furniture</v>
      </c>
      <c r="Q611">
        <f>IF(Clean_Data[[#This Row],[Order_Date]]="","",YEAR(Clean_Data[[#This Row],[Order_Date]]))</f>
        <v>2026</v>
      </c>
      <c r="R611" t="str">
        <f>TEXT(Clean_Data[[#This Row],[Order_Date]],"mmm")</f>
        <v>Apr</v>
      </c>
      <c r="S611" t="str">
        <f>TEXT(Clean_Data[[#This Row],[Order_Date]],"mmm-yy")</f>
        <v>Apr-26</v>
      </c>
      <c r="V611"/>
    </row>
    <row r="612" spans="1:22" x14ac:dyDescent="0.25">
      <c r="A612" t="s">
        <v>678</v>
      </c>
      <c r="B612" s="1">
        <v>46219</v>
      </c>
      <c r="C612" t="s">
        <v>73</v>
      </c>
      <c r="D612" t="s">
        <v>40</v>
      </c>
      <c r="E612" t="s">
        <v>20</v>
      </c>
      <c r="F612" t="s">
        <v>21</v>
      </c>
      <c r="G612">
        <v>18</v>
      </c>
      <c r="H612">
        <v>8500</v>
      </c>
      <c r="I612">
        <v>5230</v>
      </c>
      <c r="J612" t="s">
        <v>45</v>
      </c>
      <c r="K612" t="s">
        <v>46</v>
      </c>
      <c r="L612">
        <f>SUM(Clean_Data[[#This Row],[Units_Sold]]*Clean_Data[[#This Row],[Unit_Price]])</f>
        <v>153000</v>
      </c>
      <c r="M612">
        <f>Clean_Data[[#This Row],[Units_Sold]]*Clean_Data[[#This Row],[Cost_Price]]</f>
        <v>94140</v>
      </c>
      <c r="N612">
        <f>Clean_Data[[#This Row],[Total_Sales]]-Clean_Data[[#This Row],[Total_Cost]]</f>
        <v>58860</v>
      </c>
      <c r="O612" s="2">
        <f>Clean_Data[[#This Row],[Profit]]/Clean_Data[[#This Row],[Total_Sales]]</f>
        <v>0.38470588235294118</v>
      </c>
      <c r="P612" t="str">
        <f>_xlfn.XLOOKUP(Clean_Data[[#This Row],[Product_Code]],Product_Catalog!A:A,Product_Catalog!C:C)</f>
        <v>Accessories</v>
      </c>
      <c r="Q612">
        <f>IF(Clean_Data[[#This Row],[Order_Date]]="","",YEAR(Clean_Data[[#This Row],[Order_Date]]))</f>
        <v>2026</v>
      </c>
      <c r="R612" t="str">
        <f>TEXT(Clean_Data[[#This Row],[Order_Date]],"mmm")</f>
        <v>Jul</v>
      </c>
      <c r="S612" t="str">
        <f>TEXT(Clean_Data[[#This Row],[Order_Date]],"mmm-yy")</f>
        <v>Jul-26</v>
      </c>
      <c r="V612"/>
    </row>
    <row r="613" spans="1:22" x14ac:dyDescent="0.25">
      <c r="A613" t="s">
        <v>679</v>
      </c>
      <c r="B613" s="1">
        <v>45743</v>
      </c>
      <c r="C613" t="s">
        <v>31</v>
      </c>
      <c r="D613" t="s">
        <v>13</v>
      </c>
      <c r="E613" t="s">
        <v>49</v>
      </c>
      <c r="F613" t="s">
        <v>50</v>
      </c>
      <c r="G613">
        <v>6</v>
      </c>
      <c r="H613">
        <v>75000</v>
      </c>
      <c r="I613">
        <v>48203</v>
      </c>
      <c r="J613" t="s">
        <v>29</v>
      </c>
      <c r="K613" t="s">
        <v>17</v>
      </c>
      <c r="L613">
        <f>SUM(Clean_Data[[#This Row],[Units_Sold]]*Clean_Data[[#This Row],[Unit_Price]])</f>
        <v>450000</v>
      </c>
      <c r="M613">
        <f>Clean_Data[[#This Row],[Units_Sold]]*Clean_Data[[#This Row],[Cost_Price]]</f>
        <v>289218</v>
      </c>
      <c r="N613">
        <f>Clean_Data[[#This Row],[Total_Sales]]-Clean_Data[[#This Row],[Total_Cost]]</f>
        <v>160782</v>
      </c>
      <c r="O613" s="2">
        <f>Clean_Data[[#This Row],[Profit]]/Clean_Data[[#This Row],[Total_Sales]]</f>
        <v>0.35729333333333335</v>
      </c>
      <c r="P613" t="str">
        <f>_xlfn.XLOOKUP(Clean_Data[[#This Row],[Product_Code]],Product_Catalog!A:A,Product_Catalog!C:C)</f>
        <v>Electronics</v>
      </c>
      <c r="Q613">
        <f>IF(Clean_Data[[#This Row],[Order_Date]]="","",YEAR(Clean_Data[[#This Row],[Order_Date]]))</f>
        <v>2025</v>
      </c>
      <c r="R613" t="str">
        <f>TEXT(Clean_Data[[#This Row],[Order_Date]],"mmm")</f>
        <v>Mar</v>
      </c>
      <c r="S613" t="str">
        <f>TEXT(Clean_Data[[#This Row],[Order_Date]],"mmm-yy")</f>
        <v>Mar-25</v>
      </c>
      <c r="V613"/>
    </row>
    <row r="614" spans="1:22" x14ac:dyDescent="0.25">
      <c r="A614" t="s">
        <v>680</v>
      </c>
      <c r="B614" s="1">
        <v>45950</v>
      </c>
      <c r="C614" t="s">
        <v>62</v>
      </c>
      <c r="D614" t="s">
        <v>13</v>
      </c>
      <c r="E614" t="s">
        <v>49</v>
      </c>
      <c r="F614" t="s">
        <v>50</v>
      </c>
      <c r="G614">
        <v>10</v>
      </c>
      <c r="H614">
        <v>75000</v>
      </c>
      <c r="I614">
        <v>50231</v>
      </c>
      <c r="J614" t="s">
        <v>45</v>
      </c>
      <c r="K614" t="s">
        <v>23</v>
      </c>
      <c r="L614">
        <f>SUM(Clean_Data[[#This Row],[Units_Sold]]*Clean_Data[[#This Row],[Unit_Price]])</f>
        <v>750000</v>
      </c>
      <c r="M614">
        <f>Clean_Data[[#This Row],[Units_Sold]]*Clean_Data[[#This Row],[Cost_Price]]</f>
        <v>502310</v>
      </c>
      <c r="N614">
        <f>Clean_Data[[#This Row],[Total_Sales]]-Clean_Data[[#This Row],[Total_Cost]]</f>
        <v>247690</v>
      </c>
      <c r="O614" s="2">
        <f>Clean_Data[[#This Row],[Profit]]/Clean_Data[[#This Row],[Total_Sales]]</f>
        <v>0.33025333333333334</v>
      </c>
      <c r="P614" t="str">
        <f>_xlfn.XLOOKUP(Clean_Data[[#This Row],[Product_Code]],Product_Catalog!A:A,Product_Catalog!C:C)</f>
        <v>Electronics</v>
      </c>
      <c r="Q614">
        <f>IF(Clean_Data[[#This Row],[Order_Date]]="","",YEAR(Clean_Data[[#This Row],[Order_Date]]))</f>
        <v>2025</v>
      </c>
      <c r="R614" t="str">
        <f>TEXT(Clean_Data[[#This Row],[Order_Date]],"mmm")</f>
        <v>Oct</v>
      </c>
      <c r="S614" t="str">
        <f>TEXT(Clean_Data[[#This Row],[Order_Date]],"mmm-yy")</f>
        <v>Oct-25</v>
      </c>
      <c r="V614"/>
    </row>
    <row r="615" spans="1:22" x14ac:dyDescent="0.25">
      <c r="A615" t="s">
        <v>681</v>
      </c>
      <c r="B615" s="1">
        <v>45888</v>
      </c>
      <c r="C615" t="s">
        <v>44</v>
      </c>
      <c r="D615" t="s">
        <v>26</v>
      </c>
      <c r="E615" t="s">
        <v>41</v>
      </c>
      <c r="F615" t="s">
        <v>42</v>
      </c>
      <c r="G615">
        <v>14</v>
      </c>
      <c r="H615">
        <v>28000</v>
      </c>
      <c r="I615">
        <v>19533</v>
      </c>
      <c r="J615" t="s">
        <v>29</v>
      </c>
      <c r="K615" t="s">
        <v>46</v>
      </c>
      <c r="L615">
        <f>SUM(Clean_Data[[#This Row],[Units_Sold]]*Clean_Data[[#This Row],[Unit_Price]])</f>
        <v>392000</v>
      </c>
      <c r="M615">
        <f>Clean_Data[[#This Row],[Units_Sold]]*Clean_Data[[#This Row],[Cost_Price]]</f>
        <v>273462</v>
      </c>
      <c r="N615">
        <f>Clean_Data[[#This Row],[Total_Sales]]-Clean_Data[[#This Row],[Total_Cost]]</f>
        <v>118538</v>
      </c>
      <c r="O615" s="2">
        <f>Clean_Data[[#This Row],[Profit]]/Clean_Data[[#This Row],[Total_Sales]]</f>
        <v>0.30239285714285713</v>
      </c>
      <c r="P615" t="str">
        <f>_xlfn.XLOOKUP(Clean_Data[[#This Row],[Product_Code]],Product_Catalog!A:A,Product_Catalog!C:C)</f>
        <v>Electronics</v>
      </c>
      <c r="Q615">
        <f>IF(Clean_Data[[#This Row],[Order_Date]]="","",YEAR(Clean_Data[[#This Row],[Order_Date]]))</f>
        <v>2025</v>
      </c>
      <c r="R615" t="str">
        <f>TEXT(Clean_Data[[#This Row],[Order_Date]],"mmm")</f>
        <v>Aug</v>
      </c>
      <c r="S615" t="str">
        <f>TEXT(Clean_Data[[#This Row],[Order_Date]],"mmm-yy")</f>
        <v>Aug-25</v>
      </c>
      <c r="V615"/>
    </row>
    <row r="616" spans="1:22" x14ac:dyDescent="0.25">
      <c r="A616" t="s">
        <v>682</v>
      </c>
      <c r="B616" s="1">
        <v>45985</v>
      </c>
      <c r="C616" t="s">
        <v>53</v>
      </c>
      <c r="D616" t="s">
        <v>36</v>
      </c>
      <c r="E616" t="s">
        <v>20</v>
      </c>
      <c r="F616" t="s">
        <v>21</v>
      </c>
      <c r="G616">
        <v>16</v>
      </c>
      <c r="H616">
        <v>8500</v>
      </c>
      <c r="I616">
        <v>5561</v>
      </c>
      <c r="J616" t="s">
        <v>29</v>
      </c>
      <c r="K616" t="s">
        <v>17</v>
      </c>
      <c r="L616">
        <f>SUM(Clean_Data[[#This Row],[Units_Sold]]*Clean_Data[[#This Row],[Unit_Price]])</f>
        <v>136000</v>
      </c>
      <c r="M616">
        <f>Clean_Data[[#This Row],[Units_Sold]]*Clean_Data[[#This Row],[Cost_Price]]</f>
        <v>88976</v>
      </c>
      <c r="N616">
        <f>Clean_Data[[#This Row],[Total_Sales]]-Clean_Data[[#This Row],[Total_Cost]]</f>
        <v>47024</v>
      </c>
      <c r="O616" s="2">
        <f>Clean_Data[[#This Row],[Profit]]/Clean_Data[[#This Row],[Total_Sales]]</f>
        <v>0.34576470588235292</v>
      </c>
      <c r="P616" t="str">
        <f>_xlfn.XLOOKUP(Clean_Data[[#This Row],[Product_Code]],Product_Catalog!A:A,Product_Catalog!C:C)</f>
        <v>Accessories</v>
      </c>
      <c r="Q616">
        <f>IF(Clean_Data[[#This Row],[Order_Date]]="","",YEAR(Clean_Data[[#This Row],[Order_Date]]))</f>
        <v>2025</v>
      </c>
      <c r="R616" t="str">
        <f>TEXT(Clean_Data[[#This Row],[Order_Date]],"mmm")</f>
        <v>Nov</v>
      </c>
      <c r="S616" t="str">
        <f>TEXT(Clean_Data[[#This Row],[Order_Date]],"mmm-yy")</f>
        <v>Nov-25</v>
      </c>
      <c r="V616"/>
    </row>
    <row r="617" spans="1:22" x14ac:dyDescent="0.25">
      <c r="A617" t="s">
        <v>683</v>
      </c>
      <c r="B617" s="1">
        <v>45915</v>
      </c>
      <c r="C617" t="s">
        <v>44</v>
      </c>
      <c r="D617" t="s">
        <v>33</v>
      </c>
      <c r="E617" t="s">
        <v>63</v>
      </c>
      <c r="F617" t="s">
        <v>59</v>
      </c>
      <c r="G617">
        <v>8</v>
      </c>
      <c r="H617">
        <v>4500</v>
      </c>
      <c r="I617">
        <v>3198</v>
      </c>
      <c r="J617" t="s">
        <v>29</v>
      </c>
      <c r="K617" t="s">
        <v>17</v>
      </c>
      <c r="L617">
        <f>SUM(Clean_Data[[#This Row],[Units_Sold]]*Clean_Data[[#This Row],[Unit_Price]])</f>
        <v>36000</v>
      </c>
      <c r="M617">
        <f>Clean_Data[[#This Row],[Units_Sold]]*Clean_Data[[#This Row],[Cost_Price]]</f>
        <v>25584</v>
      </c>
      <c r="N617">
        <f>Clean_Data[[#This Row],[Total_Sales]]-Clean_Data[[#This Row],[Total_Cost]]</f>
        <v>10416</v>
      </c>
      <c r="O617" s="2">
        <f>Clean_Data[[#This Row],[Profit]]/Clean_Data[[#This Row],[Total_Sales]]</f>
        <v>0.28933333333333333</v>
      </c>
      <c r="P617" t="str">
        <f>_xlfn.XLOOKUP(Clean_Data[[#This Row],[Product_Code]],Product_Catalog!A:A,Product_Catalog!C:C)</f>
        <v>Electronics</v>
      </c>
      <c r="Q617">
        <f>IF(Clean_Data[[#This Row],[Order_Date]]="","",YEAR(Clean_Data[[#This Row],[Order_Date]]))</f>
        <v>2025</v>
      </c>
      <c r="R617" t="str">
        <f>TEXT(Clean_Data[[#This Row],[Order_Date]],"mmm")</f>
        <v>Sep</v>
      </c>
      <c r="S617" t="str">
        <f>TEXT(Clean_Data[[#This Row],[Order_Date]],"mmm-yy")</f>
        <v>Sep-25</v>
      </c>
      <c r="V617"/>
    </row>
    <row r="618" spans="1:22" x14ac:dyDescent="0.25">
      <c r="A618" t="s">
        <v>684</v>
      </c>
      <c r="B618" s="1">
        <v>45886</v>
      </c>
      <c r="C618" t="s">
        <v>48</v>
      </c>
      <c r="D618" t="s">
        <v>40</v>
      </c>
      <c r="E618" t="s">
        <v>27</v>
      </c>
      <c r="F618" t="s">
        <v>28</v>
      </c>
      <c r="G618">
        <v>8</v>
      </c>
      <c r="H618">
        <v>14000</v>
      </c>
      <c r="I618">
        <v>10009</v>
      </c>
      <c r="J618" t="s">
        <v>29</v>
      </c>
      <c r="K618" t="s">
        <v>46</v>
      </c>
      <c r="L618">
        <f>SUM(Clean_Data[[#This Row],[Units_Sold]]*Clean_Data[[#This Row],[Unit_Price]])</f>
        <v>112000</v>
      </c>
      <c r="M618">
        <f>Clean_Data[[#This Row],[Units_Sold]]*Clean_Data[[#This Row],[Cost_Price]]</f>
        <v>80072</v>
      </c>
      <c r="N618">
        <f>Clean_Data[[#This Row],[Total_Sales]]-Clean_Data[[#This Row],[Total_Cost]]</f>
        <v>31928</v>
      </c>
      <c r="O618" s="2">
        <f>Clean_Data[[#This Row],[Profit]]/Clean_Data[[#This Row],[Total_Sales]]</f>
        <v>0.28507142857142859</v>
      </c>
      <c r="P618" t="str">
        <f>_xlfn.XLOOKUP(Clean_Data[[#This Row],[Product_Code]],Product_Catalog!A:A,Product_Catalog!C:C)</f>
        <v>Furniture</v>
      </c>
      <c r="Q618">
        <f>IF(Clean_Data[[#This Row],[Order_Date]]="","",YEAR(Clean_Data[[#This Row],[Order_Date]]))</f>
        <v>2025</v>
      </c>
      <c r="R618" t="str">
        <f>TEXT(Clean_Data[[#This Row],[Order_Date]],"mmm")</f>
        <v>Aug</v>
      </c>
      <c r="S618" t="str">
        <f>TEXT(Clean_Data[[#This Row],[Order_Date]],"mmm-yy")</f>
        <v>Aug-25</v>
      </c>
      <c r="V618"/>
    </row>
    <row r="619" spans="1:22" x14ac:dyDescent="0.25">
      <c r="A619" t="s">
        <v>685</v>
      </c>
      <c r="B619" s="1">
        <v>45774</v>
      </c>
      <c r="C619" t="s">
        <v>25</v>
      </c>
      <c r="D619" t="s">
        <v>40</v>
      </c>
      <c r="E619" t="s">
        <v>66</v>
      </c>
      <c r="F619" t="s">
        <v>67</v>
      </c>
      <c r="G619">
        <v>1</v>
      </c>
      <c r="H619">
        <v>2500</v>
      </c>
      <c r="I619">
        <v>1684</v>
      </c>
      <c r="J619" t="s">
        <v>29</v>
      </c>
      <c r="K619" t="s">
        <v>17</v>
      </c>
      <c r="L619">
        <f>SUM(Clean_Data[[#This Row],[Units_Sold]]*Clean_Data[[#This Row],[Unit_Price]])</f>
        <v>2500</v>
      </c>
      <c r="M619">
        <f>Clean_Data[[#This Row],[Units_Sold]]*Clean_Data[[#This Row],[Cost_Price]]</f>
        <v>1684</v>
      </c>
      <c r="N619">
        <f>Clean_Data[[#This Row],[Total_Sales]]-Clean_Data[[#This Row],[Total_Cost]]</f>
        <v>816</v>
      </c>
      <c r="O619" s="2">
        <f>Clean_Data[[#This Row],[Profit]]/Clean_Data[[#This Row],[Total_Sales]]</f>
        <v>0.32640000000000002</v>
      </c>
      <c r="P619" t="str">
        <f>_xlfn.XLOOKUP(Clean_Data[[#This Row],[Product_Code]],Product_Catalog!A:A,Product_Catalog!C:C)</f>
        <v>Electronics</v>
      </c>
      <c r="Q619">
        <f>IF(Clean_Data[[#This Row],[Order_Date]]="","",YEAR(Clean_Data[[#This Row],[Order_Date]]))</f>
        <v>2025</v>
      </c>
      <c r="R619" t="str">
        <f>TEXT(Clean_Data[[#This Row],[Order_Date]],"mmm")</f>
        <v>Apr</v>
      </c>
      <c r="S619" t="str">
        <f>TEXT(Clean_Data[[#This Row],[Order_Date]],"mmm-yy")</f>
        <v>Apr-25</v>
      </c>
      <c r="V619"/>
    </row>
    <row r="620" spans="1:22" x14ac:dyDescent="0.25">
      <c r="A620" t="s">
        <v>686</v>
      </c>
      <c r="B620" s="1">
        <v>46207</v>
      </c>
      <c r="C620" t="s">
        <v>12</v>
      </c>
      <c r="D620" t="s">
        <v>13</v>
      </c>
      <c r="E620" t="s">
        <v>37</v>
      </c>
      <c r="F620" t="s">
        <v>38</v>
      </c>
      <c r="G620">
        <v>17</v>
      </c>
      <c r="H620">
        <v>55000</v>
      </c>
      <c r="I620">
        <v>35887</v>
      </c>
      <c r="J620" t="s">
        <v>29</v>
      </c>
      <c r="K620" t="s">
        <v>23</v>
      </c>
      <c r="L620">
        <f>SUM(Clean_Data[[#This Row],[Units_Sold]]*Clean_Data[[#This Row],[Unit_Price]])</f>
        <v>935000</v>
      </c>
      <c r="M620">
        <f>Clean_Data[[#This Row],[Units_Sold]]*Clean_Data[[#This Row],[Cost_Price]]</f>
        <v>610079</v>
      </c>
      <c r="N620">
        <f>Clean_Data[[#This Row],[Total_Sales]]-Clean_Data[[#This Row],[Total_Cost]]</f>
        <v>324921</v>
      </c>
      <c r="O620" s="2">
        <f>Clean_Data[[#This Row],[Profit]]/Clean_Data[[#This Row],[Total_Sales]]</f>
        <v>0.34750909090909093</v>
      </c>
      <c r="P620" t="str">
        <f>_xlfn.XLOOKUP(Clean_Data[[#This Row],[Product_Code]],Product_Catalog!A:A,Product_Catalog!C:C)</f>
        <v>Electronics</v>
      </c>
      <c r="Q620">
        <f>IF(Clean_Data[[#This Row],[Order_Date]]="","",YEAR(Clean_Data[[#This Row],[Order_Date]]))</f>
        <v>2026</v>
      </c>
      <c r="R620" t="str">
        <f>TEXT(Clean_Data[[#This Row],[Order_Date]],"mmm")</f>
        <v>Jul</v>
      </c>
      <c r="S620" t="str">
        <f>TEXT(Clean_Data[[#This Row],[Order_Date]],"mmm-yy")</f>
        <v>Jul-26</v>
      </c>
      <c r="V620"/>
    </row>
    <row r="621" spans="1:22" x14ac:dyDescent="0.25">
      <c r="A621" t="s">
        <v>687</v>
      </c>
      <c r="B621" s="1">
        <v>46249</v>
      </c>
      <c r="C621" t="s">
        <v>62</v>
      </c>
      <c r="D621" t="s">
        <v>40</v>
      </c>
      <c r="E621" t="s">
        <v>20</v>
      </c>
      <c r="F621" t="s">
        <v>21</v>
      </c>
      <c r="G621">
        <v>5</v>
      </c>
      <c r="H621">
        <v>8500</v>
      </c>
      <c r="I621">
        <v>6386</v>
      </c>
      <c r="J621" t="s">
        <v>16</v>
      </c>
      <c r="K621" t="s">
        <v>23</v>
      </c>
      <c r="L621">
        <f>SUM(Clean_Data[[#This Row],[Units_Sold]]*Clean_Data[[#This Row],[Unit_Price]])</f>
        <v>42500</v>
      </c>
      <c r="M621">
        <f>Clean_Data[[#This Row],[Units_Sold]]*Clean_Data[[#This Row],[Cost_Price]]</f>
        <v>31930</v>
      </c>
      <c r="N621">
        <f>Clean_Data[[#This Row],[Total_Sales]]-Clean_Data[[#This Row],[Total_Cost]]</f>
        <v>10570</v>
      </c>
      <c r="O621" s="2">
        <f>Clean_Data[[#This Row],[Profit]]/Clean_Data[[#This Row],[Total_Sales]]</f>
        <v>0.24870588235294117</v>
      </c>
      <c r="P621" t="str">
        <f>_xlfn.XLOOKUP(Clean_Data[[#This Row],[Product_Code]],Product_Catalog!A:A,Product_Catalog!C:C)</f>
        <v>Accessories</v>
      </c>
      <c r="Q621">
        <f>IF(Clean_Data[[#This Row],[Order_Date]]="","",YEAR(Clean_Data[[#This Row],[Order_Date]]))</f>
        <v>2026</v>
      </c>
      <c r="R621" t="str">
        <f>TEXT(Clean_Data[[#This Row],[Order_Date]],"mmm")</f>
        <v>Aug</v>
      </c>
      <c r="S621" t="str">
        <f>TEXT(Clean_Data[[#This Row],[Order_Date]],"mmm-yy")</f>
        <v>Aug-26</v>
      </c>
      <c r="V621"/>
    </row>
    <row r="622" spans="1:22" x14ac:dyDescent="0.25">
      <c r="A622" t="s">
        <v>688</v>
      </c>
      <c r="B622" s="1">
        <v>45889</v>
      </c>
      <c r="C622" t="s">
        <v>62</v>
      </c>
      <c r="D622" t="s">
        <v>40</v>
      </c>
      <c r="E622" t="s">
        <v>14</v>
      </c>
      <c r="F622" t="s">
        <v>15</v>
      </c>
      <c r="G622">
        <v>2</v>
      </c>
      <c r="H622">
        <v>12500</v>
      </c>
      <c r="I622">
        <v>7695</v>
      </c>
      <c r="J622" t="s">
        <v>29</v>
      </c>
      <c r="K622" t="s">
        <v>17</v>
      </c>
      <c r="L622">
        <f>SUM(Clean_Data[[#This Row],[Units_Sold]]*Clean_Data[[#This Row],[Unit_Price]])</f>
        <v>25000</v>
      </c>
      <c r="M622">
        <f>Clean_Data[[#This Row],[Units_Sold]]*Clean_Data[[#This Row],[Cost_Price]]</f>
        <v>15390</v>
      </c>
      <c r="N622">
        <f>Clean_Data[[#This Row],[Total_Sales]]-Clean_Data[[#This Row],[Total_Cost]]</f>
        <v>9610</v>
      </c>
      <c r="O622" s="2">
        <f>Clean_Data[[#This Row],[Profit]]/Clean_Data[[#This Row],[Total_Sales]]</f>
        <v>0.38440000000000002</v>
      </c>
      <c r="P622" t="str">
        <f>_xlfn.XLOOKUP(Clean_Data[[#This Row],[Product_Code]],Product_Catalog!A:A,Product_Catalog!C:C)</f>
        <v>Accessories</v>
      </c>
      <c r="Q622">
        <f>IF(Clean_Data[[#This Row],[Order_Date]]="","",YEAR(Clean_Data[[#This Row],[Order_Date]]))</f>
        <v>2025</v>
      </c>
      <c r="R622" t="str">
        <f>TEXT(Clean_Data[[#This Row],[Order_Date]],"mmm")</f>
        <v>Aug</v>
      </c>
      <c r="S622" t="str">
        <f>TEXT(Clean_Data[[#This Row],[Order_Date]],"mmm-yy")</f>
        <v>Aug-25</v>
      </c>
      <c r="V622"/>
    </row>
    <row r="623" spans="1:22" x14ac:dyDescent="0.25">
      <c r="A623" t="s">
        <v>689</v>
      </c>
      <c r="B623" s="1">
        <v>45674</v>
      </c>
      <c r="C623" t="s">
        <v>25</v>
      </c>
      <c r="D623" t="s">
        <v>13</v>
      </c>
      <c r="E623" t="s">
        <v>27</v>
      </c>
      <c r="F623" t="s">
        <v>28</v>
      </c>
      <c r="G623">
        <v>17</v>
      </c>
      <c r="H623">
        <v>14000</v>
      </c>
      <c r="I623">
        <v>9044</v>
      </c>
      <c r="J623" t="s">
        <v>22</v>
      </c>
      <c r="K623" t="s">
        <v>17</v>
      </c>
      <c r="L623">
        <f>SUM(Clean_Data[[#This Row],[Units_Sold]]*Clean_Data[[#This Row],[Unit_Price]])</f>
        <v>238000</v>
      </c>
      <c r="M623">
        <f>Clean_Data[[#This Row],[Units_Sold]]*Clean_Data[[#This Row],[Cost_Price]]</f>
        <v>153748</v>
      </c>
      <c r="N623">
        <f>Clean_Data[[#This Row],[Total_Sales]]-Clean_Data[[#This Row],[Total_Cost]]</f>
        <v>84252</v>
      </c>
      <c r="O623" s="2">
        <f>Clean_Data[[#This Row],[Profit]]/Clean_Data[[#This Row],[Total_Sales]]</f>
        <v>0.35399999999999998</v>
      </c>
      <c r="P623" t="str">
        <f>_xlfn.XLOOKUP(Clean_Data[[#This Row],[Product_Code]],Product_Catalog!A:A,Product_Catalog!C:C)</f>
        <v>Furniture</v>
      </c>
      <c r="Q623">
        <f>IF(Clean_Data[[#This Row],[Order_Date]]="","",YEAR(Clean_Data[[#This Row],[Order_Date]]))</f>
        <v>2025</v>
      </c>
      <c r="R623" t="str">
        <f>TEXT(Clean_Data[[#This Row],[Order_Date]],"mmm")</f>
        <v>Jan</v>
      </c>
      <c r="S623" t="str">
        <f>TEXT(Clean_Data[[#This Row],[Order_Date]],"mmm-yy")</f>
        <v>Jan-25</v>
      </c>
      <c r="V623"/>
    </row>
    <row r="624" spans="1:22" x14ac:dyDescent="0.25">
      <c r="A624" t="s">
        <v>690</v>
      </c>
      <c r="B624" s="1">
        <v>46048</v>
      </c>
      <c r="C624" t="s">
        <v>48</v>
      </c>
      <c r="D624" t="s">
        <v>36</v>
      </c>
      <c r="E624" t="s">
        <v>66</v>
      </c>
      <c r="F624" t="s">
        <v>67</v>
      </c>
      <c r="G624">
        <v>13</v>
      </c>
      <c r="H624">
        <v>2500</v>
      </c>
      <c r="I624">
        <v>1755</v>
      </c>
      <c r="J624" t="s">
        <v>29</v>
      </c>
      <c r="K624" t="s">
        <v>23</v>
      </c>
      <c r="L624">
        <f>SUM(Clean_Data[[#This Row],[Units_Sold]]*Clean_Data[[#This Row],[Unit_Price]])</f>
        <v>32500</v>
      </c>
      <c r="M624">
        <f>Clean_Data[[#This Row],[Units_Sold]]*Clean_Data[[#This Row],[Cost_Price]]</f>
        <v>22815</v>
      </c>
      <c r="N624">
        <f>Clean_Data[[#This Row],[Total_Sales]]-Clean_Data[[#This Row],[Total_Cost]]</f>
        <v>9685</v>
      </c>
      <c r="O624" s="2">
        <f>Clean_Data[[#This Row],[Profit]]/Clean_Data[[#This Row],[Total_Sales]]</f>
        <v>0.29799999999999999</v>
      </c>
      <c r="P624" t="str">
        <f>_xlfn.XLOOKUP(Clean_Data[[#This Row],[Product_Code]],Product_Catalog!A:A,Product_Catalog!C:C)</f>
        <v>Electronics</v>
      </c>
      <c r="Q624">
        <f>IF(Clean_Data[[#This Row],[Order_Date]]="","",YEAR(Clean_Data[[#This Row],[Order_Date]]))</f>
        <v>2026</v>
      </c>
      <c r="R624" t="str">
        <f>TEXT(Clean_Data[[#This Row],[Order_Date]],"mmm")</f>
        <v>Jan</v>
      </c>
      <c r="S624" t="str">
        <f>TEXT(Clean_Data[[#This Row],[Order_Date]],"mmm-yy")</f>
        <v>Jan-26</v>
      </c>
      <c r="V624"/>
    </row>
    <row r="625" spans="1:22" x14ac:dyDescent="0.25">
      <c r="A625" t="s">
        <v>691</v>
      </c>
      <c r="B625" s="1">
        <v>45771</v>
      </c>
      <c r="C625" t="s">
        <v>48</v>
      </c>
      <c r="D625" t="s">
        <v>33</v>
      </c>
      <c r="E625" t="s">
        <v>27</v>
      </c>
      <c r="F625" t="s">
        <v>28</v>
      </c>
      <c r="G625">
        <v>11</v>
      </c>
      <c r="H625">
        <v>14000</v>
      </c>
      <c r="I625">
        <v>10408</v>
      </c>
      <c r="J625" t="s">
        <v>29</v>
      </c>
      <c r="K625" t="s">
        <v>46</v>
      </c>
      <c r="L625">
        <f>SUM(Clean_Data[[#This Row],[Units_Sold]]*Clean_Data[[#This Row],[Unit_Price]])</f>
        <v>154000</v>
      </c>
      <c r="M625">
        <f>Clean_Data[[#This Row],[Units_Sold]]*Clean_Data[[#This Row],[Cost_Price]]</f>
        <v>114488</v>
      </c>
      <c r="N625">
        <f>Clean_Data[[#This Row],[Total_Sales]]-Clean_Data[[#This Row],[Total_Cost]]</f>
        <v>39512</v>
      </c>
      <c r="O625" s="2">
        <f>Clean_Data[[#This Row],[Profit]]/Clean_Data[[#This Row],[Total_Sales]]</f>
        <v>0.25657142857142856</v>
      </c>
      <c r="P625" t="str">
        <f>_xlfn.XLOOKUP(Clean_Data[[#This Row],[Product_Code]],Product_Catalog!A:A,Product_Catalog!C:C)</f>
        <v>Furniture</v>
      </c>
      <c r="Q625">
        <f>IF(Clean_Data[[#This Row],[Order_Date]]="","",YEAR(Clean_Data[[#This Row],[Order_Date]]))</f>
        <v>2025</v>
      </c>
      <c r="R625" t="str">
        <f>TEXT(Clean_Data[[#This Row],[Order_Date]],"mmm")</f>
        <v>Apr</v>
      </c>
      <c r="S625" t="str">
        <f>TEXT(Clean_Data[[#This Row],[Order_Date]],"mmm-yy")</f>
        <v>Apr-25</v>
      </c>
      <c r="V625"/>
    </row>
    <row r="626" spans="1:22" x14ac:dyDescent="0.25">
      <c r="A626" t="s">
        <v>692</v>
      </c>
      <c r="B626" s="1">
        <v>45688</v>
      </c>
      <c r="C626" t="s">
        <v>73</v>
      </c>
      <c r="D626" t="s">
        <v>33</v>
      </c>
      <c r="E626" t="s">
        <v>27</v>
      </c>
      <c r="F626" t="s">
        <v>28</v>
      </c>
      <c r="G626">
        <v>12</v>
      </c>
      <c r="H626">
        <v>14000</v>
      </c>
      <c r="I626">
        <v>9804</v>
      </c>
      <c r="J626" t="s">
        <v>29</v>
      </c>
      <c r="K626" t="s">
        <v>23</v>
      </c>
      <c r="L626">
        <f>SUM(Clean_Data[[#This Row],[Units_Sold]]*Clean_Data[[#This Row],[Unit_Price]])</f>
        <v>168000</v>
      </c>
      <c r="M626">
        <f>Clean_Data[[#This Row],[Units_Sold]]*Clean_Data[[#This Row],[Cost_Price]]</f>
        <v>117648</v>
      </c>
      <c r="N626">
        <f>Clean_Data[[#This Row],[Total_Sales]]-Clean_Data[[#This Row],[Total_Cost]]</f>
        <v>50352</v>
      </c>
      <c r="O626" s="2">
        <f>Clean_Data[[#This Row],[Profit]]/Clean_Data[[#This Row],[Total_Sales]]</f>
        <v>0.29971428571428571</v>
      </c>
      <c r="P626" t="str">
        <f>_xlfn.XLOOKUP(Clean_Data[[#This Row],[Product_Code]],Product_Catalog!A:A,Product_Catalog!C:C)</f>
        <v>Furniture</v>
      </c>
      <c r="Q626">
        <f>IF(Clean_Data[[#This Row],[Order_Date]]="","",YEAR(Clean_Data[[#This Row],[Order_Date]]))</f>
        <v>2025</v>
      </c>
      <c r="R626" t="str">
        <f>TEXT(Clean_Data[[#This Row],[Order_Date]],"mmm")</f>
        <v>Jan</v>
      </c>
      <c r="S626" t="str">
        <f>TEXT(Clean_Data[[#This Row],[Order_Date]],"mmm-yy")</f>
        <v>Jan-25</v>
      </c>
      <c r="V626"/>
    </row>
    <row r="627" spans="1:22" x14ac:dyDescent="0.25">
      <c r="A627" t="s">
        <v>693</v>
      </c>
      <c r="B627" s="1">
        <v>45817</v>
      </c>
      <c r="C627" t="s">
        <v>48</v>
      </c>
      <c r="D627" t="s">
        <v>26</v>
      </c>
      <c r="E627" t="s">
        <v>14</v>
      </c>
      <c r="F627" t="s">
        <v>15</v>
      </c>
      <c r="G627">
        <v>2</v>
      </c>
      <c r="H627">
        <v>12500</v>
      </c>
      <c r="I627">
        <v>9698</v>
      </c>
      <c r="J627" t="s">
        <v>22</v>
      </c>
      <c r="K627" t="s">
        <v>23</v>
      </c>
      <c r="L627">
        <f>SUM(Clean_Data[[#This Row],[Units_Sold]]*Clean_Data[[#This Row],[Unit_Price]])</f>
        <v>25000</v>
      </c>
      <c r="M627">
        <f>Clean_Data[[#This Row],[Units_Sold]]*Clean_Data[[#This Row],[Cost_Price]]</f>
        <v>19396</v>
      </c>
      <c r="N627">
        <f>Clean_Data[[#This Row],[Total_Sales]]-Clean_Data[[#This Row],[Total_Cost]]</f>
        <v>5604</v>
      </c>
      <c r="O627" s="2">
        <f>Clean_Data[[#This Row],[Profit]]/Clean_Data[[#This Row],[Total_Sales]]</f>
        <v>0.22416</v>
      </c>
      <c r="P627" t="str">
        <f>_xlfn.XLOOKUP(Clean_Data[[#This Row],[Product_Code]],Product_Catalog!A:A,Product_Catalog!C:C)</f>
        <v>Accessories</v>
      </c>
      <c r="Q627">
        <f>IF(Clean_Data[[#This Row],[Order_Date]]="","",YEAR(Clean_Data[[#This Row],[Order_Date]]))</f>
        <v>2025</v>
      </c>
      <c r="R627" t="str">
        <f>TEXT(Clean_Data[[#This Row],[Order_Date]],"mmm")</f>
        <v>Jun</v>
      </c>
      <c r="S627" t="str">
        <f>TEXT(Clean_Data[[#This Row],[Order_Date]],"mmm-yy")</f>
        <v>Jun-25</v>
      </c>
      <c r="V627"/>
    </row>
    <row r="628" spans="1:22" x14ac:dyDescent="0.25">
      <c r="A628" t="s">
        <v>694</v>
      </c>
      <c r="B628" s="1">
        <v>46099</v>
      </c>
      <c r="C628" t="s">
        <v>62</v>
      </c>
      <c r="D628" t="s">
        <v>33</v>
      </c>
      <c r="E628" t="s">
        <v>63</v>
      </c>
      <c r="F628" t="s">
        <v>59</v>
      </c>
      <c r="G628">
        <v>5</v>
      </c>
      <c r="H628">
        <v>4500</v>
      </c>
      <c r="I628">
        <v>2713</v>
      </c>
      <c r="J628" t="s">
        <v>16</v>
      </c>
      <c r="K628" t="s">
        <v>17</v>
      </c>
      <c r="L628">
        <f>SUM(Clean_Data[[#This Row],[Units_Sold]]*Clean_Data[[#This Row],[Unit_Price]])</f>
        <v>22500</v>
      </c>
      <c r="M628">
        <f>Clean_Data[[#This Row],[Units_Sold]]*Clean_Data[[#This Row],[Cost_Price]]</f>
        <v>13565</v>
      </c>
      <c r="N628">
        <f>Clean_Data[[#This Row],[Total_Sales]]-Clean_Data[[#This Row],[Total_Cost]]</f>
        <v>8935</v>
      </c>
      <c r="O628" s="2">
        <f>Clean_Data[[#This Row],[Profit]]/Clean_Data[[#This Row],[Total_Sales]]</f>
        <v>0.39711111111111114</v>
      </c>
      <c r="P628" t="str">
        <f>_xlfn.XLOOKUP(Clean_Data[[#This Row],[Product_Code]],Product_Catalog!A:A,Product_Catalog!C:C)</f>
        <v>Electronics</v>
      </c>
      <c r="Q628">
        <f>IF(Clean_Data[[#This Row],[Order_Date]]="","",YEAR(Clean_Data[[#This Row],[Order_Date]]))</f>
        <v>2026</v>
      </c>
      <c r="R628" t="str">
        <f>TEXT(Clean_Data[[#This Row],[Order_Date]],"mmm")</f>
        <v>Mar</v>
      </c>
      <c r="S628" t="str">
        <f>TEXT(Clean_Data[[#This Row],[Order_Date]],"mmm-yy")</f>
        <v>Mar-26</v>
      </c>
      <c r="V628"/>
    </row>
    <row r="629" spans="1:22" x14ac:dyDescent="0.25">
      <c r="A629" t="s">
        <v>695</v>
      </c>
      <c r="B629" s="1">
        <v>46062</v>
      </c>
      <c r="C629" t="s">
        <v>73</v>
      </c>
      <c r="D629" t="s">
        <v>13</v>
      </c>
      <c r="E629" t="s">
        <v>14</v>
      </c>
      <c r="F629" t="s">
        <v>15</v>
      </c>
      <c r="G629">
        <v>10</v>
      </c>
      <c r="H629">
        <v>12500</v>
      </c>
      <c r="I629">
        <v>7535</v>
      </c>
      <c r="J629" t="s">
        <v>45</v>
      </c>
      <c r="K629" t="s">
        <v>17</v>
      </c>
      <c r="L629">
        <f>SUM(Clean_Data[[#This Row],[Units_Sold]]*Clean_Data[[#This Row],[Unit_Price]])</f>
        <v>125000</v>
      </c>
      <c r="M629">
        <f>Clean_Data[[#This Row],[Units_Sold]]*Clean_Data[[#This Row],[Cost_Price]]</f>
        <v>75350</v>
      </c>
      <c r="N629">
        <f>Clean_Data[[#This Row],[Total_Sales]]-Clean_Data[[#This Row],[Total_Cost]]</f>
        <v>49650</v>
      </c>
      <c r="O629" s="2">
        <f>Clean_Data[[#This Row],[Profit]]/Clean_Data[[#This Row],[Total_Sales]]</f>
        <v>0.3972</v>
      </c>
      <c r="P629" t="str">
        <f>_xlfn.XLOOKUP(Clean_Data[[#This Row],[Product_Code]],Product_Catalog!A:A,Product_Catalog!C:C)</f>
        <v>Accessories</v>
      </c>
      <c r="Q629">
        <f>IF(Clean_Data[[#This Row],[Order_Date]]="","",YEAR(Clean_Data[[#This Row],[Order_Date]]))</f>
        <v>2026</v>
      </c>
      <c r="R629" t="str">
        <f>TEXT(Clean_Data[[#This Row],[Order_Date]],"mmm")</f>
        <v>Feb</v>
      </c>
      <c r="S629" t="str">
        <f>TEXT(Clean_Data[[#This Row],[Order_Date]],"mmm-yy")</f>
        <v>Feb-26</v>
      </c>
      <c r="V629"/>
    </row>
    <row r="630" spans="1:22" x14ac:dyDescent="0.25">
      <c r="A630" t="s">
        <v>696</v>
      </c>
      <c r="B630" s="1">
        <v>46187</v>
      </c>
      <c r="C630" t="s">
        <v>31</v>
      </c>
      <c r="D630" t="s">
        <v>36</v>
      </c>
      <c r="E630" t="s">
        <v>41</v>
      </c>
      <c r="F630" t="s">
        <v>42</v>
      </c>
      <c r="G630">
        <v>11</v>
      </c>
      <c r="H630">
        <v>28000</v>
      </c>
      <c r="I630">
        <v>21788</v>
      </c>
      <c r="J630" t="s">
        <v>45</v>
      </c>
      <c r="K630" t="s">
        <v>46</v>
      </c>
      <c r="L630">
        <f>SUM(Clean_Data[[#This Row],[Units_Sold]]*Clean_Data[[#This Row],[Unit_Price]])</f>
        <v>308000</v>
      </c>
      <c r="M630">
        <f>Clean_Data[[#This Row],[Units_Sold]]*Clean_Data[[#This Row],[Cost_Price]]</f>
        <v>239668</v>
      </c>
      <c r="N630">
        <f>Clean_Data[[#This Row],[Total_Sales]]-Clean_Data[[#This Row],[Total_Cost]]</f>
        <v>68332</v>
      </c>
      <c r="O630" s="2">
        <f>Clean_Data[[#This Row],[Profit]]/Clean_Data[[#This Row],[Total_Sales]]</f>
        <v>0.22185714285714286</v>
      </c>
      <c r="P630" t="str">
        <f>_xlfn.XLOOKUP(Clean_Data[[#This Row],[Product_Code]],Product_Catalog!A:A,Product_Catalog!C:C)</f>
        <v>Electronics</v>
      </c>
      <c r="Q630">
        <f>IF(Clean_Data[[#This Row],[Order_Date]]="","",YEAR(Clean_Data[[#This Row],[Order_Date]]))</f>
        <v>2026</v>
      </c>
      <c r="R630" t="str">
        <f>TEXT(Clean_Data[[#This Row],[Order_Date]],"mmm")</f>
        <v>Jun</v>
      </c>
      <c r="S630" t="str">
        <f>TEXT(Clean_Data[[#This Row],[Order_Date]],"mmm-yy")</f>
        <v>Jun-26</v>
      </c>
      <c r="V630"/>
    </row>
    <row r="631" spans="1:22" x14ac:dyDescent="0.25">
      <c r="A631" t="s">
        <v>697</v>
      </c>
      <c r="B631" s="1">
        <v>46000</v>
      </c>
      <c r="C631" t="s">
        <v>48</v>
      </c>
      <c r="D631" t="s">
        <v>40</v>
      </c>
      <c r="E631" t="s">
        <v>49</v>
      </c>
      <c r="F631" t="s">
        <v>50</v>
      </c>
      <c r="G631">
        <v>8</v>
      </c>
      <c r="H631">
        <v>75000</v>
      </c>
      <c r="I631">
        <v>46968</v>
      </c>
      <c r="J631" t="s">
        <v>29</v>
      </c>
      <c r="K631" t="s">
        <v>23</v>
      </c>
      <c r="L631">
        <f>SUM(Clean_Data[[#This Row],[Units_Sold]]*Clean_Data[[#This Row],[Unit_Price]])</f>
        <v>600000</v>
      </c>
      <c r="M631">
        <f>Clean_Data[[#This Row],[Units_Sold]]*Clean_Data[[#This Row],[Cost_Price]]</f>
        <v>375744</v>
      </c>
      <c r="N631">
        <f>Clean_Data[[#This Row],[Total_Sales]]-Clean_Data[[#This Row],[Total_Cost]]</f>
        <v>224256</v>
      </c>
      <c r="O631" s="2">
        <f>Clean_Data[[#This Row],[Profit]]/Clean_Data[[#This Row],[Total_Sales]]</f>
        <v>0.37375999999999998</v>
      </c>
      <c r="P631" t="str">
        <f>_xlfn.XLOOKUP(Clean_Data[[#This Row],[Product_Code]],Product_Catalog!A:A,Product_Catalog!C:C)</f>
        <v>Electronics</v>
      </c>
      <c r="Q631">
        <f>IF(Clean_Data[[#This Row],[Order_Date]]="","",YEAR(Clean_Data[[#This Row],[Order_Date]]))</f>
        <v>2025</v>
      </c>
      <c r="R631" t="str">
        <f>TEXT(Clean_Data[[#This Row],[Order_Date]],"mmm")</f>
        <v>Dec</v>
      </c>
      <c r="S631" t="str">
        <f>TEXT(Clean_Data[[#This Row],[Order_Date]],"mmm-yy")</f>
        <v>Dec-25</v>
      </c>
      <c r="V631"/>
    </row>
    <row r="632" spans="1:22" x14ac:dyDescent="0.25">
      <c r="A632" t="s">
        <v>698</v>
      </c>
      <c r="B632" s="1">
        <v>46222</v>
      </c>
      <c r="C632" t="s">
        <v>12</v>
      </c>
      <c r="D632" t="s">
        <v>13</v>
      </c>
      <c r="E632" t="s">
        <v>49</v>
      </c>
      <c r="F632" t="s">
        <v>50</v>
      </c>
      <c r="G632">
        <v>8</v>
      </c>
      <c r="H632">
        <v>75000</v>
      </c>
      <c r="I632">
        <v>58473</v>
      </c>
      <c r="J632" t="s">
        <v>45</v>
      </c>
      <c r="K632" t="s">
        <v>17</v>
      </c>
      <c r="L632">
        <f>SUM(Clean_Data[[#This Row],[Units_Sold]]*Clean_Data[[#This Row],[Unit_Price]])</f>
        <v>600000</v>
      </c>
      <c r="M632">
        <f>Clean_Data[[#This Row],[Units_Sold]]*Clean_Data[[#This Row],[Cost_Price]]</f>
        <v>467784</v>
      </c>
      <c r="N632">
        <f>Clean_Data[[#This Row],[Total_Sales]]-Clean_Data[[#This Row],[Total_Cost]]</f>
        <v>132216</v>
      </c>
      <c r="O632" s="2">
        <f>Clean_Data[[#This Row],[Profit]]/Clean_Data[[#This Row],[Total_Sales]]</f>
        <v>0.22036</v>
      </c>
      <c r="P632" t="str">
        <f>_xlfn.XLOOKUP(Clean_Data[[#This Row],[Product_Code]],Product_Catalog!A:A,Product_Catalog!C:C)</f>
        <v>Electronics</v>
      </c>
      <c r="Q632">
        <f>IF(Clean_Data[[#This Row],[Order_Date]]="","",YEAR(Clean_Data[[#This Row],[Order_Date]]))</f>
        <v>2026</v>
      </c>
      <c r="R632" t="str">
        <f>TEXT(Clean_Data[[#This Row],[Order_Date]],"mmm")</f>
        <v>Jul</v>
      </c>
      <c r="S632" t="str">
        <f>TEXT(Clean_Data[[#This Row],[Order_Date]],"mmm-yy")</f>
        <v>Jul-26</v>
      </c>
      <c r="V632"/>
    </row>
    <row r="633" spans="1:22" x14ac:dyDescent="0.25">
      <c r="A633" t="s">
        <v>699</v>
      </c>
      <c r="B633" s="1">
        <v>45958</v>
      </c>
      <c r="C633" t="s">
        <v>73</v>
      </c>
      <c r="D633" t="s">
        <v>40</v>
      </c>
      <c r="E633" t="s">
        <v>27</v>
      </c>
      <c r="F633" t="s">
        <v>28</v>
      </c>
      <c r="G633">
        <v>15</v>
      </c>
      <c r="H633">
        <v>14000</v>
      </c>
      <c r="I633">
        <v>10603</v>
      </c>
      <c r="J633" t="s">
        <v>16</v>
      </c>
      <c r="K633" t="s">
        <v>46</v>
      </c>
      <c r="L633">
        <f>SUM(Clean_Data[[#This Row],[Units_Sold]]*Clean_Data[[#This Row],[Unit_Price]])</f>
        <v>210000</v>
      </c>
      <c r="M633">
        <f>Clean_Data[[#This Row],[Units_Sold]]*Clean_Data[[#This Row],[Cost_Price]]</f>
        <v>159045</v>
      </c>
      <c r="N633">
        <f>Clean_Data[[#This Row],[Total_Sales]]-Clean_Data[[#This Row],[Total_Cost]]</f>
        <v>50955</v>
      </c>
      <c r="O633" s="2">
        <f>Clean_Data[[#This Row],[Profit]]/Clean_Data[[#This Row],[Total_Sales]]</f>
        <v>0.24264285714285713</v>
      </c>
      <c r="P633" t="str">
        <f>_xlfn.XLOOKUP(Clean_Data[[#This Row],[Product_Code]],Product_Catalog!A:A,Product_Catalog!C:C)</f>
        <v>Furniture</v>
      </c>
      <c r="Q633">
        <f>IF(Clean_Data[[#This Row],[Order_Date]]="","",YEAR(Clean_Data[[#This Row],[Order_Date]]))</f>
        <v>2025</v>
      </c>
      <c r="R633" t="str">
        <f>TEXT(Clean_Data[[#This Row],[Order_Date]],"mmm")</f>
        <v>Oct</v>
      </c>
      <c r="S633" t="str">
        <f>TEXT(Clean_Data[[#This Row],[Order_Date]],"mmm-yy")</f>
        <v>Oct-25</v>
      </c>
      <c r="V633"/>
    </row>
    <row r="634" spans="1:22" x14ac:dyDescent="0.25">
      <c r="A634" t="s">
        <v>700</v>
      </c>
      <c r="B634" s="1">
        <v>46199</v>
      </c>
      <c r="C634" t="s">
        <v>44</v>
      </c>
      <c r="D634" t="s">
        <v>40</v>
      </c>
      <c r="E634" t="s">
        <v>49</v>
      </c>
      <c r="F634" t="s">
        <v>50</v>
      </c>
      <c r="G634">
        <v>9</v>
      </c>
      <c r="H634">
        <v>75000</v>
      </c>
      <c r="I634">
        <v>52752</v>
      </c>
      <c r="J634" t="s">
        <v>16</v>
      </c>
      <c r="K634" t="s">
        <v>23</v>
      </c>
      <c r="L634">
        <f>SUM(Clean_Data[[#This Row],[Units_Sold]]*Clean_Data[[#This Row],[Unit_Price]])</f>
        <v>675000</v>
      </c>
      <c r="M634">
        <f>Clean_Data[[#This Row],[Units_Sold]]*Clean_Data[[#This Row],[Cost_Price]]</f>
        <v>474768</v>
      </c>
      <c r="N634">
        <f>Clean_Data[[#This Row],[Total_Sales]]-Clean_Data[[#This Row],[Total_Cost]]</f>
        <v>200232</v>
      </c>
      <c r="O634" s="2">
        <f>Clean_Data[[#This Row],[Profit]]/Clean_Data[[#This Row],[Total_Sales]]</f>
        <v>0.29664000000000001</v>
      </c>
      <c r="P634" t="str">
        <f>_xlfn.XLOOKUP(Clean_Data[[#This Row],[Product_Code]],Product_Catalog!A:A,Product_Catalog!C:C)</f>
        <v>Electronics</v>
      </c>
      <c r="Q634">
        <f>IF(Clean_Data[[#This Row],[Order_Date]]="","",YEAR(Clean_Data[[#This Row],[Order_Date]]))</f>
        <v>2026</v>
      </c>
      <c r="R634" t="str">
        <f>TEXT(Clean_Data[[#This Row],[Order_Date]],"mmm")</f>
        <v>Jun</v>
      </c>
      <c r="S634" t="str">
        <f>TEXT(Clean_Data[[#This Row],[Order_Date]],"mmm-yy")</f>
        <v>Jun-26</v>
      </c>
      <c r="V634"/>
    </row>
    <row r="635" spans="1:22" x14ac:dyDescent="0.25">
      <c r="A635" t="s">
        <v>701</v>
      </c>
      <c r="B635" s="1">
        <v>46127</v>
      </c>
      <c r="C635" t="s">
        <v>48</v>
      </c>
      <c r="D635" t="s">
        <v>26</v>
      </c>
      <c r="E635" t="s">
        <v>14</v>
      </c>
      <c r="F635" t="s">
        <v>15</v>
      </c>
      <c r="G635">
        <v>8</v>
      </c>
      <c r="H635">
        <v>12500</v>
      </c>
      <c r="I635">
        <v>9417</v>
      </c>
      <c r="J635" t="s">
        <v>29</v>
      </c>
      <c r="K635" t="s">
        <v>46</v>
      </c>
      <c r="L635">
        <f>SUM(Clean_Data[[#This Row],[Units_Sold]]*Clean_Data[[#This Row],[Unit_Price]])</f>
        <v>100000</v>
      </c>
      <c r="M635">
        <f>Clean_Data[[#This Row],[Units_Sold]]*Clean_Data[[#This Row],[Cost_Price]]</f>
        <v>75336</v>
      </c>
      <c r="N635">
        <f>Clean_Data[[#This Row],[Total_Sales]]-Clean_Data[[#This Row],[Total_Cost]]</f>
        <v>24664</v>
      </c>
      <c r="O635" s="2">
        <f>Clean_Data[[#This Row],[Profit]]/Clean_Data[[#This Row],[Total_Sales]]</f>
        <v>0.24664</v>
      </c>
      <c r="P635" t="str">
        <f>_xlfn.XLOOKUP(Clean_Data[[#This Row],[Product_Code]],Product_Catalog!A:A,Product_Catalog!C:C)</f>
        <v>Accessories</v>
      </c>
      <c r="Q635">
        <f>IF(Clean_Data[[#This Row],[Order_Date]]="","",YEAR(Clean_Data[[#This Row],[Order_Date]]))</f>
        <v>2026</v>
      </c>
      <c r="R635" t="str">
        <f>TEXT(Clean_Data[[#This Row],[Order_Date]],"mmm")</f>
        <v>Apr</v>
      </c>
      <c r="S635" t="str">
        <f>TEXT(Clean_Data[[#This Row],[Order_Date]],"mmm-yy")</f>
        <v>Apr-26</v>
      </c>
      <c r="V635"/>
    </row>
    <row r="636" spans="1:22" x14ac:dyDescent="0.25">
      <c r="A636" t="s">
        <v>702</v>
      </c>
      <c r="B636" s="1">
        <v>46041</v>
      </c>
      <c r="C636" t="s">
        <v>31</v>
      </c>
      <c r="D636" t="s">
        <v>13</v>
      </c>
      <c r="E636" t="s">
        <v>55</v>
      </c>
      <c r="F636" t="s">
        <v>34</v>
      </c>
      <c r="G636">
        <v>11</v>
      </c>
      <c r="H636">
        <v>35000</v>
      </c>
      <c r="I636">
        <v>27787</v>
      </c>
      <c r="J636" t="s">
        <v>22</v>
      </c>
      <c r="K636" t="s">
        <v>23</v>
      </c>
      <c r="L636">
        <f>SUM(Clean_Data[[#This Row],[Units_Sold]]*Clean_Data[[#This Row],[Unit_Price]])</f>
        <v>385000</v>
      </c>
      <c r="M636">
        <f>Clean_Data[[#This Row],[Units_Sold]]*Clean_Data[[#This Row],[Cost_Price]]</f>
        <v>305657</v>
      </c>
      <c r="N636">
        <f>Clean_Data[[#This Row],[Total_Sales]]-Clean_Data[[#This Row],[Total_Cost]]</f>
        <v>79343</v>
      </c>
      <c r="O636" s="2">
        <f>Clean_Data[[#This Row],[Profit]]/Clean_Data[[#This Row],[Total_Sales]]</f>
        <v>0.20608571428571429</v>
      </c>
      <c r="P636" t="str">
        <f>_xlfn.XLOOKUP(Clean_Data[[#This Row],[Product_Code]],Product_Catalog!A:A,Product_Catalog!C:C)</f>
        <v>Furniture</v>
      </c>
      <c r="Q636">
        <f>IF(Clean_Data[[#This Row],[Order_Date]]="","",YEAR(Clean_Data[[#This Row],[Order_Date]]))</f>
        <v>2026</v>
      </c>
      <c r="R636" t="str">
        <f>TEXT(Clean_Data[[#This Row],[Order_Date]],"mmm")</f>
        <v>Jan</v>
      </c>
      <c r="S636" t="str">
        <f>TEXT(Clean_Data[[#This Row],[Order_Date]],"mmm-yy")</f>
        <v>Jan-26</v>
      </c>
      <c r="V636"/>
    </row>
    <row r="637" spans="1:22" x14ac:dyDescent="0.25">
      <c r="A637" t="s">
        <v>703</v>
      </c>
      <c r="B637" s="1">
        <v>46026</v>
      </c>
      <c r="C637" t="s">
        <v>31</v>
      </c>
      <c r="D637" t="s">
        <v>13</v>
      </c>
      <c r="E637" t="s">
        <v>14</v>
      </c>
      <c r="F637" t="s">
        <v>15</v>
      </c>
      <c r="G637">
        <v>18</v>
      </c>
      <c r="H637">
        <v>12500</v>
      </c>
      <c r="I637">
        <v>9690</v>
      </c>
      <c r="J637" t="s">
        <v>29</v>
      </c>
      <c r="K637" t="s">
        <v>17</v>
      </c>
      <c r="L637">
        <f>SUM(Clean_Data[[#This Row],[Units_Sold]]*Clean_Data[[#This Row],[Unit_Price]])</f>
        <v>225000</v>
      </c>
      <c r="M637">
        <f>Clean_Data[[#This Row],[Units_Sold]]*Clean_Data[[#This Row],[Cost_Price]]</f>
        <v>174420</v>
      </c>
      <c r="N637">
        <f>Clean_Data[[#This Row],[Total_Sales]]-Clean_Data[[#This Row],[Total_Cost]]</f>
        <v>50580</v>
      </c>
      <c r="O637" s="2">
        <f>Clean_Data[[#This Row],[Profit]]/Clean_Data[[#This Row],[Total_Sales]]</f>
        <v>0.2248</v>
      </c>
      <c r="P637" t="str">
        <f>_xlfn.XLOOKUP(Clean_Data[[#This Row],[Product_Code]],Product_Catalog!A:A,Product_Catalog!C:C)</f>
        <v>Accessories</v>
      </c>
      <c r="Q637">
        <f>IF(Clean_Data[[#This Row],[Order_Date]]="","",YEAR(Clean_Data[[#This Row],[Order_Date]]))</f>
        <v>2026</v>
      </c>
      <c r="R637" t="str">
        <f>TEXT(Clean_Data[[#This Row],[Order_Date]],"mmm")</f>
        <v>Jan</v>
      </c>
      <c r="S637" t="str">
        <f>TEXT(Clean_Data[[#This Row],[Order_Date]],"mmm-yy")</f>
        <v>Jan-26</v>
      </c>
      <c r="V637"/>
    </row>
    <row r="638" spans="1:22" x14ac:dyDescent="0.25">
      <c r="A638" t="s">
        <v>704</v>
      </c>
      <c r="B638" s="1">
        <v>45769</v>
      </c>
      <c r="C638" t="s">
        <v>62</v>
      </c>
      <c r="D638" t="s">
        <v>40</v>
      </c>
      <c r="E638" t="s">
        <v>66</v>
      </c>
      <c r="F638" t="s">
        <v>67</v>
      </c>
      <c r="G638">
        <v>10</v>
      </c>
      <c r="H638">
        <v>2500</v>
      </c>
      <c r="I638">
        <v>1620</v>
      </c>
      <c r="J638" t="s">
        <v>45</v>
      </c>
      <c r="K638" t="s">
        <v>23</v>
      </c>
      <c r="L638">
        <f>SUM(Clean_Data[[#This Row],[Units_Sold]]*Clean_Data[[#This Row],[Unit_Price]])</f>
        <v>25000</v>
      </c>
      <c r="M638">
        <f>Clean_Data[[#This Row],[Units_Sold]]*Clean_Data[[#This Row],[Cost_Price]]</f>
        <v>16200</v>
      </c>
      <c r="N638">
        <f>Clean_Data[[#This Row],[Total_Sales]]-Clean_Data[[#This Row],[Total_Cost]]</f>
        <v>8800</v>
      </c>
      <c r="O638" s="2">
        <f>Clean_Data[[#This Row],[Profit]]/Clean_Data[[#This Row],[Total_Sales]]</f>
        <v>0.35199999999999998</v>
      </c>
      <c r="P638" t="str">
        <f>_xlfn.XLOOKUP(Clean_Data[[#This Row],[Product_Code]],Product_Catalog!A:A,Product_Catalog!C:C)</f>
        <v>Electronics</v>
      </c>
      <c r="Q638">
        <f>IF(Clean_Data[[#This Row],[Order_Date]]="","",YEAR(Clean_Data[[#This Row],[Order_Date]]))</f>
        <v>2025</v>
      </c>
      <c r="R638" t="str">
        <f>TEXT(Clean_Data[[#This Row],[Order_Date]],"mmm")</f>
        <v>Apr</v>
      </c>
      <c r="S638" t="str">
        <f>TEXT(Clean_Data[[#This Row],[Order_Date]],"mmm-yy")</f>
        <v>Apr-25</v>
      </c>
      <c r="V638"/>
    </row>
    <row r="639" spans="1:22" x14ac:dyDescent="0.25">
      <c r="A639" t="s">
        <v>705</v>
      </c>
      <c r="B639" s="1">
        <v>45752</v>
      </c>
      <c r="C639" t="s">
        <v>48</v>
      </c>
      <c r="D639" t="s">
        <v>26</v>
      </c>
      <c r="E639" t="s">
        <v>66</v>
      </c>
      <c r="F639" t="s">
        <v>67</v>
      </c>
      <c r="G639">
        <v>16</v>
      </c>
      <c r="H639">
        <v>2500</v>
      </c>
      <c r="I639">
        <v>1640</v>
      </c>
      <c r="J639" t="s">
        <v>29</v>
      </c>
      <c r="K639" t="s">
        <v>23</v>
      </c>
      <c r="L639">
        <f>SUM(Clean_Data[[#This Row],[Units_Sold]]*Clean_Data[[#This Row],[Unit_Price]])</f>
        <v>40000</v>
      </c>
      <c r="M639">
        <f>Clean_Data[[#This Row],[Units_Sold]]*Clean_Data[[#This Row],[Cost_Price]]</f>
        <v>26240</v>
      </c>
      <c r="N639">
        <f>Clean_Data[[#This Row],[Total_Sales]]-Clean_Data[[#This Row],[Total_Cost]]</f>
        <v>13760</v>
      </c>
      <c r="O639" s="2">
        <f>Clean_Data[[#This Row],[Profit]]/Clean_Data[[#This Row],[Total_Sales]]</f>
        <v>0.34399999999999997</v>
      </c>
      <c r="P639" t="str">
        <f>_xlfn.XLOOKUP(Clean_Data[[#This Row],[Product_Code]],Product_Catalog!A:A,Product_Catalog!C:C)</f>
        <v>Electronics</v>
      </c>
      <c r="Q639">
        <f>IF(Clean_Data[[#This Row],[Order_Date]]="","",YEAR(Clean_Data[[#This Row],[Order_Date]]))</f>
        <v>2025</v>
      </c>
      <c r="R639" t="str">
        <f>TEXT(Clean_Data[[#This Row],[Order_Date]],"mmm")</f>
        <v>Apr</v>
      </c>
      <c r="S639" t="str">
        <f>TEXT(Clean_Data[[#This Row],[Order_Date]],"mmm-yy")</f>
        <v>Apr-25</v>
      </c>
      <c r="V639"/>
    </row>
    <row r="640" spans="1:22" x14ac:dyDescent="0.25">
      <c r="A640" t="s">
        <v>706</v>
      </c>
      <c r="B640" s="1">
        <v>45803</v>
      </c>
      <c r="C640" t="s">
        <v>73</v>
      </c>
      <c r="D640" t="s">
        <v>13</v>
      </c>
      <c r="E640" t="s">
        <v>66</v>
      </c>
      <c r="F640" t="s">
        <v>67</v>
      </c>
      <c r="G640">
        <v>10</v>
      </c>
      <c r="H640">
        <v>2500</v>
      </c>
      <c r="I640">
        <v>1581</v>
      </c>
      <c r="J640" t="s">
        <v>16</v>
      </c>
      <c r="K640" t="s">
        <v>17</v>
      </c>
      <c r="L640">
        <f>SUM(Clean_Data[[#This Row],[Units_Sold]]*Clean_Data[[#This Row],[Unit_Price]])</f>
        <v>25000</v>
      </c>
      <c r="M640">
        <f>Clean_Data[[#This Row],[Units_Sold]]*Clean_Data[[#This Row],[Cost_Price]]</f>
        <v>15810</v>
      </c>
      <c r="N640">
        <f>Clean_Data[[#This Row],[Total_Sales]]-Clean_Data[[#This Row],[Total_Cost]]</f>
        <v>9190</v>
      </c>
      <c r="O640" s="2">
        <f>Clean_Data[[#This Row],[Profit]]/Clean_Data[[#This Row],[Total_Sales]]</f>
        <v>0.36759999999999998</v>
      </c>
      <c r="P640" t="str">
        <f>_xlfn.XLOOKUP(Clean_Data[[#This Row],[Product_Code]],Product_Catalog!A:A,Product_Catalog!C:C)</f>
        <v>Electronics</v>
      </c>
      <c r="Q640">
        <f>IF(Clean_Data[[#This Row],[Order_Date]]="","",YEAR(Clean_Data[[#This Row],[Order_Date]]))</f>
        <v>2025</v>
      </c>
      <c r="R640" t="str">
        <f>TEXT(Clean_Data[[#This Row],[Order_Date]],"mmm")</f>
        <v>May</v>
      </c>
      <c r="S640" t="str">
        <f>TEXT(Clean_Data[[#This Row],[Order_Date]],"mmm-yy")</f>
        <v>May-25</v>
      </c>
      <c r="V640"/>
    </row>
    <row r="641" spans="1:22" x14ac:dyDescent="0.25">
      <c r="A641" t="s">
        <v>708</v>
      </c>
      <c r="B641" s="1">
        <v>45935</v>
      </c>
      <c r="C641" t="s">
        <v>12</v>
      </c>
      <c r="D641" t="s">
        <v>40</v>
      </c>
      <c r="E641" t="s">
        <v>27</v>
      </c>
      <c r="F641" t="s">
        <v>28</v>
      </c>
      <c r="G641">
        <v>1</v>
      </c>
      <c r="H641">
        <v>14000</v>
      </c>
      <c r="I641">
        <v>10142</v>
      </c>
      <c r="J641" t="s">
        <v>22</v>
      </c>
      <c r="K641" t="s">
        <v>23</v>
      </c>
      <c r="L641">
        <f>SUM(Clean_Data[[#This Row],[Units_Sold]]*Clean_Data[[#This Row],[Unit_Price]])</f>
        <v>14000</v>
      </c>
      <c r="M641">
        <f>Clean_Data[[#This Row],[Units_Sold]]*Clean_Data[[#This Row],[Cost_Price]]</f>
        <v>10142</v>
      </c>
      <c r="N641">
        <f>Clean_Data[[#This Row],[Total_Sales]]-Clean_Data[[#This Row],[Total_Cost]]</f>
        <v>3858</v>
      </c>
      <c r="O641" s="2">
        <f>Clean_Data[[#This Row],[Profit]]/Clean_Data[[#This Row],[Total_Sales]]</f>
        <v>0.27557142857142858</v>
      </c>
      <c r="P641" t="str">
        <f>_xlfn.XLOOKUP(Clean_Data[[#This Row],[Product_Code]],Product_Catalog!A:A,Product_Catalog!C:C)</f>
        <v>Furniture</v>
      </c>
      <c r="Q641">
        <f>IF(Clean_Data[[#This Row],[Order_Date]]="","",YEAR(Clean_Data[[#This Row],[Order_Date]]))</f>
        <v>2025</v>
      </c>
      <c r="R641" t="str">
        <f>TEXT(Clean_Data[[#This Row],[Order_Date]],"mmm")</f>
        <v>Oct</v>
      </c>
      <c r="S641" t="str">
        <f>TEXT(Clean_Data[[#This Row],[Order_Date]],"mmm-yy")</f>
        <v>Oct-25</v>
      </c>
      <c r="V641"/>
    </row>
    <row r="642" spans="1:22" x14ac:dyDescent="0.25">
      <c r="A642" t="s">
        <v>709</v>
      </c>
      <c r="B642" s="1">
        <v>45952</v>
      </c>
      <c r="C642" t="s">
        <v>12</v>
      </c>
      <c r="D642" t="s">
        <v>33</v>
      </c>
      <c r="E642" t="s">
        <v>55</v>
      </c>
      <c r="F642" t="s">
        <v>34</v>
      </c>
      <c r="G642">
        <v>9</v>
      </c>
      <c r="H642">
        <v>35000</v>
      </c>
      <c r="I642">
        <v>25174</v>
      </c>
      <c r="J642" t="s">
        <v>29</v>
      </c>
      <c r="K642" t="s">
        <v>46</v>
      </c>
      <c r="L642">
        <f>SUM(Clean_Data[[#This Row],[Units_Sold]]*Clean_Data[[#This Row],[Unit_Price]])</f>
        <v>315000</v>
      </c>
      <c r="M642">
        <f>Clean_Data[[#This Row],[Units_Sold]]*Clean_Data[[#This Row],[Cost_Price]]</f>
        <v>226566</v>
      </c>
      <c r="N642">
        <f>Clean_Data[[#This Row],[Total_Sales]]-Clean_Data[[#This Row],[Total_Cost]]</f>
        <v>88434</v>
      </c>
      <c r="O642" s="2">
        <f>Clean_Data[[#This Row],[Profit]]/Clean_Data[[#This Row],[Total_Sales]]</f>
        <v>0.28074285714285713</v>
      </c>
      <c r="P642" t="str">
        <f>_xlfn.XLOOKUP(Clean_Data[[#This Row],[Product_Code]],Product_Catalog!A:A,Product_Catalog!C:C)</f>
        <v>Furniture</v>
      </c>
      <c r="Q642">
        <f>IF(Clean_Data[[#This Row],[Order_Date]]="","",YEAR(Clean_Data[[#This Row],[Order_Date]]))</f>
        <v>2025</v>
      </c>
      <c r="R642" t="str">
        <f>TEXT(Clean_Data[[#This Row],[Order_Date]],"mmm")</f>
        <v>Oct</v>
      </c>
      <c r="S642" t="str">
        <f>TEXT(Clean_Data[[#This Row],[Order_Date]],"mmm-yy")</f>
        <v>Oct-25</v>
      </c>
      <c r="V642"/>
    </row>
    <row r="643" spans="1:22" x14ac:dyDescent="0.25">
      <c r="A643" t="s">
        <v>710</v>
      </c>
      <c r="B643" s="1">
        <v>46246</v>
      </c>
      <c r="C643" t="s">
        <v>53</v>
      </c>
      <c r="D643" t="s">
        <v>33</v>
      </c>
      <c r="E643" t="s">
        <v>41</v>
      </c>
      <c r="F643" t="s">
        <v>42</v>
      </c>
      <c r="G643">
        <v>19</v>
      </c>
      <c r="H643">
        <v>28000</v>
      </c>
      <c r="I643">
        <v>22125</v>
      </c>
      <c r="J643" t="s">
        <v>16</v>
      </c>
      <c r="K643" t="s">
        <v>17</v>
      </c>
      <c r="L643">
        <f>SUM(Clean_Data[[#This Row],[Units_Sold]]*Clean_Data[[#This Row],[Unit_Price]])</f>
        <v>532000</v>
      </c>
      <c r="M643">
        <f>Clean_Data[[#This Row],[Units_Sold]]*Clean_Data[[#This Row],[Cost_Price]]</f>
        <v>420375</v>
      </c>
      <c r="N643">
        <f>Clean_Data[[#This Row],[Total_Sales]]-Clean_Data[[#This Row],[Total_Cost]]</f>
        <v>111625</v>
      </c>
      <c r="O643" s="2">
        <f>Clean_Data[[#This Row],[Profit]]/Clean_Data[[#This Row],[Total_Sales]]</f>
        <v>0.20982142857142858</v>
      </c>
      <c r="P643" t="str">
        <f>_xlfn.XLOOKUP(Clean_Data[[#This Row],[Product_Code]],Product_Catalog!A:A,Product_Catalog!C:C)</f>
        <v>Electronics</v>
      </c>
      <c r="Q643">
        <f>IF(Clean_Data[[#This Row],[Order_Date]]="","",YEAR(Clean_Data[[#This Row],[Order_Date]]))</f>
        <v>2026</v>
      </c>
      <c r="R643" t="str">
        <f>TEXT(Clean_Data[[#This Row],[Order_Date]],"mmm")</f>
        <v>Aug</v>
      </c>
      <c r="S643" t="str">
        <f>TEXT(Clean_Data[[#This Row],[Order_Date]],"mmm-yy")</f>
        <v>Aug-26</v>
      </c>
      <c r="V643"/>
    </row>
    <row r="644" spans="1:22" x14ac:dyDescent="0.25">
      <c r="A644" t="s">
        <v>711</v>
      </c>
      <c r="B644" s="1">
        <v>45702</v>
      </c>
      <c r="C644" t="s">
        <v>44</v>
      </c>
      <c r="D644" t="s">
        <v>26</v>
      </c>
      <c r="E644" t="s">
        <v>14</v>
      </c>
      <c r="F644" t="s">
        <v>15</v>
      </c>
      <c r="G644">
        <v>11</v>
      </c>
      <c r="H644">
        <v>12500</v>
      </c>
      <c r="I644">
        <v>8193</v>
      </c>
      <c r="J644" t="s">
        <v>29</v>
      </c>
      <c r="K644" t="s">
        <v>23</v>
      </c>
      <c r="L644">
        <f>SUM(Clean_Data[[#This Row],[Units_Sold]]*Clean_Data[[#This Row],[Unit_Price]])</f>
        <v>137500</v>
      </c>
      <c r="M644">
        <f>Clean_Data[[#This Row],[Units_Sold]]*Clean_Data[[#This Row],[Cost_Price]]</f>
        <v>90123</v>
      </c>
      <c r="N644">
        <f>Clean_Data[[#This Row],[Total_Sales]]-Clean_Data[[#This Row],[Total_Cost]]</f>
        <v>47377</v>
      </c>
      <c r="O644" s="2">
        <f>Clean_Data[[#This Row],[Profit]]/Clean_Data[[#This Row],[Total_Sales]]</f>
        <v>0.34455999999999998</v>
      </c>
      <c r="P644" t="str">
        <f>_xlfn.XLOOKUP(Clean_Data[[#This Row],[Product_Code]],Product_Catalog!A:A,Product_Catalog!C:C)</f>
        <v>Accessories</v>
      </c>
      <c r="Q644">
        <f>IF(Clean_Data[[#This Row],[Order_Date]]="","",YEAR(Clean_Data[[#This Row],[Order_Date]]))</f>
        <v>2025</v>
      </c>
      <c r="R644" t="str">
        <f>TEXT(Clean_Data[[#This Row],[Order_Date]],"mmm")</f>
        <v>Feb</v>
      </c>
      <c r="S644" t="str">
        <f>TEXT(Clean_Data[[#This Row],[Order_Date]],"mmm-yy")</f>
        <v>Feb-25</v>
      </c>
      <c r="V644"/>
    </row>
    <row r="645" spans="1:22" x14ac:dyDescent="0.25">
      <c r="A645" t="s">
        <v>712</v>
      </c>
      <c r="B645" s="1">
        <v>45923</v>
      </c>
      <c r="C645" t="s">
        <v>25</v>
      </c>
      <c r="D645" t="s">
        <v>33</v>
      </c>
      <c r="E645" t="s">
        <v>37</v>
      </c>
      <c r="F645" t="s">
        <v>38</v>
      </c>
      <c r="G645">
        <v>11</v>
      </c>
      <c r="H645">
        <v>55000</v>
      </c>
      <c r="I645">
        <v>33521</v>
      </c>
      <c r="J645" t="s">
        <v>22</v>
      </c>
      <c r="K645" t="s">
        <v>23</v>
      </c>
      <c r="L645">
        <f>SUM(Clean_Data[[#This Row],[Units_Sold]]*Clean_Data[[#This Row],[Unit_Price]])</f>
        <v>605000</v>
      </c>
      <c r="M645">
        <f>Clean_Data[[#This Row],[Units_Sold]]*Clean_Data[[#This Row],[Cost_Price]]</f>
        <v>368731</v>
      </c>
      <c r="N645">
        <f>Clean_Data[[#This Row],[Total_Sales]]-Clean_Data[[#This Row],[Total_Cost]]</f>
        <v>236269</v>
      </c>
      <c r="O645" s="2">
        <f>Clean_Data[[#This Row],[Profit]]/Clean_Data[[#This Row],[Total_Sales]]</f>
        <v>0.39052727272727272</v>
      </c>
      <c r="P645" t="str">
        <f>_xlfn.XLOOKUP(Clean_Data[[#This Row],[Product_Code]],Product_Catalog!A:A,Product_Catalog!C:C)</f>
        <v>Electronics</v>
      </c>
      <c r="Q645">
        <f>IF(Clean_Data[[#This Row],[Order_Date]]="","",YEAR(Clean_Data[[#This Row],[Order_Date]]))</f>
        <v>2025</v>
      </c>
      <c r="R645" t="str">
        <f>TEXT(Clean_Data[[#This Row],[Order_Date]],"mmm")</f>
        <v>Sep</v>
      </c>
      <c r="S645" t="str">
        <f>TEXT(Clean_Data[[#This Row],[Order_Date]],"mmm-yy")</f>
        <v>Sep-25</v>
      </c>
      <c r="V645"/>
    </row>
    <row r="646" spans="1:22" x14ac:dyDescent="0.25">
      <c r="A646" t="s">
        <v>713</v>
      </c>
      <c r="B646" s="1">
        <v>45944</v>
      </c>
      <c r="C646" t="s">
        <v>44</v>
      </c>
      <c r="D646" t="s">
        <v>36</v>
      </c>
      <c r="E646" t="s">
        <v>27</v>
      </c>
      <c r="F646" t="s">
        <v>28</v>
      </c>
      <c r="G646">
        <v>11</v>
      </c>
      <c r="H646">
        <v>14000</v>
      </c>
      <c r="I646">
        <v>8690</v>
      </c>
      <c r="J646" t="s">
        <v>45</v>
      </c>
      <c r="K646" t="s">
        <v>23</v>
      </c>
      <c r="L646">
        <f>SUM(Clean_Data[[#This Row],[Units_Sold]]*Clean_Data[[#This Row],[Unit_Price]])</f>
        <v>154000</v>
      </c>
      <c r="M646">
        <f>Clean_Data[[#This Row],[Units_Sold]]*Clean_Data[[#This Row],[Cost_Price]]</f>
        <v>95590</v>
      </c>
      <c r="N646">
        <f>Clean_Data[[#This Row],[Total_Sales]]-Clean_Data[[#This Row],[Total_Cost]]</f>
        <v>58410</v>
      </c>
      <c r="O646" s="2">
        <f>Clean_Data[[#This Row],[Profit]]/Clean_Data[[#This Row],[Total_Sales]]</f>
        <v>0.37928571428571428</v>
      </c>
      <c r="P646" t="str">
        <f>_xlfn.XLOOKUP(Clean_Data[[#This Row],[Product_Code]],Product_Catalog!A:A,Product_Catalog!C:C)</f>
        <v>Furniture</v>
      </c>
      <c r="Q646">
        <f>IF(Clean_Data[[#This Row],[Order_Date]]="","",YEAR(Clean_Data[[#This Row],[Order_Date]]))</f>
        <v>2025</v>
      </c>
      <c r="R646" t="str">
        <f>TEXT(Clean_Data[[#This Row],[Order_Date]],"mmm")</f>
        <v>Oct</v>
      </c>
      <c r="S646" t="str">
        <f>TEXT(Clean_Data[[#This Row],[Order_Date]],"mmm-yy")</f>
        <v>Oct-25</v>
      </c>
      <c r="V646"/>
    </row>
    <row r="647" spans="1:22" x14ac:dyDescent="0.25">
      <c r="A647" t="s">
        <v>714</v>
      </c>
      <c r="B647" s="1">
        <v>46245</v>
      </c>
      <c r="C647" t="s">
        <v>53</v>
      </c>
      <c r="D647" t="s">
        <v>36</v>
      </c>
      <c r="E647" t="s">
        <v>14</v>
      </c>
      <c r="F647" t="s">
        <v>15</v>
      </c>
      <c r="G647">
        <v>6</v>
      </c>
      <c r="H647">
        <v>12500</v>
      </c>
      <c r="I647">
        <v>9324</v>
      </c>
      <c r="J647" t="s">
        <v>29</v>
      </c>
      <c r="K647" t="s">
        <v>17</v>
      </c>
      <c r="L647">
        <f>SUM(Clean_Data[[#This Row],[Units_Sold]]*Clean_Data[[#This Row],[Unit_Price]])</f>
        <v>75000</v>
      </c>
      <c r="M647">
        <f>Clean_Data[[#This Row],[Units_Sold]]*Clean_Data[[#This Row],[Cost_Price]]</f>
        <v>55944</v>
      </c>
      <c r="N647">
        <f>Clean_Data[[#This Row],[Total_Sales]]-Clean_Data[[#This Row],[Total_Cost]]</f>
        <v>19056</v>
      </c>
      <c r="O647" s="2">
        <f>Clean_Data[[#This Row],[Profit]]/Clean_Data[[#This Row],[Total_Sales]]</f>
        <v>0.25407999999999997</v>
      </c>
      <c r="P647" t="str">
        <f>_xlfn.XLOOKUP(Clean_Data[[#This Row],[Product_Code]],Product_Catalog!A:A,Product_Catalog!C:C)</f>
        <v>Accessories</v>
      </c>
      <c r="Q647">
        <f>IF(Clean_Data[[#This Row],[Order_Date]]="","",YEAR(Clean_Data[[#This Row],[Order_Date]]))</f>
        <v>2026</v>
      </c>
      <c r="R647" t="str">
        <f>TEXT(Clean_Data[[#This Row],[Order_Date]],"mmm")</f>
        <v>Aug</v>
      </c>
      <c r="S647" t="str">
        <f>TEXT(Clean_Data[[#This Row],[Order_Date]],"mmm-yy")</f>
        <v>Aug-26</v>
      </c>
      <c r="V647"/>
    </row>
    <row r="648" spans="1:22" x14ac:dyDescent="0.25">
      <c r="A648" t="s">
        <v>715</v>
      </c>
      <c r="B648" s="1">
        <v>46071</v>
      </c>
      <c r="C648" t="s">
        <v>25</v>
      </c>
      <c r="D648" t="s">
        <v>26</v>
      </c>
      <c r="E648" t="s">
        <v>20</v>
      </c>
      <c r="F648" t="s">
        <v>21</v>
      </c>
      <c r="G648">
        <v>10</v>
      </c>
      <c r="H648">
        <v>8500</v>
      </c>
      <c r="I648">
        <v>6269</v>
      </c>
      <c r="J648" t="s">
        <v>22</v>
      </c>
      <c r="K648" t="s">
        <v>23</v>
      </c>
      <c r="L648">
        <f>SUM(Clean_Data[[#This Row],[Units_Sold]]*Clean_Data[[#This Row],[Unit_Price]])</f>
        <v>85000</v>
      </c>
      <c r="M648">
        <f>Clean_Data[[#This Row],[Units_Sold]]*Clean_Data[[#This Row],[Cost_Price]]</f>
        <v>62690</v>
      </c>
      <c r="N648">
        <f>Clean_Data[[#This Row],[Total_Sales]]-Clean_Data[[#This Row],[Total_Cost]]</f>
        <v>22310</v>
      </c>
      <c r="O648" s="2">
        <f>Clean_Data[[#This Row],[Profit]]/Clean_Data[[#This Row],[Total_Sales]]</f>
        <v>0.26247058823529412</v>
      </c>
      <c r="P648" t="str">
        <f>_xlfn.XLOOKUP(Clean_Data[[#This Row],[Product_Code]],Product_Catalog!A:A,Product_Catalog!C:C)</f>
        <v>Accessories</v>
      </c>
      <c r="Q648">
        <f>IF(Clean_Data[[#This Row],[Order_Date]]="","",YEAR(Clean_Data[[#This Row],[Order_Date]]))</f>
        <v>2026</v>
      </c>
      <c r="R648" t="str">
        <f>TEXT(Clean_Data[[#This Row],[Order_Date]],"mmm")</f>
        <v>Feb</v>
      </c>
      <c r="S648" t="str">
        <f>TEXT(Clean_Data[[#This Row],[Order_Date]],"mmm-yy")</f>
        <v>Feb-26</v>
      </c>
      <c r="V648"/>
    </row>
    <row r="649" spans="1:22" x14ac:dyDescent="0.25">
      <c r="A649" t="s">
        <v>716</v>
      </c>
      <c r="B649" s="1">
        <v>45683</v>
      </c>
      <c r="C649" t="s">
        <v>62</v>
      </c>
      <c r="D649" t="s">
        <v>26</v>
      </c>
      <c r="E649" t="s">
        <v>41</v>
      </c>
      <c r="F649" t="s">
        <v>42</v>
      </c>
      <c r="G649">
        <v>13</v>
      </c>
      <c r="H649">
        <v>28000</v>
      </c>
      <c r="I649">
        <v>17257</v>
      </c>
      <c r="J649" t="s">
        <v>16</v>
      </c>
      <c r="K649" t="s">
        <v>23</v>
      </c>
      <c r="L649">
        <f>SUM(Clean_Data[[#This Row],[Units_Sold]]*Clean_Data[[#This Row],[Unit_Price]])</f>
        <v>364000</v>
      </c>
      <c r="M649">
        <f>Clean_Data[[#This Row],[Units_Sold]]*Clean_Data[[#This Row],[Cost_Price]]</f>
        <v>224341</v>
      </c>
      <c r="N649">
        <f>Clean_Data[[#This Row],[Total_Sales]]-Clean_Data[[#This Row],[Total_Cost]]</f>
        <v>139659</v>
      </c>
      <c r="O649" s="2">
        <f>Clean_Data[[#This Row],[Profit]]/Clean_Data[[#This Row],[Total_Sales]]</f>
        <v>0.38367857142857142</v>
      </c>
      <c r="P649" t="str">
        <f>_xlfn.XLOOKUP(Clean_Data[[#This Row],[Product_Code]],Product_Catalog!A:A,Product_Catalog!C:C)</f>
        <v>Electronics</v>
      </c>
      <c r="Q649">
        <f>IF(Clean_Data[[#This Row],[Order_Date]]="","",YEAR(Clean_Data[[#This Row],[Order_Date]]))</f>
        <v>2025</v>
      </c>
      <c r="R649" t="str">
        <f>TEXT(Clean_Data[[#This Row],[Order_Date]],"mmm")</f>
        <v>Jan</v>
      </c>
      <c r="S649" t="str">
        <f>TEXT(Clean_Data[[#This Row],[Order_Date]],"mmm-yy")</f>
        <v>Jan-25</v>
      </c>
      <c r="V649"/>
    </row>
    <row r="650" spans="1:22" x14ac:dyDescent="0.25">
      <c r="A650" t="s">
        <v>717</v>
      </c>
      <c r="B650" s="1">
        <v>46085</v>
      </c>
      <c r="C650" t="s">
        <v>31</v>
      </c>
      <c r="D650" t="s">
        <v>40</v>
      </c>
      <c r="E650" t="s">
        <v>66</v>
      </c>
      <c r="F650" t="s">
        <v>67</v>
      </c>
      <c r="G650">
        <v>8</v>
      </c>
      <c r="H650">
        <v>2500</v>
      </c>
      <c r="I650">
        <v>1834</v>
      </c>
      <c r="J650" t="s">
        <v>22</v>
      </c>
      <c r="K650" t="s">
        <v>84</v>
      </c>
      <c r="L650">
        <f>SUM(Clean_Data[[#This Row],[Units_Sold]]*Clean_Data[[#This Row],[Unit_Price]])</f>
        <v>20000</v>
      </c>
      <c r="M650">
        <f>Clean_Data[[#This Row],[Units_Sold]]*Clean_Data[[#This Row],[Cost_Price]]</f>
        <v>14672</v>
      </c>
      <c r="N650">
        <f>Clean_Data[[#This Row],[Total_Sales]]-Clean_Data[[#This Row],[Total_Cost]]</f>
        <v>5328</v>
      </c>
      <c r="O650" s="2">
        <f>Clean_Data[[#This Row],[Profit]]/Clean_Data[[#This Row],[Total_Sales]]</f>
        <v>0.26640000000000003</v>
      </c>
      <c r="P650" t="str">
        <f>_xlfn.XLOOKUP(Clean_Data[[#This Row],[Product_Code]],Product_Catalog!A:A,Product_Catalog!C:C)</f>
        <v>Electronics</v>
      </c>
      <c r="Q650">
        <f>IF(Clean_Data[[#This Row],[Order_Date]]="","",YEAR(Clean_Data[[#This Row],[Order_Date]]))</f>
        <v>2026</v>
      </c>
      <c r="R650" t="str">
        <f>TEXT(Clean_Data[[#This Row],[Order_Date]],"mmm")</f>
        <v>Mar</v>
      </c>
      <c r="S650" t="str">
        <f>TEXT(Clean_Data[[#This Row],[Order_Date]],"mmm-yy")</f>
        <v>Mar-26</v>
      </c>
      <c r="V650"/>
    </row>
    <row r="651" spans="1:22" x14ac:dyDescent="0.25">
      <c r="A651" t="s">
        <v>718</v>
      </c>
      <c r="B651" s="1">
        <v>45701</v>
      </c>
      <c r="C651" t="s">
        <v>62</v>
      </c>
      <c r="D651" t="s">
        <v>13</v>
      </c>
      <c r="E651" t="s">
        <v>41</v>
      </c>
      <c r="F651" t="s">
        <v>42</v>
      </c>
      <c r="G651">
        <v>4</v>
      </c>
      <c r="H651">
        <v>28000</v>
      </c>
      <c r="I651">
        <v>18022</v>
      </c>
      <c r="J651" t="s">
        <v>29</v>
      </c>
      <c r="K651" t="s">
        <v>17</v>
      </c>
      <c r="L651">
        <f>SUM(Clean_Data[[#This Row],[Units_Sold]]*Clean_Data[[#This Row],[Unit_Price]])</f>
        <v>112000</v>
      </c>
      <c r="M651">
        <f>Clean_Data[[#This Row],[Units_Sold]]*Clean_Data[[#This Row],[Cost_Price]]</f>
        <v>72088</v>
      </c>
      <c r="N651">
        <f>Clean_Data[[#This Row],[Total_Sales]]-Clean_Data[[#This Row],[Total_Cost]]</f>
        <v>39912</v>
      </c>
      <c r="O651" s="2">
        <f>Clean_Data[[#This Row],[Profit]]/Clean_Data[[#This Row],[Total_Sales]]</f>
        <v>0.35635714285714287</v>
      </c>
      <c r="P651" t="str">
        <f>_xlfn.XLOOKUP(Clean_Data[[#This Row],[Product_Code]],Product_Catalog!A:A,Product_Catalog!C:C)</f>
        <v>Electronics</v>
      </c>
      <c r="Q651">
        <f>IF(Clean_Data[[#This Row],[Order_Date]]="","",YEAR(Clean_Data[[#This Row],[Order_Date]]))</f>
        <v>2025</v>
      </c>
      <c r="R651" t="str">
        <f>TEXT(Clean_Data[[#This Row],[Order_Date]],"mmm")</f>
        <v>Feb</v>
      </c>
      <c r="S651" t="str">
        <f>TEXT(Clean_Data[[#This Row],[Order_Date]],"mmm-yy")</f>
        <v>Feb-25</v>
      </c>
      <c r="V651"/>
    </row>
    <row r="652" spans="1:22" x14ac:dyDescent="0.25">
      <c r="A652" t="s">
        <v>719</v>
      </c>
      <c r="B652" s="1">
        <v>46171</v>
      </c>
      <c r="C652" t="s">
        <v>25</v>
      </c>
      <c r="D652" t="s">
        <v>40</v>
      </c>
      <c r="E652" t="s">
        <v>66</v>
      </c>
      <c r="F652" t="s">
        <v>67</v>
      </c>
      <c r="G652">
        <v>18</v>
      </c>
      <c r="H652">
        <v>2500</v>
      </c>
      <c r="I652">
        <v>1721</v>
      </c>
      <c r="J652" t="s">
        <v>29</v>
      </c>
      <c r="K652" t="s">
        <v>17</v>
      </c>
      <c r="L652">
        <f>SUM(Clean_Data[[#This Row],[Units_Sold]]*Clean_Data[[#This Row],[Unit_Price]])</f>
        <v>45000</v>
      </c>
      <c r="M652">
        <f>Clean_Data[[#This Row],[Units_Sold]]*Clean_Data[[#This Row],[Cost_Price]]</f>
        <v>30978</v>
      </c>
      <c r="N652">
        <f>Clean_Data[[#This Row],[Total_Sales]]-Clean_Data[[#This Row],[Total_Cost]]</f>
        <v>14022</v>
      </c>
      <c r="O652" s="2">
        <f>Clean_Data[[#This Row],[Profit]]/Clean_Data[[#This Row],[Total_Sales]]</f>
        <v>0.31159999999999999</v>
      </c>
      <c r="P652" t="str">
        <f>_xlfn.XLOOKUP(Clean_Data[[#This Row],[Product_Code]],Product_Catalog!A:A,Product_Catalog!C:C)</f>
        <v>Electronics</v>
      </c>
      <c r="Q652">
        <f>IF(Clean_Data[[#This Row],[Order_Date]]="","",YEAR(Clean_Data[[#This Row],[Order_Date]]))</f>
        <v>2026</v>
      </c>
      <c r="R652" t="str">
        <f>TEXT(Clean_Data[[#This Row],[Order_Date]],"mmm")</f>
        <v>May</v>
      </c>
      <c r="S652" t="str">
        <f>TEXT(Clean_Data[[#This Row],[Order_Date]],"mmm-yy")</f>
        <v>May-26</v>
      </c>
      <c r="V652"/>
    </row>
    <row r="653" spans="1:22" x14ac:dyDescent="0.25">
      <c r="A653" t="s">
        <v>720</v>
      </c>
      <c r="B653" s="1">
        <v>46103</v>
      </c>
      <c r="C653" t="s">
        <v>31</v>
      </c>
      <c r="D653" t="s">
        <v>36</v>
      </c>
      <c r="E653" t="s">
        <v>20</v>
      </c>
      <c r="F653" t="s">
        <v>21</v>
      </c>
      <c r="G653">
        <v>7</v>
      </c>
      <c r="H653">
        <v>8500</v>
      </c>
      <c r="I653">
        <v>5577</v>
      </c>
      <c r="J653" t="s">
        <v>16</v>
      </c>
      <c r="K653" t="s">
        <v>23</v>
      </c>
      <c r="L653">
        <f>SUM(Clean_Data[[#This Row],[Units_Sold]]*Clean_Data[[#This Row],[Unit_Price]])</f>
        <v>59500</v>
      </c>
      <c r="M653">
        <f>Clean_Data[[#This Row],[Units_Sold]]*Clean_Data[[#This Row],[Cost_Price]]</f>
        <v>39039</v>
      </c>
      <c r="N653">
        <f>Clean_Data[[#This Row],[Total_Sales]]-Clean_Data[[#This Row],[Total_Cost]]</f>
        <v>20461</v>
      </c>
      <c r="O653" s="2">
        <f>Clean_Data[[#This Row],[Profit]]/Clean_Data[[#This Row],[Total_Sales]]</f>
        <v>0.34388235294117647</v>
      </c>
      <c r="P653" t="str">
        <f>_xlfn.XLOOKUP(Clean_Data[[#This Row],[Product_Code]],Product_Catalog!A:A,Product_Catalog!C:C)</f>
        <v>Accessories</v>
      </c>
      <c r="Q653">
        <f>IF(Clean_Data[[#This Row],[Order_Date]]="","",YEAR(Clean_Data[[#This Row],[Order_Date]]))</f>
        <v>2026</v>
      </c>
      <c r="R653" t="str">
        <f>TEXT(Clean_Data[[#This Row],[Order_Date]],"mmm")</f>
        <v>Mar</v>
      </c>
      <c r="S653" t="str">
        <f>TEXT(Clean_Data[[#This Row],[Order_Date]],"mmm-yy")</f>
        <v>Mar-26</v>
      </c>
      <c r="V653"/>
    </row>
    <row r="654" spans="1:22" x14ac:dyDescent="0.25">
      <c r="A654" t="s">
        <v>721</v>
      </c>
      <c r="B654" s="1">
        <v>45809</v>
      </c>
      <c r="C654" t="s">
        <v>44</v>
      </c>
      <c r="D654" t="s">
        <v>13</v>
      </c>
      <c r="E654" t="s">
        <v>55</v>
      </c>
      <c r="F654" t="s">
        <v>34</v>
      </c>
      <c r="G654">
        <v>2</v>
      </c>
      <c r="H654">
        <v>35000</v>
      </c>
      <c r="I654">
        <v>26173</v>
      </c>
      <c r="J654" t="s">
        <v>45</v>
      </c>
      <c r="K654" t="s">
        <v>17</v>
      </c>
      <c r="L654">
        <f>SUM(Clean_Data[[#This Row],[Units_Sold]]*Clean_Data[[#This Row],[Unit_Price]])</f>
        <v>70000</v>
      </c>
      <c r="M654">
        <f>Clean_Data[[#This Row],[Units_Sold]]*Clean_Data[[#This Row],[Cost_Price]]</f>
        <v>52346</v>
      </c>
      <c r="N654">
        <f>Clean_Data[[#This Row],[Total_Sales]]-Clean_Data[[#This Row],[Total_Cost]]</f>
        <v>17654</v>
      </c>
      <c r="O654" s="2">
        <f>Clean_Data[[#This Row],[Profit]]/Clean_Data[[#This Row],[Total_Sales]]</f>
        <v>0.25219999999999998</v>
      </c>
      <c r="P654" t="str">
        <f>_xlfn.XLOOKUP(Clean_Data[[#This Row],[Product_Code]],Product_Catalog!A:A,Product_Catalog!C:C)</f>
        <v>Furniture</v>
      </c>
      <c r="Q654">
        <f>IF(Clean_Data[[#This Row],[Order_Date]]="","",YEAR(Clean_Data[[#This Row],[Order_Date]]))</f>
        <v>2025</v>
      </c>
      <c r="R654" t="str">
        <f>TEXT(Clean_Data[[#This Row],[Order_Date]],"mmm")</f>
        <v>Jun</v>
      </c>
      <c r="S654" t="str">
        <f>TEXT(Clean_Data[[#This Row],[Order_Date]],"mmm-yy")</f>
        <v>Jun-25</v>
      </c>
      <c r="V654"/>
    </row>
    <row r="655" spans="1:22" x14ac:dyDescent="0.25">
      <c r="A655" t="s">
        <v>722</v>
      </c>
      <c r="B655" s="1">
        <v>46252</v>
      </c>
      <c r="C655" t="s">
        <v>31</v>
      </c>
      <c r="D655" t="s">
        <v>13</v>
      </c>
      <c r="E655" t="s">
        <v>27</v>
      </c>
      <c r="F655" t="s">
        <v>28</v>
      </c>
      <c r="G655">
        <v>7</v>
      </c>
      <c r="H655">
        <v>14000</v>
      </c>
      <c r="I655">
        <v>11160</v>
      </c>
      <c r="J655" t="s">
        <v>22</v>
      </c>
      <c r="K655" t="s">
        <v>23</v>
      </c>
      <c r="L655">
        <f>SUM(Clean_Data[[#This Row],[Units_Sold]]*Clean_Data[[#This Row],[Unit_Price]])</f>
        <v>98000</v>
      </c>
      <c r="M655">
        <f>Clean_Data[[#This Row],[Units_Sold]]*Clean_Data[[#This Row],[Cost_Price]]</f>
        <v>78120</v>
      </c>
      <c r="N655">
        <f>Clean_Data[[#This Row],[Total_Sales]]-Clean_Data[[#This Row],[Total_Cost]]</f>
        <v>19880</v>
      </c>
      <c r="O655" s="2">
        <f>Clean_Data[[#This Row],[Profit]]/Clean_Data[[#This Row],[Total_Sales]]</f>
        <v>0.20285714285714285</v>
      </c>
      <c r="P655" t="str">
        <f>_xlfn.XLOOKUP(Clean_Data[[#This Row],[Product_Code]],Product_Catalog!A:A,Product_Catalog!C:C)</f>
        <v>Furniture</v>
      </c>
      <c r="Q655">
        <f>IF(Clean_Data[[#This Row],[Order_Date]]="","",YEAR(Clean_Data[[#This Row],[Order_Date]]))</f>
        <v>2026</v>
      </c>
      <c r="R655" t="str">
        <f>TEXT(Clean_Data[[#This Row],[Order_Date]],"mmm")</f>
        <v>Aug</v>
      </c>
      <c r="S655" t="str">
        <f>TEXT(Clean_Data[[#This Row],[Order_Date]],"mmm-yy")</f>
        <v>Aug-26</v>
      </c>
      <c r="V655"/>
    </row>
    <row r="656" spans="1:22" x14ac:dyDescent="0.25">
      <c r="A656" t="s">
        <v>723</v>
      </c>
      <c r="B656" s="1">
        <v>46021</v>
      </c>
      <c r="C656" t="s">
        <v>44</v>
      </c>
      <c r="D656" t="s">
        <v>36</v>
      </c>
      <c r="E656" t="s">
        <v>14</v>
      </c>
      <c r="F656" t="s">
        <v>15</v>
      </c>
      <c r="G656">
        <v>14</v>
      </c>
      <c r="H656">
        <v>12500</v>
      </c>
      <c r="I656">
        <v>9646</v>
      </c>
      <c r="J656" t="s">
        <v>22</v>
      </c>
      <c r="K656" t="s">
        <v>17</v>
      </c>
      <c r="L656">
        <f>SUM(Clean_Data[[#This Row],[Units_Sold]]*Clean_Data[[#This Row],[Unit_Price]])</f>
        <v>175000</v>
      </c>
      <c r="M656">
        <f>Clean_Data[[#This Row],[Units_Sold]]*Clean_Data[[#This Row],[Cost_Price]]</f>
        <v>135044</v>
      </c>
      <c r="N656">
        <f>Clean_Data[[#This Row],[Total_Sales]]-Clean_Data[[#This Row],[Total_Cost]]</f>
        <v>39956</v>
      </c>
      <c r="O656" s="2">
        <f>Clean_Data[[#This Row],[Profit]]/Clean_Data[[#This Row],[Total_Sales]]</f>
        <v>0.22832</v>
      </c>
      <c r="P656" t="str">
        <f>_xlfn.XLOOKUP(Clean_Data[[#This Row],[Product_Code]],Product_Catalog!A:A,Product_Catalog!C:C)</f>
        <v>Accessories</v>
      </c>
      <c r="Q656">
        <f>IF(Clean_Data[[#This Row],[Order_Date]]="","",YEAR(Clean_Data[[#This Row],[Order_Date]]))</f>
        <v>2025</v>
      </c>
      <c r="R656" t="str">
        <f>TEXT(Clean_Data[[#This Row],[Order_Date]],"mmm")</f>
        <v>Dec</v>
      </c>
      <c r="S656" t="str">
        <f>TEXT(Clean_Data[[#This Row],[Order_Date]],"mmm-yy")</f>
        <v>Dec-25</v>
      </c>
      <c r="V656"/>
    </row>
    <row r="657" spans="1:22" x14ac:dyDescent="0.25">
      <c r="A657" t="s">
        <v>724</v>
      </c>
      <c r="B657" s="1">
        <v>45685</v>
      </c>
      <c r="C657" t="s">
        <v>73</v>
      </c>
      <c r="D657" t="s">
        <v>13</v>
      </c>
      <c r="E657" t="s">
        <v>63</v>
      </c>
      <c r="F657" t="s">
        <v>59</v>
      </c>
      <c r="G657">
        <v>11</v>
      </c>
      <c r="H657">
        <v>4500</v>
      </c>
      <c r="I657">
        <v>3315</v>
      </c>
      <c r="J657" t="s">
        <v>29</v>
      </c>
      <c r="K657" t="s">
        <v>17</v>
      </c>
      <c r="L657">
        <f>SUM(Clean_Data[[#This Row],[Units_Sold]]*Clean_Data[[#This Row],[Unit_Price]])</f>
        <v>49500</v>
      </c>
      <c r="M657">
        <f>Clean_Data[[#This Row],[Units_Sold]]*Clean_Data[[#This Row],[Cost_Price]]</f>
        <v>36465</v>
      </c>
      <c r="N657">
        <f>Clean_Data[[#This Row],[Total_Sales]]-Clean_Data[[#This Row],[Total_Cost]]</f>
        <v>13035</v>
      </c>
      <c r="O657" s="2">
        <f>Clean_Data[[#This Row],[Profit]]/Clean_Data[[#This Row],[Total_Sales]]</f>
        <v>0.26333333333333331</v>
      </c>
      <c r="P657" t="str">
        <f>_xlfn.XLOOKUP(Clean_Data[[#This Row],[Product_Code]],Product_Catalog!A:A,Product_Catalog!C:C)</f>
        <v>Electronics</v>
      </c>
      <c r="Q657">
        <f>IF(Clean_Data[[#This Row],[Order_Date]]="","",YEAR(Clean_Data[[#This Row],[Order_Date]]))</f>
        <v>2025</v>
      </c>
      <c r="R657" t="str">
        <f>TEXT(Clean_Data[[#This Row],[Order_Date]],"mmm")</f>
        <v>Jan</v>
      </c>
      <c r="S657" t="str">
        <f>TEXT(Clean_Data[[#This Row],[Order_Date]],"mmm-yy")</f>
        <v>Jan-25</v>
      </c>
      <c r="V657"/>
    </row>
    <row r="658" spans="1:22" x14ac:dyDescent="0.25">
      <c r="A658" t="s">
        <v>725</v>
      </c>
      <c r="B658" s="1">
        <v>45727</v>
      </c>
      <c r="C658" t="s">
        <v>25</v>
      </c>
      <c r="D658" t="s">
        <v>40</v>
      </c>
      <c r="E658" t="s">
        <v>14</v>
      </c>
      <c r="F658" t="s">
        <v>15</v>
      </c>
      <c r="G658">
        <v>17</v>
      </c>
      <c r="H658">
        <v>12500</v>
      </c>
      <c r="I658">
        <v>9638</v>
      </c>
      <c r="J658" t="s">
        <v>45</v>
      </c>
      <c r="K658" t="s">
        <v>46</v>
      </c>
      <c r="L658">
        <f>SUM(Clean_Data[[#This Row],[Units_Sold]]*Clean_Data[[#This Row],[Unit_Price]])</f>
        <v>212500</v>
      </c>
      <c r="M658">
        <f>Clean_Data[[#This Row],[Units_Sold]]*Clean_Data[[#This Row],[Cost_Price]]</f>
        <v>163846</v>
      </c>
      <c r="N658">
        <f>Clean_Data[[#This Row],[Total_Sales]]-Clean_Data[[#This Row],[Total_Cost]]</f>
        <v>48654</v>
      </c>
      <c r="O658" s="2">
        <f>Clean_Data[[#This Row],[Profit]]/Clean_Data[[#This Row],[Total_Sales]]</f>
        <v>0.22896</v>
      </c>
      <c r="P658" t="str">
        <f>_xlfn.XLOOKUP(Clean_Data[[#This Row],[Product_Code]],Product_Catalog!A:A,Product_Catalog!C:C)</f>
        <v>Accessories</v>
      </c>
      <c r="Q658">
        <f>IF(Clean_Data[[#This Row],[Order_Date]]="","",YEAR(Clean_Data[[#This Row],[Order_Date]]))</f>
        <v>2025</v>
      </c>
      <c r="R658" t="str">
        <f>TEXT(Clean_Data[[#This Row],[Order_Date]],"mmm")</f>
        <v>Mar</v>
      </c>
      <c r="S658" t="str">
        <f>TEXT(Clean_Data[[#This Row],[Order_Date]],"mmm-yy")</f>
        <v>Mar-25</v>
      </c>
      <c r="V658"/>
    </row>
    <row r="659" spans="1:22" x14ac:dyDescent="0.25">
      <c r="A659" t="s">
        <v>726</v>
      </c>
      <c r="B659" s="1">
        <v>45907</v>
      </c>
      <c r="C659" t="s">
        <v>12</v>
      </c>
      <c r="D659" t="s">
        <v>36</v>
      </c>
      <c r="E659" t="s">
        <v>14</v>
      </c>
      <c r="F659" t="s">
        <v>15</v>
      </c>
      <c r="G659">
        <v>10</v>
      </c>
      <c r="H659">
        <v>12500</v>
      </c>
      <c r="I659">
        <v>9854</v>
      </c>
      <c r="J659" t="s">
        <v>45</v>
      </c>
      <c r="K659" t="s">
        <v>23</v>
      </c>
      <c r="L659">
        <f>SUM(Clean_Data[[#This Row],[Units_Sold]]*Clean_Data[[#This Row],[Unit_Price]])</f>
        <v>125000</v>
      </c>
      <c r="M659">
        <f>Clean_Data[[#This Row],[Units_Sold]]*Clean_Data[[#This Row],[Cost_Price]]</f>
        <v>98540</v>
      </c>
      <c r="N659">
        <f>Clean_Data[[#This Row],[Total_Sales]]-Clean_Data[[#This Row],[Total_Cost]]</f>
        <v>26460</v>
      </c>
      <c r="O659" s="2">
        <f>Clean_Data[[#This Row],[Profit]]/Clean_Data[[#This Row],[Total_Sales]]</f>
        <v>0.21168000000000001</v>
      </c>
      <c r="P659" t="str">
        <f>_xlfn.XLOOKUP(Clean_Data[[#This Row],[Product_Code]],Product_Catalog!A:A,Product_Catalog!C:C)</f>
        <v>Accessories</v>
      </c>
      <c r="Q659">
        <f>IF(Clean_Data[[#This Row],[Order_Date]]="","",YEAR(Clean_Data[[#This Row],[Order_Date]]))</f>
        <v>2025</v>
      </c>
      <c r="R659" t="str">
        <f>TEXT(Clean_Data[[#This Row],[Order_Date]],"mmm")</f>
        <v>Sep</v>
      </c>
      <c r="S659" t="str">
        <f>TEXT(Clean_Data[[#This Row],[Order_Date]],"mmm-yy")</f>
        <v>Sep-25</v>
      </c>
      <c r="V659"/>
    </row>
    <row r="660" spans="1:22" x14ac:dyDescent="0.25">
      <c r="A660" t="s">
        <v>727</v>
      </c>
      <c r="B660" s="1">
        <v>45758</v>
      </c>
      <c r="C660" t="s">
        <v>25</v>
      </c>
      <c r="D660" t="s">
        <v>36</v>
      </c>
      <c r="E660" t="s">
        <v>20</v>
      </c>
      <c r="F660" t="s">
        <v>21</v>
      </c>
      <c r="G660">
        <v>11</v>
      </c>
      <c r="H660">
        <v>8500</v>
      </c>
      <c r="I660">
        <v>6576</v>
      </c>
      <c r="J660" t="s">
        <v>22</v>
      </c>
      <c r="K660" t="s">
        <v>17</v>
      </c>
      <c r="L660">
        <f>SUM(Clean_Data[[#This Row],[Units_Sold]]*Clean_Data[[#This Row],[Unit_Price]])</f>
        <v>93500</v>
      </c>
      <c r="M660">
        <f>Clean_Data[[#This Row],[Units_Sold]]*Clean_Data[[#This Row],[Cost_Price]]</f>
        <v>72336</v>
      </c>
      <c r="N660">
        <f>Clean_Data[[#This Row],[Total_Sales]]-Clean_Data[[#This Row],[Total_Cost]]</f>
        <v>21164</v>
      </c>
      <c r="O660" s="2">
        <f>Clean_Data[[#This Row],[Profit]]/Clean_Data[[#This Row],[Total_Sales]]</f>
        <v>0.22635294117647059</v>
      </c>
      <c r="P660" t="str">
        <f>_xlfn.XLOOKUP(Clean_Data[[#This Row],[Product_Code]],Product_Catalog!A:A,Product_Catalog!C:C)</f>
        <v>Accessories</v>
      </c>
      <c r="Q660">
        <f>IF(Clean_Data[[#This Row],[Order_Date]]="","",YEAR(Clean_Data[[#This Row],[Order_Date]]))</f>
        <v>2025</v>
      </c>
      <c r="R660" t="str">
        <f>TEXT(Clean_Data[[#This Row],[Order_Date]],"mmm")</f>
        <v>Apr</v>
      </c>
      <c r="S660" t="str">
        <f>TEXT(Clean_Data[[#This Row],[Order_Date]],"mmm-yy")</f>
        <v>Apr-25</v>
      </c>
      <c r="V660"/>
    </row>
    <row r="661" spans="1:22" x14ac:dyDescent="0.25">
      <c r="A661" t="s">
        <v>728</v>
      </c>
      <c r="B661" s="1">
        <v>46173</v>
      </c>
      <c r="C661" t="s">
        <v>44</v>
      </c>
      <c r="D661" t="s">
        <v>40</v>
      </c>
      <c r="E661" t="s">
        <v>49</v>
      </c>
      <c r="F661" t="s">
        <v>50</v>
      </c>
      <c r="G661">
        <v>4</v>
      </c>
      <c r="H661">
        <v>75000</v>
      </c>
      <c r="I661">
        <v>58109</v>
      </c>
      <c r="J661" t="s">
        <v>16</v>
      </c>
      <c r="K661" t="s">
        <v>17</v>
      </c>
      <c r="L661">
        <f>SUM(Clean_Data[[#This Row],[Units_Sold]]*Clean_Data[[#This Row],[Unit_Price]])</f>
        <v>300000</v>
      </c>
      <c r="M661">
        <f>Clean_Data[[#This Row],[Units_Sold]]*Clean_Data[[#This Row],[Cost_Price]]</f>
        <v>232436</v>
      </c>
      <c r="N661">
        <f>Clean_Data[[#This Row],[Total_Sales]]-Clean_Data[[#This Row],[Total_Cost]]</f>
        <v>67564</v>
      </c>
      <c r="O661" s="2">
        <f>Clean_Data[[#This Row],[Profit]]/Clean_Data[[#This Row],[Total_Sales]]</f>
        <v>0.22521333333333332</v>
      </c>
      <c r="P661" t="str">
        <f>_xlfn.XLOOKUP(Clean_Data[[#This Row],[Product_Code]],Product_Catalog!A:A,Product_Catalog!C:C)</f>
        <v>Electronics</v>
      </c>
      <c r="Q661">
        <f>IF(Clean_Data[[#This Row],[Order_Date]]="","",YEAR(Clean_Data[[#This Row],[Order_Date]]))</f>
        <v>2026</v>
      </c>
      <c r="R661" t="str">
        <f>TEXT(Clean_Data[[#This Row],[Order_Date]],"mmm")</f>
        <v>May</v>
      </c>
      <c r="S661" t="str">
        <f>TEXT(Clean_Data[[#This Row],[Order_Date]],"mmm-yy")</f>
        <v>May-26</v>
      </c>
      <c r="V661"/>
    </row>
    <row r="662" spans="1:22" x14ac:dyDescent="0.25">
      <c r="A662" t="s">
        <v>729</v>
      </c>
      <c r="B662" s="1">
        <v>45927</v>
      </c>
      <c r="C662" t="s">
        <v>48</v>
      </c>
      <c r="D662" t="s">
        <v>33</v>
      </c>
      <c r="E662" t="s">
        <v>20</v>
      </c>
      <c r="F662" t="s">
        <v>21</v>
      </c>
      <c r="G662">
        <v>7</v>
      </c>
      <c r="H662">
        <v>8500</v>
      </c>
      <c r="I662">
        <v>6295</v>
      </c>
      <c r="J662" t="s">
        <v>29</v>
      </c>
      <c r="K662" t="s">
        <v>23</v>
      </c>
      <c r="L662">
        <f>SUM(Clean_Data[[#This Row],[Units_Sold]]*Clean_Data[[#This Row],[Unit_Price]])</f>
        <v>59500</v>
      </c>
      <c r="M662">
        <f>Clean_Data[[#This Row],[Units_Sold]]*Clean_Data[[#This Row],[Cost_Price]]</f>
        <v>44065</v>
      </c>
      <c r="N662">
        <f>Clean_Data[[#This Row],[Total_Sales]]-Clean_Data[[#This Row],[Total_Cost]]</f>
        <v>15435</v>
      </c>
      <c r="O662" s="2">
        <f>Clean_Data[[#This Row],[Profit]]/Clean_Data[[#This Row],[Total_Sales]]</f>
        <v>0.25941176470588234</v>
      </c>
      <c r="P662" t="str">
        <f>_xlfn.XLOOKUP(Clean_Data[[#This Row],[Product_Code]],Product_Catalog!A:A,Product_Catalog!C:C)</f>
        <v>Accessories</v>
      </c>
      <c r="Q662">
        <f>IF(Clean_Data[[#This Row],[Order_Date]]="","",YEAR(Clean_Data[[#This Row],[Order_Date]]))</f>
        <v>2025</v>
      </c>
      <c r="R662" t="str">
        <f>TEXT(Clean_Data[[#This Row],[Order_Date]],"mmm")</f>
        <v>Sep</v>
      </c>
      <c r="S662" t="str">
        <f>TEXT(Clean_Data[[#This Row],[Order_Date]],"mmm-yy")</f>
        <v>Sep-25</v>
      </c>
      <c r="V662"/>
    </row>
    <row r="663" spans="1:22" x14ac:dyDescent="0.25">
      <c r="A663" t="s">
        <v>730</v>
      </c>
      <c r="B663" s="1">
        <v>45769</v>
      </c>
      <c r="C663" t="s">
        <v>25</v>
      </c>
      <c r="D663" t="s">
        <v>26</v>
      </c>
      <c r="E663" t="s">
        <v>66</v>
      </c>
      <c r="F663" t="s">
        <v>67</v>
      </c>
      <c r="G663">
        <v>9</v>
      </c>
      <c r="H663">
        <v>2500</v>
      </c>
      <c r="I663">
        <v>1704</v>
      </c>
      <c r="J663" t="s">
        <v>45</v>
      </c>
      <c r="K663" t="s">
        <v>46</v>
      </c>
      <c r="L663">
        <f>SUM(Clean_Data[[#This Row],[Units_Sold]]*Clean_Data[[#This Row],[Unit_Price]])</f>
        <v>22500</v>
      </c>
      <c r="M663">
        <f>Clean_Data[[#This Row],[Units_Sold]]*Clean_Data[[#This Row],[Cost_Price]]</f>
        <v>15336</v>
      </c>
      <c r="N663">
        <f>Clean_Data[[#This Row],[Total_Sales]]-Clean_Data[[#This Row],[Total_Cost]]</f>
        <v>7164</v>
      </c>
      <c r="O663" s="2">
        <f>Clean_Data[[#This Row],[Profit]]/Clean_Data[[#This Row],[Total_Sales]]</f>
        <v>0.31840000000000002</v>
      </c>
      <c r="P663" t="str">
        <f>_xlfn.XLOOKUP(Clean_Data[[#This Row],[Product_Code]],Product_Catalog!A:A,Product_Catalog!C:C)</f>
        <v>Electronics</v>
      </c>
      <c r="Q663">
        <f>IF(Clean_Data[[#This Row],[Order_Date]]="","",YEAR(Clean_Data[[#This Row],[Order_Date]]))</f>
        <v>2025</v>
      </c>
      <c r="R663" t="str">
        <f>TEXT(Clean_Data[[#This Row],[Order_Date]],"mmm")</f>
        <v>Apr</v>
      </c>
      <c r="S663" t="str">
        <f>TEXT(Clean_Data[[#This Row],[Order_Date]],"mmm-yy")</f>
        <v>Apr-25</v>
      </c>
      <c r="V663"/>
    </row>
    <row r="664" spans="1:22" x14ac:dyDescent="0.25">
      <c r="A664" t="s">
        <v>731</v>
      </c>
      <c r="B664" s="1">
        <v>46114</v>
      </c>
      <c r="C664" t="s">
        <v>31</v>
      </c>
      <c r="D664" t="s">
        <v>26</v>
      </c>
      <c r="E664" t="s">
        <v>14</v>
      </c>
      <c r="F664" t="s">
        <v>15</v>
      </c>
      <c r="G664">
        <v>13</v>
      </c>
      <c r="H664">
        <v>12500</v>
      </c>
      <c r="I664">
        <v>9030</v>
      </c>
      <c r="J664" t="s">
        <v>29</v>
      </c>
      <c r="K664" t="s">
        <v>17</v>
      </c>
      <c r="L664">
        <f>SUM(Clean_Data[[#This Row],[Units_Sold]]*Clean_Data[[#This Row],[Unit_Price]])</f>
        <v>162500</v>
      </c>
      <c r="M664">
        <f>Clean_Data[[#This Row],[Units_Sold]]*Clean_Data[[#This Row],[Cost_Price]]</f>
        <v>117390</v>
      </c>
      <c r="N664">
        <f>Clean_Data[[#This Row],[Total_Sales]]-Clean_Data[[#This Row],[Total_Cost]]</f>
        <v>45110</v>
      </c>
      <c r="O664" s="2">
        <f>Clean_Data[[#This Row],[Profit]]/Clean_Data[[#This Row],[Total_Sales]]</f>
        <v>0.27760000000000001</v>
      </c>
      <c r="P664" t="str">
        <f>_xlfn.XLOOKUP(Clean_Data[[#This Row],[Product_Code]],Product_Catalog!A:A,Product_Catalog!C:C)</f>
        <v>Accessories</v>
      </c>
      <c r="Q664">
        <f>IF(Clean_Data[[#This Row],[Order_Date]]="","",YEAR(Clean_Data[[#This Row],[Order_Date]]))</f>
        <v>2026</v>
      </c>
      <c r="R664" t="str">
        <f>TEXT(Clean_Data[[#This Row],[Order_Date]],"mmm")</f>
        <v>Apr</v>
      </c>
      <c r="S664" t="str">
        <f>TEXT(Clean_Data[[#This Row],[Order_Date]],"mmm-yy")</f>
        <v>Apr-26</v>
      </c>
      <c r="V664"/>
    </row>
    <row r="665" spans="1:22" x14ac:dyDescent="0.25">
      <c r="A665" t="s">
        <v>732</v>
      </c>
      <c r="B665" s="1">
        <v>45732</v>
      </c>
      <c r="C665" t="s">
        <v>48</v>
      </c>
      <c r="D665" t="s">
        <v>13</v>
      </c>
      <c r="E665" t="s">
        <v>27</v>
      </c>
      <c r="F665" t="s">
        <v>28</v>
      </c>
      <c r="G665">
        <v>11</v>
      </c>
      <c r="H665">
        <v>14000</v>
      </c>
      <c r="I665">
        <v>11037</v>
      </c>
      <c r="J665" t="s">
        <v>22</v>
      </c>
      <c r="K665" t="s">
        <v>17</v>
      </c>
      <c r="L665">
        <f>SUM(Clean_Data[[#This Row],[Units_Sold]]*Clean_Data[[#This Row],[Unit_Price]])</f>
        <v>154000</v>
      </c>
      <c r="M665">
        <f>Clean_Data[[#This Row],[Units_Sold]]*Clean_Data[[#This Row],[Cost_Price]]</f>
        <v>121407</v>
      </c>
      <c r="N665">
        <f>Clean_Data[[#This Row],[Total_Sales]]-Clean_Data[[#This Row],[Total_Cost]]</f>
        <v>32593</v>
      </c>
      <c r="O665" s="2">
        <f>Clean_Data[[#This Row],[Profit]]/Clean_Data[[#This Row],[Total_Sales]]</f>
        <v>0.21164285714285713</v>
      </c>
      <c r="P665" t="str">
        <f>_xlfn.XLOOKUP(Clean_Data[[#This Row],[Product_Code]],Product_Catalog!A:A,Product_Catalog!C:C)</f>
        <v>Furniture</v>
      </c>
      <c r="Q665">
        <f>IF(Clean_Data[[#This Row],[Order_Date]]="","",YEAR(Clean_Data[[#This Row],[Order_Date]]))</f>
        <v>2025</v>
      </c>
      <c r="R665" t="str">
        <f>TEXT(Clean_Data[[#This Row],[Order_Date]],"mmm")</f>
        <v>Mar</v>
      </c>
      <c r="S665" t="str">
        <f>TEXT(Clean_Data[[#This Row],[Order_Date]],"mmm-yy")</f>
        <v>Mar-25</v>
      </c>
      <c r="V665"/>
    </row>
    <row r="666" spans="1:22" x14ac:dyDescent="0.25">
      <c r="A666" t="s">
        <v>733</v>
      </c>
      <c r="B666" s="1">
        <v>46110</v>
      </c>
      <c r="C666" t="s">
        <v>48</v>
      </c>
      <c r="D666" t="s">
        <v>36</v>
      </c>
      <c r="E666" t="s">
        <v>14</v>
      </c>
      <c r="F666" t="s">
        <v>15</v>
      </c>
      <c r="G666">
        <v>15</v>
      </c>
      <c r="H666">
        <v>12500</v>
      </c>
      <c r="I666">
        <v>7785</v>
      </c>
      <c r="J666" t="s">
        <v>29</v>
      </c>
      <c r="K666" t="s">
        <v>23</v>
      </c>
      <c r="L666">
        <f>SUM(Clean_Data[[#This Row],[Units_Sold]]*Clean_Data[[#This Row],[Unit_Price]])</f>
        <v>187500</v>
      </c>
      <c r="M666">
        <f>Clean_Data[[#This Row],[Units_Sold]]*Clean_Data[[#This Row],[Cost_Price]]</f>
        <v>116775</v>
      </c>
      <c r="N666">
        <f>Clean_Data[[#This Row],[Total_Sales]]-Clean_Data[[#This Row],[Total_Cost]]</f>
        <v>70725</v>
      </c>
      <c r="O666" s="2">
        <f>Clean_Data[[#This Row],[Profit]]/Clean_Data[[#This Row],[Total_Sales]]</f>
        <v>0.37719999999999998</v>
      </c>
      <c r="P666" t="str">
        <f>_xlfn.XLOOKUP(Clean_Data[[#This Row],[Product_Code]],Product_Catalog!A:A,Product_Catalog!C:C)</f>
        <v>Accessories</v>
      </c>
      <c r="Q666">
        <f>IF(Clean_Data[[#This Row],[Order_Date]]="","",YEAR(Clean_Data[[#This Row],[Order_Date]]))</f>
        <v>2026</v>
      </c>
      <c r="R666" t="str">
        <f>TEXT(Clean_Data[[#This Row],[Order_Date]],"mmm")</f>
        <v>Mar</v>
      </c>
      <c r="S666" t="str">
        <f>TEXT(Clean_Data[[#This Row],[Order_Date]],"mmm-yy")</f>
        <v>Mar-26</v>
      </c>
      <c r="V666"/>
    </row>
    <row r="667" spans="1:22" x14ac:dyDescent="0.25">
      <c r="A667" t="s">
        <v>734</v>
      </c>
      <c r="B667" s="1">
        <v>45695</v>
      </c>
      <c r="C667" t="s">
        <v>62</v>
      </c>
      <c r="D667" t="s">
        <v>13</v>
      </c>
      <c r="E667" t="s">
        <v>37</v>
      </c>
      <c r="F667" t="s">
        <v>38</v>
      </c>
      <c r="G667">
        <v>19</v>
      </c>
      <c r="H667">
        <v>55000</v>
      </c>
      <c r="I667">
        <v>40694</v>
      </c>
      <c r="J667" t="s">
        <v>45</v>
      </c>
      <c r="K667" t="s">
        <v>23</v>
      </c>
      <c r="L667">
        <f>SUM(Clean_Data[[#This Row],[Units_Sold]]*Clean_Data[[#This Row],[Unit_Price]])</f>
        <v>1045000</v>
      </c>
      <c r="M667">
        <f>Clean_Data[[#This Row],[Units_Sold]]*Clean_Data[[#This Row],[Cost_Price]]</f>
        <v>773186</v>
      </c>
      <c r="N667">
        <f>Clean_Data[[#This Row],[Total_Sales]]-Clean_Data[[#This Row],[Total_Cost]]</f>
        <v>271814</v>
      </c>
      <c r="O667" s="2">
        <f>Clean_Data[[#This Row],[Profit]]/Clean_Data[[#This Row],[Total_Sales]]</f>
        <v>0.2601090909090909</v>
      </c>
      <c r="P667" t="str">
        <f>_xlfn.XLOOKUP(Clean_Data[[#This Row],[Product_Code]],Product_Catalog!A:A,Product_Catalog!C:C)</f>
        <v>Electronics</v>
      </c>
      <c r="Q667">
        <f>IF(Clean_Data[[#This Row],[Order_Date]]="","",YEAR(Clean_Data[[#This Row],[Order_Date]]))</f>
        <v>2025</v>
      </c>
      <c r="R667" t="str">
        <f>TEXT(Clean_Data[[#This Row],[Order_Date]],"mmm")</f>
        <v>Feb</v>
      </c>
      <c r="S667" t="str">
        <f>TEXT(Clean_Data[[#This Row],[Order_Date]],"mmm-yy")</f>
        <v>Feb-25</v>
      </c>
      <c r="V667"/>
    </row>
    <row r="668" spans="1:22" x14ac:dyDescent="0.25">
      <c r="A668" t="s">
        <v>735</v>
      </c>
      <c r="B668" s="1">
        <v>46251</v>
      </c>
      <c r="C668" t="s">
        <v>44</v>
      </c>
      <c r="D668" t="s">
        <v>13</v>
      </c>
      <c r="E668" t="s">
        <v>63</v>
      </c>
      <c r="F668" t="s">
        <v>59</v>
      </c>
      <c r="G668">
        <v>7</v>
      </c>
      <c r="H668">
        <v>4500</v>
      </c>
      <c r="I668">
        <v>2713</v>
      </c>
      <c r="J668" t="s">
        <v>29</v>
      </c>
      <c r="K668" t="s">
        <v>23</v>
      </c>
      <c r="L668">
        <f>SUM(Clean_Data[[#This Row],[Units_Sold]]*Clean_Data[[#This Row],[Unit_Price]])</f>
        <v>31500</v>
      </c>
      <c r="M668">
        <f>Clean_Data[[#This Row],[Units_Sold]]*Clean_Data[[#This Row],[Cost_Price]]</f>
        <v>18991</v>
      </c>
      <c r="N668">
        <f>Clean_Data[[#This Row],[Total_Sales]]-Clean_Data[[#This Row],[Total_Cost]]</f>
        <v>12509</v>
      </c>
      <c r="O668" s="2">
        <f>Clean_Data[[#This Row],[Profit]]/Clean_Data[[#This Row],[Total_Sales]]</f>
        <v>0.39711111111111114</v>
      </c>
      <c r="P668" t="str">
        <f>_xlfn.XLOOKUP(Clean_Data[[#This Row],[Product_Code]],Product_Catalog!A:A,Product_Catalog!C:C)</f>
        <v>Electronics</v>
      </c>
      <c r="Q668">
        <f>IF(Clean_Data[[#This Row],[Order_Date]]="","",YEAR(Clean_Data[[#This Row],[Order_Date]]))</f>
        <v>2026</v>
      </c>
      <c r="R668" t="str">
        <f>TEXT(Clean_Data[[#This Row],[Order_Date]],"mmm")</f>
        <v>Aug</v>
      </c>
      <c r="S668" t="str">
        <f>TEXT(Clean_Data[[#This Row],[Order_Date]],"mmm-yy")</f>
        <v>Aug-26</v>
      </c>
      <c r="V668"/>
    </row>
    <row r="669" spans="1:22" x14ac:dyDescent="0.25">
      <c r="A669" t="s">
        <v>736</v>
      </c>
      <c r="B669" s="1">
        <v>45699</v>
      </c>
      <c r="C669" t="s">
        <v>25</v>
      </c>
      <c r="D669" t="s">
        <v>40</v>
      </c>
      <c r="E669" t="s">
        <v>37</v>
      </c>
      <c r="F669" t="s">
        <v>38</v>
      </c>
      <c r="G669">
        <v>3</v>
      </c>
      <c r="H669">
        <v>55000</v>
      </c>
      <c r="I669">
        <v>36971</v>
      </c>
      <c r="J669" t="s">
        <v>29</v>
      </c>
      <c r="K669" t="s">
        <v>23</v>
      </c>
      <c r="L669">
        <f>SUM(Clean_Data[[#This Row],[Units_Sold]]*Clean_Data[[#This Row],[Unit_Price]])</f>
        <v>165000</v>
      </c>
      <c r="M669">
        <f>Clean_Data[[#This Row],[Units_Sold]]*Clean_Data[[#This Row],[Cost_Price]]</f>
        <v>110913</v>
      </c>
      <c r="N669">
        <f>Clean_Data[[#This Row],[Total_Sales]]-Clean_Data[[#This Row],[Total_Cost]]</f>
        <v>54087</v>
      </c>
      <c r="O669" s="2">
        <f>Clean_Data[[#This Row],[Profit]]/Clean_Data[[#This Row],[Total_Sales]]</f>
        <v>0.32779999999999998</v>
      </c>
      <c r="P669" t="str">
        <f>_xlfn.XLOOKUP(Clean_Data[[#This Row],[Product_Code]],Product_Catalog!A:A,Product_Catalog!C:C)</f>
        <v>Electronics</v>
      </c>
      <c r="Q669">
        <f>IF(Clean_Data[[#This Row],[Order_Date]]="","",YEAR(Clean_Data[[#This Row],[Order_Date]]))</f>
        <v>2025</v>
      </c>
      <c r="R669" t="str">
        <f>TEXT(Clean_Data[[#This Row],[Order_Date]],"mmm")</f>
        <v>Feb</v>
      </c>
      <c r="S669" t="str">
        <f>TEXT(Clean_Data[[#This Row],[Order_Date]],"mmm-yy")</f>
        <v>Feb-25</v>
      </c>
      <c r="V669"/>
    </row>
    <row r="670" spans="1:22" x14ac:dyDescent="0.25">
      <c r="A670" t="s">
        <v>737</v>
      </c>
      <c r="B670" s="1">
        <v>45933</v>
      </c>
      <c r="C670" t="s">
        <v>31</v>
      </c>
      <c r="D670" t="s">
        <v>13</v>
      </c>
      <c r="E670" t="s">
        <v>63</v>
      </c>
      <c r="F670" t="s">
        <v>59</v>
      </c>
      <c r="G670">
        <v>7</v>
      </c>
      <c r="H670">
        <v>4500</v>
      </c>
      <c r="I670">
        <v>2954</v>
      </c>
      <c r="J670" t="s">
        <v>29</v>
      </c>
      <c r="K670" t="s">
        <v>46</v>
      </c>
      <c r="L670">
        <f>SUM(Clean_Data[[#This Row],[Units_Sold]]*Clean_Data[[#This Row],[Unit_Price]])</f>
        <v>31500</v>
      </c>
      <c r="M670">
        <f>Clean_Data[[#This Row],[Units_Sold]]*Clean_Data[[#This Row],[Cost_Price]]</f>
        <v>20678</v>
      </c>
      <c r="N670">
        <f>Clean_Data[[#This Row],[Total_Sales]]-Clean_Data[[#This Row],[Total_Cost]]</f>
        <v>10822</v>
      </c>
      <c r="O670" s="2">
        <f>Clean_Data[[#This Row],[Profit]]/Clean_Data[[#This Row],[Total_Sales]]</f>
        <v>0.34355555555555556</v>
      </c>
      <c r="P670" t="str">
        <f>_xlfn.XLOOKUP(Clean_Data[[#This Row],[Product_Code]],Product_Catalog!A:A,Product_Catalog!C:C)</f>
        <v>Electronics</v>
      </c>
      <c r="Q670">
        <f>IF(Clean_Data[[#This Row],[Order_Date]]="","",YEAR(Clean_Data[[#This Row],[Order_Date]]))</f>
        <v>2025</v>
      </c>
      <c r="R670" t="str">
        <f>TEXT(Clean_Data[[#This Row],[Order_Date]],"mmm")</f>
        <v>Oct</v>
      </c>
      <c r="S670" t="str">
        <f>TEXT(Clean_Data[[#This Row],[Order_Date]],"mmm-yy")</f>
        <v>Oct-25</v>
      </c>
      <c r="V670"/>
    </row>
    <row r="671" spans="1:22" x14ac:dyDescent="0.25">
      <c r="A671" t="s">
        <v>738</v>
      </c>
      <c r="B671" s="1">
        <v>45993</v>
      </c>
      <c r="C671" t="s">
        <v>31</v>
      </c>
      <c r="D671" t="s">
        <v>26</v>
      </c>
      <c r="E671" t="s">
        <v>66</v>
      </c>
      <c r="F671" t="s">
        <v>67</v>
      </c>
      <c r="G671">
        <v>6</v>
      </c>
      <c r="H671">
        <v>2500</v>
      </c>
      <c r="I671">
        <v>1521</v>
      </c>
      <c r="J671" t="s">
        <v>16</v>
      </c>
      <c r="K671" t="s">
        <v>23</v>
      </c>
      <c r="L671">
        <f>SUM(Clean_Data[[#This Row],[Units_Sold]]*Clean_Data[[#This Row],[Unit_Price]])</f>
        <v>15000</v>
      </c>
      <c r="M671">
        <f>Clean_Data[[#This Row],[Units_Sold]]*Clean_Data[[#This Row],[Cost_Price]]</f>
        <v>9126</v>
      </c>
      <c r="N671">
        <f>Clean_Data[[#This Row],[Total_Sales]]-Clean_Data[[#This Row],[Total_Cost]]</f>
        <v>5874</v>
      </c>
      <c r="O671" s="2">
        <f>Clean_Data[[#This Row],[Profit]]/Clean_Data[[#This Row],[Total_Sales]]</f>
        <v>0.3916</v>
      </c>
      <c r="P671" t="str">
        <f>_xlfn.XLOOKUP(Clean_Data[[#This Row],[Product_Code]],Product_Catalog!A:A,Product_Catalog!C:C)</f>
        <v>Electronics</v>
      </c>
      <c r="Q671">
        <f>IF(Clean_Data[[#This Row],[Order_Date]]="","",YEAR(Clean_Data[[#This Row],[Order_Date]]))</f>
        <v>2025</v>
      </c>
      <c r="R671" t="str">
        <f>TEXT(Clean_Data[[#This Row],[Order_Date]],"mmm")</f>
        <v>Dec</v>
      </c>
      <c r="S671" t="str">
        <f>TEXT(Clean_Data[[#This Row],[Order_Date]],"mmm-yy")</f>
        <v>Dec-25</v>
      </c>
      <c r="V671"/>
    </row>
    <row r="672" spans="1:22" x14ac:dyDescent="0.25">
      <c r="A672" t="s">
        <v>739</v>
      </c>
      <c r="B672" s="1">
        <v>46028</v>
      </c>
      <c r="C672" t="s">
        <v>19</v>
      </c>
      <c r="D672" t="s">
        <v>26</v>
      </c>
      <c r="E672" t="s">
        <v>63</v>
      </c>
      <c r="F672" t="s">
        <v>59</v>
      </c>
      <c r="G672">
        <v>16</v>
      </c>
      <c r="H672">
        <v>4500</v>
      </c>
      <c r="I672">
        <v>3250</v>
      </c>
      <c r="J672" t="s">
        <v>29</v>
      </c>
      <c r="K672" t="s">
        <v>23</v>
      </c>
      <c r="L672">
        <f>SUM(Clean_Data[[#This Row],[Units_Sold]]*Clean_Data[[#This Row],[Unit_Price]])</f>
        <v>72000</v>
      </c>
      <c r="M672">
        <f>Clean_Data[[#This Row],[Units_Sold]]*Clean_Data[[#This Row],[Cost_Price]]</f>
        <v>52000</v>
      </c>
      <c r="N672">
        <f>Clean_Data[[#This Row],[Total_Sales]]-Clean_Data[[#This Row],[Total_Cost]]</f>
        <v>20000</v>
      </c>
      <c r="O672" s="2">
        <f>Clean_Data[[#This Row],[Profit]]/Clean_Data[[#This Row],[Total_Sales]]</f>
        <v>0.27777777777777779</v>
      </c>
      <c r="P672" t="str">
        <f>_xlfn.XLOOKUP(Clean_Data[[#This Row],[Product_Code]],Product_Catalog!A:A,Product_Catalog!C:C)</f>
        <v>Electronics</v>
      </c>
      <c r="Q672">
        <f>IF(Clean_Data[[#This Row],[Order_Date]]="","",YEAR(Clean_Data[[#This Row],[Order_Date]]))</f>
        <v>2026</v>
      </c>
      <c r="R672" t="str">
        <f>TEXT(Clean_Data[[#This Row],[Order_Date]],"mmm")</f>
        <v>Jan</v>
      </c>
      <c r="S672" t="str">
        <f>TEXT(Clean_Data[[#This Row],[Order_Date]],"mmm-yy")</f>
        <v>Jan-26</v>
      </c>
      <c r="V672"/>
    </row>
    <row r="673" spans="1:22" x14ac:dyDescent="0.25">
      <c r="A673" t="s">
        <v>740</v>
      </c>
      <c r="B673" s="1">
        <v>46051</v>
      </c>
      <c r="C673" t="s">
        <v>73</v>
      </c>
      <c r="D673" t="s">
        <v>33</v>
      </c>
      <c r="E673" t="s">
        <v>27</v>
      </c>
      <c r="F673" t="s">
        <v>28</v>
      </c>
      <c r="G673">
        <v>8</v>
      </c>
      <c r="H673">
        <v>14000</v>
      </c>
      <c r="I673">
        <v>10958</v>
      </c>
      <c r="J673" t="s">
        <v>29</v>
      </c>
      <c r="K673" t="s">
        <v>23</v>
      </c>
      <c r="L673">
        <f>SUM(Clean_Data[[#This Row],[Units_Sold]]*Clean_Data[[#This Row],[Unit_Price]])</f>
        <v>112000</v>
      </c>
      <c r="M673">
        <f>Clean_Data[[#This Row],[Units_Sold]]*Clean_Data[[#This Row],[Cost_Price]]</f>
        <v>87664</v>
      </c>
      <c r="N673">
        <f>Clean_Data[[#This Row],[Total_Sales]]-Clean_Data[[#This Row],[Total_Cost]]</f>
        <v>24336</v>
      </c>
      <c r="O673" s="2">
        <f>Clean_Data[[#This Row],[Profit]]/Clean_Data[[#This Row],[Total_Sales]]</f>
        <v>0.21728571428571428</v>
      </c>
      <c r="P673" t="str">
        <f>_xlfn.XLOOKUP(Clean_Data[[#This Row],[Product_Code]],Product_Catalog!A:A,Product_Catalog!C:C)</f>
        <v>Furniture</v>
      </c>
      <c r="Q673">
        <f>IF(Clean_Data[[#This Row],[Order_Date]]="","",YEAR(Clean_Data[[#This Row],[Order_Date]]))</f>
        <v>2026</v>
      </c>
      <c r="R673" t="str">
        <f>TEXT(Clean_Data[[#This Row],[Order_Date]],"mmm")</f>
        <v>Jan</v>
      </c>
      <c r="S673" t="str">
        <f>TEXT(Clean_Data[[#This Row],[Order_Date]],"mmm-yy")</f>
        <v>Jan-26</v>
      </c>
      <c r="V673"/>
    </row>
    <row r="674" spans="1:22" x14ac:dyDescent="0.25">
      <c r="A674" t="s">
        <v>741</v>
      </c>
      <c r="B674" s="1">
        <v>45776</v>
      </c>
      <c r="C674" t="s">
        <v>12</v>
      </c>
      <c r="D674" t="s">
        <v>26</v>
      </c>
      <c r="E674" t="s">
        <v>63</v>
      </c>
      <c r="F674" t="s">
        <v>59</v>
      </c>
      <c r="G674">
        <v>13</v>
      </c>
      <c r="H674">
        <v>4500</v>
      </c>
      <c r="I674">
        <v>3586</v>
      </c>
      <c r="J674" t="s">
        <v>16</v>
      </c>
      <c r="K674" t="s">
        <v>17</v>
      </c>
      <c r="L674">
        <f>SUM(Clean_Data[[#This Row],[Units_Sold]]*Clean_Data[[#This Row],[Unit_Price]])</f>
        <v>58500</v>
      </c>
      <c r="M674">
        <f>Clean_Data[[#This Row],[Units_Sold]]*Clean_Data[[#This Row],[Cost_Price]]</f>
        <v>46618</v>
      </c>
      <c r="N674">
        <f>Clean_Data[[#This Row],[Total_Sales]]-Clean_Data[[#This Row],[Total_Cost]]</f>
        <v>11882</v>
      </c>
      <c r="O674" s="2">
        <f>Clean_Data[[#This Row],[Profit]]/Clean_Data[[#This Row],[Total_Sales]]</f>
        <v>0.2031111111111111</v>
      </c>
      <c r="P674" t="str">
        <f>_xlfn.XLOOKUP(Clean_Data[[#This Row],[Product_Code]],Product_Catalog!A:A,Product_Catalog!C:C)</f>
        <v>Electronics</v>
      </c>
      <c r="Q674">
        <f>IF(Clean_Data[[#This Row],[Order_Date]]="","",YEAR(Clean_Data[[#This Row],[Order_Date]]))</f>
        <v>2025</v>
      </c>
      <c r="R674" t="str">
        <f>TEXT(Clean_Data[[#This Row],[Order_Date]],"mmm")</f>
        <v>Apr</v>
      </c>
      <c r="S674" t="str">
        <f>TEXT(Clean_Data[[#This Row],[Order_Date]],"mmm-yy")</f>
        <v>Apr-25</v>
      </c>
      <c r="V674"/>
    </row>
    <row r="675" spans="1:22" x14ac:dyDescent="0.25">
      <c r="A675" t="s">
        <v>743</v>
      </c>
      <c r="B675" s="1">
        <v>45859</v>
      </c>
      <c r="C675" t="s">
        <v>12</v>
      </c>
      <c r="D675" t="s">
        <v>13</v>
      </c>
      <c r="E675" t="s">
        <v>27</v>
      </c>
      <c r="F675" t="s">
        <v>28</v>
      </c>
      <c r="G675">
        <v>6</v>
      </c>
      <c r="H675">
        <v>14000</v>
      </c>
      <c r="I675">
        <v>9432</v>
      </c>
      <c r="J675" t="s">
        <v>16</v>
      </c>
      <c r="K675" t="s">
        <v>17</v>
      </c>
      <c r="L675">
        <f>SUM(Clean_Data[[#This Row],[Units_Sold]]*Clean_Data[[#This Row],[Unit_Price]])</f>
        <v>84000</v>
      </c>
      <c r="M675">
        <f>Clean_Data[[#This Row],[Units_Sold]]*Clean_Data[[#This Row],[Cost_Price]]</f>
        <v>56592</v>
      </c>
      <c r="N675">
        <f>Clean_Data[[#This Row],[Total_Sales]]-Clean_Data[[#This Row],[Total_Cost]]</f>
        <v>27408</v>
      </c>
      <c r="O675" s="2">
        <f>Clean_Data[[#This Row],[Profit]]/Clean_Data[[#This Row],[Total_Sales]]</f>
        <v>0.32628571428571429</v>
      </c>
      <c r="P675" t="str">
        <f>_xlfn.XLOOKUP(Clean_Data[[#This Row],[Product_Code]],Product_Catalog!A:A,Product_Catalog!C:C)</f>
        <v>Furniture</v>
      </c>
      <c r="Q675">
        <f>IF(Clean_Data[[#This Row],[Order_Date]]="","",YEAR(Clean_Data[[#This Row],[Order_Date]]))</f>
        <v>2025</v>
      </c>
      <c r="R675" t="str">
        <f>TEXT(Clean_Data[[#This Row],[Order_Date]],"mmm")</f>
        <v>Jul</v>
      </c>
      <c r="S675" t="str">
        <f>TEXT(Clean_Data[[#This Row],[Order_Date]],"mmm-yy")</f>
        <v>Jul-25</v>
      </c>
      <c r="V675"/>
    </row>
    <row r="676" spans="1:22" x14ac:dyDescent="0.25">
      <c r="A676" t="s">
        <v>744</v>
      </c>
      <c r="B676" s="1">
        <v>45672</v>
      </c>
      <c r="C676" t="s">
        <v>31</v>
      </c>
      <c r="D676" t="s">
        <v>40</v>
      </c>
      <c r="E676" t="s">
        <v>66</v>
      </c>
      <c r="F676" t="s">
        <v>67</v>
      </c>
      <c r="G676">
        <v>13</v>
      </c>
      <c r="H676">
        <v>2500</v>
      </c>
      <c r="I676">
        <v>1667</v>
      </c>
      <c r="J676" t="s">
        <v>16</v>
      </c>
      <c r="K676" t="s">
        <v>17</v>
      </c>
      <c r="L676">
        <f>SUM(Clean_Data[[#This Row],[Units_Sold]]*Clean_Data[[#This Row],[Unit_Price]])</f>
        <v>32500</v>
      </c>
      <c r="M676">
        <f>Clean_Data[[#This Row],[Units_Sold]]*Clean_Data[[#This Row],[Cost_Price]]</f>
        <v>21671</v>
      </c>
      <c r="N676">
        <f>Clean_Data[[#This Row],[Total_Sales]]-Clean_Data[[#This Row],[Total_Cost]]</f>
        <v>10829</v>
      </c>
      <c r="O676" s="2">
        <f>Clean_Data[[#This Row],[Profit]]/Clean_Data[[#This Row],[Total_Sales]]</f>
        <v>0.3332</v>
      </c>
      <c r="P676" t="str">
        <f>_xlfn.XLOOKUP(Clean_Data[[#This Row],[Product_Code]],Product_Catalog!A:A,Product_Catalog!C:C)</f>
        <v>Electronics</v>
      </c>
      <c r="Q676">
        <f>IF(Clean_Data[[#This Row],[Order_Date]]="","",YEAR(Clean_Data[[#This Row],[Order_Date]]))</f>
        <v>2025</v>
      </c>
      <c r="R676" t="str">
        <f>TEXT(Clean_Data[[#This Row],[Order_Date]],"mmm")</f>
        <v>Jan</v>
      </c>
      <c r="S676" t="str">
        <f>TEXT(Clean_Data[[#This Row],[Order_Date]],"mmm-yy")</f>
        <v>Jan-25</v>
      </c>
      <c r="V676"/>
    </row>
    <row r="677" spans="1:22" x14ac:dyDescent="0.25">
      <c r="A677" t="s">
        <v>745</v>
      </c>
      <c r="B677" s="1">
        <v>45710</v>
      </c>
      <c r="C677" t="s">
        <v>19</v>
      </c>
      <c r="D677" t="s">
        <v>40</v>
      </c>
      <c r="E677" t="s">
        <v>63</v>
      </c>
      <c r="F677" t="s">
        <v>59</v>
      </c>
      <c r="G677">
        <v>19</v>
      </c>
      <c r="H677">
        <v>4500</v>
      </c>
      <c r="I677">
        <v>3220</v>
      </c>
      <c r="J677" t="s">
        <v>16</v>
      </c>
      <c r="K677" t="s">
        <v>46</v>
      </c>
      <c r="L677">
        <f>SUM(Clean_Data[[#This Row],[Units_Sold]]*Clean_Data[[#This Row],[Unit_Price]])</f>
        <v>85500</v>
      </c>
      <c r="M677">
        <f>Clean_Data[[#This Row],[Units_Sold]]*Clean_Data[[#This Row],[Cost_Price]]</f>
        <v>61180</v>
      </c>
      <c r="N677">
        <f>Clean_Data[[#This Row],[Total_Sales]]-Clean_Data[[#This Row],[Total_Cost]]</f>
        <v>24320</v>
      </c>
      <c r="O677" s="2">
        <f>Clean_Data[[#This Row],[Profit]]/Clean_Data[[#This Row],[Total_Sales]]</f>
        <v>0.28444444444444444</v>
      </c>
      <c r="P677" t="str">
        <f>_xlfn.XLOOKUP(Clean_Data[[#This Row],[Product_Code]],Product_Catalog!A:A,Product_Catalog!C:C)</f>
        <v>Electronics</v>
      </c>
      <c r="Q677">
        <f>IF(Clean_Data[[#This Row],[Order_Date]]="","",YEAR(Clean_Data[[#This Row],[Order_Date]]))</f>
        <v>2025</v>
      </c>
      <c r="R677" t="str">
        <f>TEXT(Clean_Data[[#This Row],[Order_Date]],"mmm")</f>
        <v>Feb</v>
      </c>
      <c r="S677" t="str">
        <f>TEXT(Clean_Data[[#This Row],[Order_Date]],"mmm-yy")</f>
        <v>Feb-25</v>
      </c>
      <c r="V677"/>
    </row>
    <row r="678" spans="1:22" x14ac:dyDescent="0.25">
      <c r="A678" t="s">
        <v>746</v>
      </c>
      <c r="B678" s="1">
        <v>45761</v>
      </c>
      <c r="C678" t="s">
        <v>44</v>
      </c>
      <c r="D678" t="s">
        <v>40</v>
      </c>
      <c r="E678" t="s">
        <v>41</v>
      </c>
      <c r="F678" t="s">
        <v>42</v>
      </c>
      <c r="G678">
        <v>15</v>
      </c>
      <c r="H678">
        <v>28000</v>
      </c>
      <c r="I678">
        <v>20017</v>
      </c>
      <c r="J678" t="s">
        <v>29</v>
      </c>
      <c r="K678" t="s">
        <v>46</v>
      </c>
      <c r="L678">
        <f>SUM(Clean_Data[[#This Row],[Units_Sold]]*Clean_Data[[#This Row],[Unit_Price]])</f>
        <v>420000</v>
      </c>
      <c r="M678">
        <f>Clean_Data[[#This Row],[Units_Sold]]*Clean_Data[[#This Row],[Cost_Price]]</f>
        <v>300255</v>
      </c>
      <c r="N678">
        <f>Clean_Data[[#This Row],[Total_Sales]]-Clean_Data[[#This Row],[Total_Cost]]</f>
        <v>119745</v>
      </c>
      <c r="O678" s="2">
        <f>Clean_Data[[#This Row],[Profit]]/Clean_Data[[#This Row],[Total_Sales]]</f>
        <v>0.28510714285714284</v>
      </c>
      <c r="P678" t="str">
        <f>_xlfn.XLOOKUP(Clean_Data[[#This Row],[Product_Code]],Product_Catalog!A:A,Product_Catalog!C:C)</f>
        <v>Electronics</v>
      </c>
      <c r="Q678">
        <f>IF(Clean_Data[[#This Row],[Order_Date]]="","",YEAR(Clean_Data[[#This Row],[Order_Date]]))</f>
        <v>2025</v>
      </c>
      <c r="R678" t="str">
        <f>TEXT(Clean_Data[[#This Row],[Order_Date]],"mmm")</f>
        <v>Apr</v>
      </c>
      <c r="S678" t="str">
        <f>TEXT(Clean_Data[[#This Row],[Order_Date]],"mmm-yy")</f>
        <v>Apr-25</v>
      </c>
      <c r="V678"/>
    </row>
    <row r="679" spans="1:22" x14ac:dyDescent="0.25">
      <c r="A679" t="s">
        <v>747</v>
      </c>
      <c r="B679" s="1">
        <v>46168</v>
      </c>
      <c r="C679" t="s">
        <v>12</v>
      </c>
      <c r="D679" t="s">
        <v>40</v>
      </c>
      <c r="E679" t="s">
        <v>49</v>
      </c>
      <c r="F679" t="s">
        <v>50</v>
      </c>
      <c r="G679">
        <v>17</v>
      </c>
      <c r="H679">
        <v>75000</v>
      </c>
      <c r="I679">
        <v>50149</v>
      </c>
      <c r="J679" t="s">
        <v>29</v>
      </c>
      <c r="K679" t="s">
        <v>17</v>
      </c>
      <c r="L679">
        <f>SUM(Clean_Data[[#This Row],[Units_Sold]]*Clean_Data[[#This Row],[Unit_Price]])</f>
        <v>1275000</v>
      </c>
      <c r="M679">
        <f>Clean_Data[[#This Row],[Units_Sold]]*Clean_Data[[#This Row],[Cost_Price]]</f>
        <v>852533</v>
      </c>
      <c r="N679">
        <f>Clean_Data[[#This Row],[Total_Sales]]-Clean_Data[[#This Row],[Total_Cost]]</f>
        <v>422467</v>
      </c>
      <c r="O679" s="2">
        <f>Clean_Data[[#This Row],[Profit]]/Clean_Data[[#This Row],[Total_Sales]]</f>
        <v>0.33134666666666668</v>
      </c>
      <c r="P679" t="str">
        <f>_xlfn.XLOOKUP(Clean_Data[[#This Row],[Product_Code]],Product_Catalog!A:A,Product_Catalog!C:C)</f>
        <v>Electronics</v>
      </c>
      <c r="Q679">
        <f>IF(Clean_Data[[#This Row],[Order_Date]]="","",YEAR(Clean_Data[[#This Row],[Order_Date]]))</f>
        <v>2026</v>
      </c>
      <c r="R679" t="str">
        <f>TEXT(Clean_Data[[#This Row],[Order_Date]],"mmm")</f>
        <v>May</v>
      </c>
      <c r="S679" t="str">
        <f>TEXT(Clean_Data[[#This Row],[Order_Date]],"mmm-yy")</f>
        <v>May-26</v>
      </c>
      <c r="V679"/>
    </row>
    <row r="680" spans="1:22" x14ac:dyDescent="0.25">
      <c r="A680" t="s">
        <v>748</v>
      </c>
      <c r="B680" s="1">
        <v>46230</v>
      </c>
      <c r="C680" t="s">
        <v>19</v>
      </c>
      <c r="D680" t="s">
        <v>40</v>
      </c>
      <c r="E680" t="s">
        <v>55</v>
      </c>
      <c r="F680" t="s">
        <v>34</v>
      </c>
      <c r="G680">
        <v>3</v>
      </c>
      <c r="H680">
        <v>35000</v>
      </c>
      <c r="I680">
        <v>26819</v>
      </c>
      <c r="J680" t="s">
        <v>16</v>
      </c>
      <c r="K680" t="s">
        <v>23</v>
      </c>
      <c r="L680">
        <f>SUM(Clean_Data[[#This Row],[Units_Sold]]*Clean_Data[[#This Row],[Unit_Price]])</f>
        <v>105000</v>
      </c>
      <c r="M680">
        <f>Clean_Data[[#This Row],[Units_Sold]]*Clean_Data[[#This Row],[Cost_Price]]</f>
        <v>80457</v>
      </c>
      <c r="N680">
        <f>Clean_Data[[#This Row],[Total_Sales]]-Clean_Data[[#This Row],[Total_Cost]]</f>
        <v>24543</v>
      </c>
      <c r="O680" s="2">
        <f>Clean_Data[[#This Row],[Profit]]/Clean_Data[[#This Row],[Total_Sales]]</f>
        <v>0.23374285714285714</v>
      </c>
      <c r="P680" t="str">
        <f>_xlfn.XLOOKUP(Clean_Data[[#This Row],[Product_Code]],Product_Catalog!A:A,Product_Catalog!C:C)</f>
        <v>Furniture</v>
      </c>
      <c r="Q680">
        <f>IF(Clean_Data[[#This Row],[Order_Date]]="","",YEAR(Clean_Data[[#This Row],[Order_Date]]))</f>
        <v>2026</v>
      </c>
      <c r="R680" t="str">
        <f>TEXT(Clean_Data[[#This Row],[Order_Date]],"mmm")</f>
        <v>Jul</v>
      </c>
      <c r="S680" t="str">
        <f>TEXT(Clean_Data[[#This Row],[Order_Date]],"mmm-yy")</f>
        <v>Jul-26</v>
      </c>
      <c r="V680"/>
    </row>
    <row r="681" spans="1:22" x14ac:dyDescent="0.25">
      <c r="A681" t="s">
        <v>749</v>
      </c>
      <c r="B681" s="1">
        <v>46067</v>
      </c>
      <c r="C681" t="s">
        <v>62</v>
      </c>
      <c r="D681" t="s">
        <v>40</v>
      </c>
      <c r="E681" t="s">
        <v>49</v>
      </c>
      <c r="F681" t="s">
        <v>50</v>
      </c>
      <c r="G681">
        <v>5</v>
      </c>
      <c r="H681">
        <v>75000</v>
      </c>
      <c r="I681">
        <v>52148</v>
      </c>
      <c r="J681" t="s">
        <v>45</v>
      </c>
      <c r="K681" t="s">
        <v>23</v>
      </c>
      <c r="L681">
        <f>SUM(Clean_Data[[#This Row],[Units_Sold]]*Clean_Data[[#This Row],[Unit_Price]])</f>
        <v>375000</v>
      </c>
      <c r="M681">
        <f>Clean_Data[[#This Row],[Units_Sold]]*Clean_Data[[#This Row],[Cost_Price]]</f>
        <v>260740</v>
      </c>
      <c r="N681">
        <f>Clean_Data[[#This Row],[Total_Sales]]-Clean_Data[[#This Row],[Total_Cost]]</f>
        <v>114260</v>
      </c>
      <c r="O681" s="2">
        <f>Clean_Data[[#This Row],[Profit]]/Clean_Data[[#This Row],[Total_Sales]]</f>
        <v>0.30469333333333332</v>
      </c>
      <c r="P681" t="str">
        <f>_xlfn.XLOOKUP(Clean_Data[[#This Row],[Product_Code]],Product_Catalog!A:A,Product_Catalog!C:C)</f>
        <v>Electronics</v>
      </c>
      <c r="Q681">
        <f>IF(Clean_Data[[#This Row],[Order_Date]]="","",YEAR(Clean_Data[[#This Row],[Order_Date]]))</f>
        <v>2026</v>
      </c>
      <c r="R681" t="str">
        <f>TEXT(Clean_Data[[#This Row],[Order_Date]],"mmm")</f>
        <v>Feb</v>
      </c>
      <c r="S681" t="str">
        <f>TEXT(Clean_Data[[#This Row],[Order_Date]],"mmm-yy")</f>
        <v>Feb-26</v>
      </c>
      <c r="V681"/>
    </row>
    <row r="682" spans="1:22" x14ac:dyDescent="0.25">
      <c r="A682" t="s">
        <v>750</v>
      </c>
      <c r="B682" s="1">
        <v>45692</v>
      </c>
      <c r="C682" t="s">
        <v>44</v>
      </c>
      <c r="D682" t="s">
        <v>40</v>
      </c>
      <c r="E682" t="s">
        <v>41</v>
      </c>
      <c r="F682" t="s">
        <v>42</v>
      </c>
      <c r="G682">
        <v>12</v>
      </c>
      <c r="H682">
        <v>28000</v>
      </c>
      <c r="I682">
        <v>20028</v>
      </c>
      <c r="J682" t="s">
        <v>45</v>
      </c>
      <c r="K682" t="s">
        <v>17</v>
      </c>
      <c r="L682">
        <f>SUM(Clean_Data[[#This Row],[Units_Sold]]*Clean_Data[[#This Row],[Unit_Price]])</f>
        <v>336000</v>
      </c>
      <c r="M682">
        <f>Clean_Data[[#This Row],[Units_Sold]]*Clean_Data[[#This Row],[Cost_Price]]</f>
        <v>240336</v>
      </c>
      <c r="N682">
        <f>Clean_Data[[#This Row],[Total_Sales]]-Clean_Data[[#This Row],[Total_Cost]]</f>
        <v>95664</v>
      </c>
      <c r="O682" s="2">
        <f>Clean_Data[[#This Row],[Profit]]/Clean_Data[[#This Row],[Total_Sales]]</f>
        <v>0.2847142857142857</v>
      </c>
      <c r="P682" t="str">
        <f>_xlfn.XLOOKUP(Clean_Data[[#This Row],[Product_Code]],Product_Catalog!A:A,Product_Catalog!C:C)</f>
        <v>Electronics</v>
      </c>
      <c r="Q682">
        <f>IF(Clean_Data[[#This Row],[Order_Date]]="","",YEAR(Clean_Data[[#This Row],[Order_Date]]))</f>
        <v>2025</v>
      </c>
      <c r="R682" t="str">
        <f>TEXT(Clean_Data[[#This Row],[Order_Date]],"mmm")</f>
        <v>Feb</v>
      </c>
      <c r="S682" t="str">
        <f>TEXT(Clean_Data[[#This Row],[Order_Date]],"mmm-yy")</f>
        <v>Feb-25</v>
      </c>
      <c r="V682"/>
    </row>
    <row r="683" spans="1:22" x14ac:dyDescent="0.25">
      <c r="A683" t="s">
        <v>751</v>
      </c>
      <c r="B683" s="1">
        <v>45838</v>
      </c>
      <c r="C683" t="s">
        <v>53</v>
      </c>
      <c r="D683" t="s">
        <v>26</v>
      </c>
      <c r="E683" t="s">
        <v>37</v>
      </c>
      <c r="F683" t="s">
        <v>38</v>
      </c>
      <c r="G683">
        <v>14</v>
      </c>
      <c r="H683">
        <v>55000</v>
      </c>
      <c r="I683">
        <v>42507</v>
      </c>
      <c r="J683" t="s">
        <v>16</v>
      </c>
      <c r="K683" t="s">
        <v>46</v>
      </c>
      <c r="L683">
        <f>SUM(Clean_Data[[#This Row],[Units_Sold]]*Clean_Data[[#This Row],[Unit_Price]])</f>
        <v>770000</v>
      </c>
      <c r="M683">
        <f>Clean_Data[[#This Row],[Units_Sold]]*Clean_Data[[#This Row],[Cost_Price]]</f>
        <v>595098</v>
      </c>
      <c r="N683">
        <f>Clean_Data[[#This Row],[Total_Sales]]-Clean_Data[[#This Row],[Total_Cost]]</f>
        <v>174902</v>
      </c>
      <c r="O683" s="2">
        <f>Clean_Data[[#This Row],[Profit]]/Clean_Data[[#This Row],[Total_Sales]]</f>
        <v>0.22714545454545454</v>
      </c>
      <c r="P683" t="str">
        <f>_xlfn.XLOOKUP(Clean_Data[[#This Row],[Product_Code]],Product_Catalog!A:A,Product_Catalog!C:C)</f>
        <v>Electronics</v>
      </c>
      <c r="Q683">
        <f>IF(Clean_Data[[#This Row],[Order_Date]]="","",YEAR(Clean_Data[[#This Row],[Order_Date]]))</f>
        <v>2025</v>
      </c>
      <c r="R683" t="str">
        <f>TEXT(Clean_Data[[#This Row],[Order_Date]],"mmm")</f>
        <v>Jun</v>
      </c>
      <c r="S683" t="str">
        <f>TEXT(Clean_Data[[#This Row],[Order_Date]],"mmm-yy")</f>
        <v>Jun-25</v>
      </c>
      <c r="V683"/>
    </row>
    <row r="684" spans="1:22" x14ac:dyDescent="0.25">
      <c r="A684" t="s">
        <v>752</v>
      </c>
      <c r="B684" s="1">
        <v>46117</v>
      </c>
      <c r="C684" t="s">
        <v>48</v>
      </c>
      <c r="D684" t="s">
        <v>13</v>
      </c>
      <c r="E684" t="s">
        <v>20</v>
      </c>
      <c r="F684" t="s">
        <v>21</v>
      </c>
      <c r="G684">
        <v>5</v>
      </c>
      <c r="H684">
        <v>8500</v>
      </c>
      <c r="I684">
        <v>6052</v>
      </c>
      <c r="J684" t="s">
        <v>22</v>
      </c>
      <c r="K684" t="s">
        <v>17</v>
      </c>
      <c r="L684">
        <f>SUM(Clean_Data[[#This Row],[Units_Sold]]*Clean_Data[[#This Row],[Unit_Price]])</f>
        <v>42500</v>
      </c>
      <c r="M684">
        <f>Clean_Data[[#This Row],[Units_Sold]]*Clean_Data[[#This Row],[Cost_Price]]</f>
        <v>30260</v>
      </c>
      <c r="N684">
        <f>Clean_Data[[#This Row],[Total_Sales]]-Clean_Data[[#This Row],[Total_Cost]]</f>
        <v>12240</v>
      </c>
      <c r="O684" s="2">
        <f>Clean_Data[[#This Row],[Profit]]/Clean_Data[[#This Row],[Total_Sales]]</f>
        <v>0.28799999999999998</v>
      </c>
      <c r="P684" t="str">
        <f>_xlfn.XLOOKUP(Clean_Data[[#This Row],[Product_Code]],Product_Catalog!A:A,Product_Catalog!C:C)</f>
        <v>Accessories</v>
      </c>
      <c r="Q684">
        <f>IF(Clean_Data[[#This Row],[Order_Date]]="","",YEAR(Clean_Data[[#This Row],[Order_Date]]))</f>
        <v>2026</v>
      </c>
      <c r="R684" t="str">
        <f>TEXT(Clean_Data[[#This Row],[Order_Date]],"mmm")</f>
        <v>Apr</v>
      </c>
      <c r="S684" t="str">
        <f>TEXT(Clean_Data[[#This Row],[Order_Date]],"mmm-yy")</f>
        <v>Apr-26</v>
      </c>
      <c r="V684"/>
    </row>
    <row r="685" spans="1:22" x14ac:dyDescent="0.25">
      <c r="A685" t="s">
        <v>753</v>
      </c>
      <c r="B685" s="1">
        <v>45799</v>
      </c>
      <c r="C685" t="s">
        <v>53</v>
      </c>
      <c r="D685" t="s">
        <v>13</v>
      </c>
      <c r="E685" t="s">
        <v>55</v>
      </c>
      <c r="F685" t="s">
        <v>34</v>
      </c>
      <c r="G685">
        <v>12</v>
      </c>
      <c r="H685">
        <v>35000</v>
      </c>
      <c r="I685">
        <v>21375</v>
      </c>
      <c r="J685" t="s">
        <v>29</v>
      </c>
      <c r="K685" t="s">
        <v>23</v>
      </c>
      <c r="L685">
        <f>SUM(Clean_Data[[#This Row],[Units_Sold]]*Clean_Data[[#This Row],[Unit_Price]])</f>
        <v>420000</v>
      </c>
      <c r="M685">
        <f>Clean_Data[[#This Row],[Units_Sold]]*Clean_Data[[#This Row],[Cost_Price]]</f>
        <v>256500</v>
      </c>
      <c r="N685">
        <f>Clean_Data[[#This Row],[Total_Sales]]-Clean_Data[[#This Row],[Total_Cost]]</f>
        <v>163500</v>
      </c>
      <c r="O685" s="2">
        <f>Clean_Data[[#This Row],[Profit]]/Clean_Data[[#This Row],[Total_Sales]]</f>
        <v>0.38928571428571429</v>
      </c>
      <c r="P685" t="str">
        <f>_xlfn.XLOOKUP(Clean_Data[[#This Row],[Product_Code]],Product_Catalog!A:A,Product_Catalog!C:C)</f>
        <v>Furniture</v>
      </c>
      <c r="Q685">
        <f>IF(Clean_Data[[#This Row],[Order_Date]]="","",YEAR(Clean_Data[[#This Row],[Order_Date]]))</f>
        <v>2025</v>
      </c>
      <c r="R685" t="str">
        <f>TEXT(Clean_Data[[#This Row],[Order_Date]],"mmm")</f>
        <v>May</v>
      </c>
      <c r="S685" t="str">
        <f>TEXT(Clean_Data[[#This Row],[Order_Date]],"mmm-yy")</f>
        <v>May-25</v>
      </c>
      <c r="V685"/>
    </row>
    <row r="686" spans="1:22" x14ac:dyDescent="0.25">
      <c r="A686" t="s">
        <v>754</v>
      </c>
      <c r="B686" s="1">
        <v>46050</v>
      </c>
      <c r="C686" t="s">
        <v>31</v>
      </c>
      <c r="D686" t="s">
        <v>36</v>
      </c>
      <c r="E686" t="s">
        <v>20</v>
      </c>
      <c r="F686" t="s">
        <v>21</v>
      </c>
      <c r="G686">
        <v>14</v>
      </c>
      <c r="H686">
        <v>8500</v>
      </c>
      <c r="I686">
        <v>6695</v>
      </c>
      <c r="J686" t="s">
        <v>22</v>
      </c>
      <c r="K686" t="s">
        <v>17</v>
      </c>
      <c r="L686">
        <f>SUM(Clean_Data[[#This Row],[Units_Sold]]*Clean_Data[[#This Row],[Unit_Price]])</f>
        <v>119000</v>
      </c>
      <c r="M686">
        <f>Clean_Data[[#This Row],[Units_Sold]]*Clean_Data[[#This Row],[Cost_Price]]</f>
        <v>93730</v>
      </c>
      <c r="N686">
        <f>Clean_Data[[#This Row],[Total_Sales]]-Clean_Data[[#This Row],[Total_Cost]]</f>
        <v>25270</v>
      </c>
      <c r="O686" s="2">
        <f>Clean_Data[[#This Row],[Profit]]/Clean_Data[[#This Row],[Total_Sales]]</f>
        <v>0.21235294117647058</v>
      </c>
      <c r="P686" t="str">
        <f>_xlfn.XLOOKUP(Clean_Data[[#This Row],[Product_Code]],Product_Catalog!A:A,Product_Catalog!C:C)</f>
        <v>Accessories</v>
      </c>
      <c r="Q686">
        <f>IF(Clean_Data[[#This Row],[Order_Date]]="","",YEAR(Clean_Data[[#This Row],[Order_Date]]))</f>
        <v>2026</v>
      </c>
      <c r="R686" t="str">
        <f>TEXT(Clean_Data[[#This Row],[Order_Date]],"mmm")</f>
        <v>Jan</v>
      </c>
      <c r="S686" t="str">
        <f>TEXT(Clean_Data[[#This Row],[Order_Date]],"mmm-yy")</f>
        <v>Jan-26</v>
      </c>
      <c r="V686"/>
    </row>
    <row r="687" spans="1:22" x14ac:dyDescent="0.25">
      <c r="A687" t="s">
        <v>755</v>
      </c>
      <c r="B687" s="1">
        <v>45904</v>
      </c>
      <c r="C687" t="s">
        <v>73</v>
      </c>
      <c r="D687" t="s">
        <v>26</v>
      </c>
      <c r="E687" t="s">
        <v>49</v>
      </c>
      <c r="F687" t="s">
        <v>50</v>
      </c>
      <c r="G687">
        <v>15</v>
      </c>
      <c r="H687">
        <v>75000</v>
      </c>
      <c r="I687">
        <v>49604</v>
      </c>
      <c r="J687" t="s">
        <v>29</v>
      </c>
      <c r="K687" t="s">
        <v>17</v>
      </c>
      <c r="L687">
        <f>SUM(Clean_Data[[#This Row],[Units_Sold]]*Clean_Data[[#This Row],[Unit_Price]])</f>
        <v>1125000</v>
      </c>
      <c r="M687">
        <f>Clean_Data[[#This Row],[Units_Sold]]*Clean_Data[[#This Row],[Cost_Price]]</f>
        <v>744060</v>
      </c>
      <c r="N687">
        <f>Clean_Data[[#This Row],[Total_Sales]]-Clean_Data[[#This Row],[Total_Cost]]</f>
        <v>380940</v>
      </c>
      <c r="O687" s="2">
        <f>Clean_Data[[#This Row],[Profit]]/Clean_Data[[#This Row],[Total_Sales]]</f>
        <v>0.33861333333333332</v>
      </c>
      <c r="P687" t="str">
        <f>_xlfn.XLOOKUP(Clean_Data[[#This Row],[Product_Code]],Product_Catalog!A:A,Product_Catalog!C:C)</f>
        <v>Electronics</v>
      </c>
      <c r="Q687">
        <f>IF(Clean_Data[[#This Row],[Order_Date]]="","",YEAR(Clean_Data[[#This Row],[Order_Date]]))</f>
        <v>2025</v>
      </c>
      <c r="R687" t="str">
        <f>TEXT(Clean_Data[[#This Row],[Order_Date]],"mmm")</f>
        <v>Sep</v>
      </c>
      <c r="S687" t="str">
        <f>TEXT(Clean_Data[[#This Row],[Order_Date]],"mmm-yy")</f>
        <v>Sep-25</v>
      </c>
      <c r="V687"/>
    </row>
    <row r="688" spans="1:22" x14ac:dyDescent="0.25">
      <c r="A688" t="s">
        <v>756</v>
      </c>
      <c r="B688" s="1">
        <v>45838</v>
      </c>
      <c r="C688" t="s">
        <v>48</v>
      </c>
      <c r="D688" t="s">
        <v>40</v>
      </c>
      <c r="E688" t="s">
        <v>66</v>
      </c>
      <c r="F688" t="s">
        <v>67</v>
      </c>
      <c r="G688">
        <v>16</v>
      </c>
      <c r="H688">
        <v>2500</v>
      </c>
      <c r="I688">
        <v>1536</v>
      </c>
      <c r="J688" t="s">
        <v>22</v>
      </c>
      <c r="K688" t="s">
        <v>46</v>
      </c>
      <c r="L688">
        <f>SUM(Clean_Data[[#This Row],[Units_Sold]]*Clean_Data[[#This Row],[Unit_Price]])</f>
        <v>40000</v>
      </c>
      <c r="M688">
        <f>Clean_Data[[#This Row],[Units_Sold]]*Clean_Data[[#This Row],[Cost_Price]]</f>
        <v>24576</v>
      </c>
      <c r="N688">
        <f>Clean_Data[[#This Row],[Total_Sales]]-Clean_Data[[#This Row],[Total_Cost]]</f>
        <v>15424</v>
      </c>
      <c r="O688" s="2">
        <f>Clean_Data[[#This Row],[Profit]]/Clean_Data[[#This Row],[Total_Sales]]</f>
        <v>0.3856</v>
      </c>
      <c r="P688" t="str">
        <f>_xlfn.XLOOKUP(Clean_Data[[#This Row],[Product_Code]],Product_Catalog!A:A,Product_Catalog!C:C)</f>
        <v>Electronics</v>
      </c>
      <c r="Q688">
        <f>IF(Clean_Data[[#This Row],[Order_Date]]="","",YEAR(Clean_Data[[#This Row],[Order_Date]]))</f>
        <v>2025</v>
      </c>
      <c r="R688" t="str">
        <f>TEXT(Clean_Data[[#This Row],[Order_Date]],"mmm")</f>
        <v>Jun</v>
      </c>
      <c r="S688" t="str">
        <f>TEXT(Clean_Data[[#This Row],[Order_Date]],"mmm-yy")</f>
        <v>Jun-25</v>
      </c>
      <c r="V688"/>
    </row>
    <row r="689" spans="1:22" x14ac:dyDescent="0.25">
      <c r="A689" t="s">
        <v>757</v>
      </c>
      <c r="B689" s="1">
        <v>46213</v>
      </c>
      <c r="C689" t="s">
        <v>12</v>
      </c>
      <c r="D689" t="s">
        <v>33</v>
      </c>
      <c r="E689" t="s">
        <v>66</v>
      </c>
      <c r="F689" t="s">
        <v>67</v>
      </c>
      <c r="G689">
        <v>18</v>
      </c>
      <c r="H689">
        <v>2500</v>
      </c>
      <c r="I689">
        <v>1571</v>
      </c>
      <c r="J689" t="s">
        <v>29</v>
      </c>
      <c r="K689" t="s">
        <v>23</v>
      </c>
      <c r="L689">
        <f>SUM(Clean_Data[[#This Row],[Units_Sold]]*Clean_Data[[#This Row],[Unit_Price]])</f>
        <v>45000</v>
      </c>
      <c r="M689">
        <f>Clean_Data[[#This Row],[Units_Sold]]*Clean_Data[[#This Row],[Cost_Price]]</f>
        <v>28278</v>
      </c>
      <c r="N689">
        <f>Clean_Data[[#This Row],[Total_Sales]]-Clean_Data[[#This Row],[Total_Cost]]</f>
        <v>16722</v>
      </c>
      <c r="O689" s="2">
        <f>Clean_Data[[#This Row],[Profit]]/Clean_Data[[#This Row],[Total_Sales]]</f>
        <v>0.37159999999999999</v>
      </c>
      <c r="P689" t="str">
        <f>_xlfn.XLOOKUP(Clean_Data[[#This Row],[Product_Code]],Product_Catalog!A:A,Product_Catalog!C:C)</f>
        <v>Electronics</v>
      </c>
      <c r="Q689">
        <f>IF(Clean_Data[[#This Row],[Order_Date]]="","",YEAR(Clean_Data[[#This Row],[Order_Date]]))</f>
        <v>2026</v>
      </c>
      <c r="R689" t="str">
        <f>TEXT(Clean_Data[[#This Row],[Order_Date]],"mmm")</f>
        <v>Jul</v>
      </c>
      <c r="S689" t="str">
        <f>TEXT(Clean_Data[[#This Row],[Order_Date]],"mmm-yy")</f>
        <v>Jul-26</v>
      </c>
      <c r="V689"/>
    </row>
    <row r="690" spans="1:22" x14ac:dyDescent="0.25">
      <c r="A690" t="s">
        <v>758</v>
      </c>
      <c r="B690" s="1">
        <v>46126</v>
      </c>
      <c r="C690" t="s">
        <v>53</v>
      </c>
      <c r="D690" t="s">
        <v>36</v>
      </c>
      <c r="E690" t="s">
        <v>27</v>
      </c>
      <c r="F690" t="s">
        <v>28</v>
      </c>
      <c r="G690">
        <v>1</v>
      </c>
      <c r="H690">
        <v>14000</v>
      </c>
      <c r="I690">
        <v>10591</v>
      </c>
      <c r="J690" t="s">
        <v>29</v>
      </c>
      <c r="K690" t="s">
        <v>17</v>
      </c>
      <c r="L690">
        <f>SUM(Clean_Data[[#This Row],[Units_Sold]]*Clean_Data[[#This Row],[Unit_Price]])</f>
        <v>14000</v>
      </c>
      <c r="M690">
        <f>Clean_Data[[#This Row],[Units_Sold]]*Clean_Data[[#This Row],[Cost_Price]]</f>
        <v>10591</v>
      </c>
      <c r="N690">
        <f>Clean_Data[[#This Row],[Total_Sales]]-Clean_Data[[#This Row],[Total_Cost]]</f>
        <v>3409</v>
      </c>
      <c r="O690" s="2">
        <f>Clean_Data[[#This Row],[Profit]]/Clean_Data[[#This Row],[Total_Sales]]</f>
        <v>0.24349999999999999</v>
      </c>
      <c r="P690" t="str">
        <f>_xlfn.XLOOKUP(Clean_Data[[#This Row],[Product_Code]],Product_Catalog!A:A,Product_Catalog!C:C)</f>
        <v>Furniture</v>
      </c>
      <c r="Q690">
        <f>IF(Clean_Data[[#This Row],[Order_Date]]="","",YEAR(Clean_Data[[#This Row],[Order_Date]]))</f>
        <v>2026</v>
      </c>
      <c r="R690" t="str">
        <f>TEXT(Clean_Data[[#This Row],[Order_Date]],"mmm")</f>
        <v>Apr</v>
      </c>
      <c r="S690" t="str">
        <f>TEXT(Clean_Data[[#This Row],[Order_Date]],"mmm-yy")</f>
        <v>Apr-26</v>
      </c>
      <c r="V690"/>
    </row>
    <row r="691" spans="1:22" x14ac:dyDescent="0.25">
      <c r="A691" t="s">
        <v>759</v>
      </c>
      <c r="B691" s="1">
        <v>45795</v>
      </c>
      <c r="C691" t="s">
        <v>12</v>
      </c>
      <c r="D691" t="s">
        <v>33</v>
      </c>
      <c r="E691" t="s">
        <v>37</v>
      </c>
      <c r="F691" t="s">
        <v>38</v>
      </c>
      <c r="G691">
        <v>5</v>
      </c>
      <c r="H691">
        <v>55000</v>
      </c>
      <c r="I691">
        <v>42211</v>
      </c>
      <c r="J691" t="s">
        <v>45</v>
      </c>
      <c r="K691" t="s">
        <v>17</v>
      </c>
      <c r="L691">
        <f>SUM(Clean_Data[[#This Row],[Units_Sold]]*Clean_Data[[#This Row],[Unit_Price]])</f>
        <v>275000</v>
      </c>
      <c r="M691">
        <f>Clean_Data[[#This Row],[Units_Sold]]*Clean_Data[[#This Row],[Cost_Price]]</f>
        <v>211055</v>
      </c>
      <c r="N691">
        <f>Clean_Data[[#This Row],[Total_Sales]]-Clean_Data[[#This Row],[Total_Cost]]</f>
        <v>63945</v>
      </c>
      <c r="O691" s="2">
        <f>Clean_Data[[#This Row],[Profit]]/Clean_Data[[#This Row],[Total_Sales]]</f>
        <v>0.23252727272727272</v>
      </c>
      <c r="P691" t="str">
        <f>_xlfn.XLOOKUP(Clean_Data[[#This Row],[Product_Code]],Product_Catalog!A:A,Product_Catalog!C:C)</f>
        <v>Electronics</v>
      </c>
      <c r="Q691">
        <f>IF(Clean_Data[[#This Row],[Order_Date]]="","",YEAR(Clean_Data[[#This Row],[Order_Date]]))</f>
        <v>2025</v>
      </c>
      <c r="R691" t="str">
        <f>TEXT(Clean_Data[[#This Row],[Order_Date]],"mmm")</f>
        <v>May</v>
      </c>
      <c r="S691" t="str">
        <f>TEXT(Clean_Data[[#This Row],[Order_Date]],"mmm-yy")</f>
        <v>May-25</v>
      </c>
      <c r="V691"/>
    </row>
    <row r="692" spans="1:22" x14ac:dyDescent="0.25">
      <c r="A692" t="s">
        <v>760</v>
      </c>
      <c r="B692" s="1">
        <v>45951</v>
      </c>
      <c r="C692" t="s">
        <v>62</v>
      </c>
      <c r="D692" t="s">
        <v>36</v>
      </c>
      <c r="E692" t="s">
        <v>41</v>
      </c>
      <c r="F692" t="s">
        <v>42</v>
      </c>
      <c r="G692">
        <v>3</v>
      </c>
      <c r="H692">
        <v>28000</v>
      </c>
      <c r="I692">
        <v>19044</v>
      </c>
      <c r="J692" t="s">
        <v>22</v>
      </c>
      <c r="K692" t="s">
        <v>23</v>
      </c>
      <c r="L692">
        <f>SUM(Clean_Data[[#This Row],[Units_Sold]]*Clean_Data[[#This Row],[Unit_Price]])</f>
        <v>84000</v>
      </c>
      <c r="M692">
        <f>Clean_Data[[#This Row],[Units_Sold]]*Clean_Data[[#This Row],[Cost_Price]]</f>
        <v>57132</v>
      </c>
      <c r="N692">
        <f>Clean_Data[[#This Row],[Total_Sales]]-Clean_Data[[#This Row],[Total_Cost]]</f>
        <v>26868</v>
      </c>
      <c r="O692" s="2">
        <f>Clean_Data[[#This Row],[Profit]]/Clean_Data[[#This Row],[Total_Sales]]</f>
        <v>0.31985714285714284</v>
      </c>
      <c r="P692" t="str">
        <f>_xlfn.XLOOKUP(Clean_Data[[#This Row],[Product_Code]],Product_Catalog!A:A,Product_Catalog!C:C)</f>
        <v>Electronics</v>
      </c>
      <c r="Q692">
        <f>IF(Clean_Data[[#This Row],[Order_Date]]="","",YEAR(Clean_Data[[#This Row],[Order_Date]]))</f>
        <v>2025</v>
      </c>
      <c r="R692" t="str">
        <f>TEXT(Clean_Data[[#This Row],[Order_Date]],"mmm")</f>
        <v>Oct</v>
      </c>
      <c r="S692" t="str">
        <f>TEXT(Clean_Data[[#This Row],[Order_Date]],"mmm-yy")</f>
        <v>Oct-25</v>
      </c>
      <c r="V692"/>
    </row>
    <row r="693" spans="1:22" x14ac:dyDescent="0.25">
      <c r="A693" t="s">
        <v>761</v>
      </c>
      <c r="B693" s="1">
        <v>45842</v>
      </c>
      <c r="C693" t="s">
        <v>19</v>
      </c>
      <c r="D693" t="s">
        <v>13</v>
      </c>
      <c r="E693" t="s">
        <v>14</v>
      </c>
      <c r="F693" t="s">
        <v>15</v>
      </c>
      <c r="G693">
        <v>9</v>
      </c>
      <c r="H693">
        <v>12500</v>
      </c>
      <c r="I693">
        <v>9522</v>
      </c>
      <c r="J693" t="s">
        <v>29</v>
      </c>
      <c r="K693" t="s">
        <v>17</v>
      </c>
      <c r="L693">
        <f>SUM(Clean_Data[[#This Row],[Units_Sold]]*Clean_Data[[#This Row],[Unit_Price]])</f>
        <v>112500</v>
      </c>
      <c r="M693">
        <f>Clean_Data[[#This Row],[Units_Sold]]*Clean_Data[[#This Row],[Cost_Price]]</f>
        <v>85698</v>
      </c>
      <c r="N693">
        <f>Clean_Data[[#This Row],[Total_Sales]]-Clean_Data[[#This Row],[Total_Cost]]</f>
        <v>26802</v>
      </c>
      <c r="O693" s="2">
        <f>Clean_Data[[#This Row],[Profit]]/Clean_Data[[#This Row],[Total_Sales]]</f>
        <v>0.23824000000000001</v>
      </c>
      <c r="P693" t="str">
        <f>_xlfn.XLOOKUP(Clean_Data[[#This Row],[Product_Code]],Product_Catalog!A:A,Product_Catalog!C:C)</f>
        <v>Accessories</v>
      </c>
      <c r="Q693">
        <f>IF(Clean_Data[[#This Row],[Order_Date]]="","",YEAR(Clean_Data[[#This Row],[Order_Date]]))</f>
        <v>2025</v>
      </c>
      <c r="R693" t="str">
        <f>TEXT(Clean_Data[[#This Row],[Order_Date]],"mmm")</f>
        <v>Jul</v>
      </c>
      <c r="S693" t="str">
        <f>TEXT(Clean_Data[[#This Row],[Order_Date]],"mmm-yy")</f>
        <v>Jul-25</v>
      </c>
      <c r="V693"/>
    </row>
    <row r="694" spans="1:22" x14ac:dyDescent="0.25">
      <c r="A694" t="s">
        <v>762</v>
      </c>
      <c r="B694" s="1">
        <v>46203</v>
      </c>
      <c r="C694" t="s">
        <v>31</v>
      </c>
      <c r="D694" t="s">
        <v>36</v>
      </c>
      <c r="E694" t="s">
        <v>14</v>
      </c>
      <c r="F694" t="s">
        <v>15</v>
      </c>
      <c r="G694">
        <v>7</v>
      </c>
      <c r="H694">
        <v>12500</v>
      </c>
      <c r="I694">
        <v>9329</v>
      </c>
      <c r="J694" t="s">
        <v>45</v>
      </c>
      <c r="K694" t="s">
        <v>84</v>
      </c>
      <c r="L694">
        <f>SUM(Clean_Data[[#This Row],[Units_Sold]]*Clean_Data[[#This Row],[Unit_Price]])</f>
        <v>87500</v>
      </c>
      <c r="M694">
        <f>Clean_Data[[#This Row],[Units_Sold]]*Clean_Data[[#This Row],[Cost_Price]]</f>
        <v>65303</v>
      </c>
      <c r="N694">
        <f>Clean_Data[[#This Row],[Total_Sales]]-Clean_Data[[#This Row],[Total_Cost]]</f>
        <v>22197</v>
      </c>
      <c r="O694" s="2">
        <f>Clean_Data[[#This Row],[Profit]]/Clean_Data[[#This Row],[Total_Sales]]</f>
        <v>0.25368000000000002</v>
      </c>
      <c r="P694" t="str">
        <f>_xlfn.XLOOKUP(Clean_Data[[#This Row],[Product_Code]],Product_Catalog!A:A,Product_Catalog!C:C)</f>
        <v>Accessories</v>
      </c>
      <c r="Q694">
        <f>IF(Clean_Data[[#This Row],[Order_Date]]="","",YEAR(Clean_Data[[#This Row],[Order_Date]]))</f>
        <v>2026</v>
      </c>
      <c r="R694" t="str">
        <f>TEXT(Clean_Data[[#This Row],[Order_Date]],"mmm")</f>
        <v>Jun</v>
      </c>
      <c r="S694" t="str">
        <f>TEXT(Clean_Data[[#This Row],[Order_Date]],"mmm-yy")</f>
        <v>Jun-26</v>
      </c>
      <c r="V694"/>
    </row>
    <row r="695" spans="1:22" x14ac:dyDescent="0.25">
      <c r="A695" t="s">
        <v>763</v>
      </c>
      <c r="B695" s="1">
        <v>45771</v>
      </c>
      <c r="C695" t="s">
        <v>73</v>
      </c>
      <c r="D695" t="s">
        <v>36</v>
      </c>
      <c r="E695" t="s">
        <v>37</v>
      </c>
      <c r="F695" t="s">
        <v>38</v>
      </c>
      <c r="G695">
        <v>11</v>
      </c>
      <c r="H695">
        <v>55000</v>
      </c>
      <c r="I695">
        <v>36687</v>
      </c>
      <c r="J695" t="s">
        <v>29</v>
      </c>
      <c r="K695" t="s">
        <v>23</v>
      </c>
      <c r="L695">
        <f>SUM(Clean_Data[[#This Row],[Units_Sold]]*Clean_Data[[#This Row],[Unit_Price]])</f>
        <v>605000</v>
      </c>
      <c r="M695">
        <f>Clean_Data[[#This Row],[Units_Sold]]*Clean_Data[[#This Row],[Cost_Price]]</f>
        <v>403557</v>
      </c>
      <c r="N695">
        <f>Clean_Data[[#This Row],[Total_Sales]]-Clean_Data[[#This Row],[Total_Cost]]</f>
        <v>201443</v>
      </c>
      <c r="O695" s="2">
        <f>Clean_Data[[#This Row],[Profit]]/Clean_Data[[#This Row],[Total_Sales]]</f>
        <v>0.33296363636363635</v>
      </c>
      <c r="P695" t="str">
        <f>_xlfn.XLOOKUP(Clean_Data[[#This Row],[Product_Code]],Product_Catalog!A:A,Product_Catalog!C:C)</f>
        <v>Electronics</v>
      </c>
      <c r="Q695">
        <f>IF(Clean_Data[[#This Row],[Order_Date]]="","",YEAR(Clean_Data[[#This Row],[Order_Date]]))</f>
        <v>2025</v>
      </c>
      <c r="R695" t="str">
        <f>TEXT(Clean_Data[[#This Row],[Order_Date]],"mmm")</f>
        <v>Apr</v>
      </c>
      <c r="S695" t="str">
        <f>TEXT(Clean_Data[[#This Row],[Order_Date]],"mmm-yy")</f>
        <v>Apr-25</v>
      </c>
      <c r="V695"/>
    </row>
    <row r="696" spans="1:22" x14ac:dyDescent="0.25">
      <c r="A696" t="s">
        <v>764</v>
      </c>
      <c r="B696" s="1">
        <v>46127</v>
      </c>
      <c r="C696" t="s">
        <v>44</v>
      </c>
      <c r="D696" t="s">
        <v>40</v>
      </c>
      <c r="E696" t="s">
        <v>20</v>
      </c>
      <c r="F696" t="s">
        <v>21</v>
      </c>
      <c r="G696">
        <v>2</v>
      </c>
      <c r="H696">
        <v>8500</v>
      </c>
      <c r="I696">
        <v>5756</v>
      </c>
      <c r="J696" t="s">
        <v>16</v>
      </c>
      <c r="K696" t="s">
        <v>23</v>
      </c>
      <c r="L696">
        <f>SUM(Clean_Data[[#This Row],[Units_Sold]]*Clean_Data[[#This Row],[Unit_Price]])</f>
        <v>17000</v>
      </c>
      <c r="M696">
        <f>Clean_Data[[#This Row],[Units_Sold]]*Clean_Data[[#This Row],[Cost_Price]]</f>
        <v>11512</v>
      </c>
      <c r="N696">
        <f>Clean_Data[[#This Row],[Total_Sales]]-Clean_Data[[#This Row],[Total_Cost]]</f>
        <v>5488</v>
      </c>
      <c r="O696" s="2">
        <f>Clean_Data[[#This Row],[Profit]]/Clean_Data[[#This Row],[Total_Sales]]</f>
        <v>0.32282352941176473</v>
      </c>
      <c r="P696" t="str">
        <f>_xlfn.XLOOKUP(Clean_Data[[#This Row],[Product_Code]],Product_Catalog!A:A,Product_Catalog!C:C)</f>
        <v>Accessories</v>
      </c>
      <c r="Q696">
        <f>IF(Clean_Data[[#This Row],[Order_Date]]="","",YEAR(Clean_Data[[#This Row],[Order_Date]]))</f>
        <v>2026</v>
      </c>
      <c r="R696" t="str">
        <f>TEXT(Clean_Data[[#This Row],[Order_Date]],"mmm")</f>
        <v>Apr</v>
      </c>
      <c r="S696" t="str">
        <f>TEXT(Clean_Data[[#This Row],[Order_Date]],"mmm-yy")</f>
        <v>Apr-26</v>
      </c>
      <c r="V696"/>
    </row>
    <row r="697" spans="1:22" x14ac:dyDescent="0.25">
      <c r="A697" t="s">
        <v>765</v>
      </c>
      <c r="B697" s="1">
        <v>45674</v>
      </c>
      <c r="C697" t="s">
        <v>31</v>
      </c>
      <c r="D697" t="s">
        <v>26</v>
      </c>
      <c r="E697" t="s">
        <v>41</v>
      </c>
      <c r="F697" t="s">
        <v>42</v>
      </c>
      <c r="G697">
        <v>1</v>
      </c>
      <c r="H697">
        <v>28000</v>
      </c>
      <c r="I697">
        <v>21806</v>
      </c>
      <c r="J697" t="s">
        <v>29</v>
      </c>
      <c r="K697" t="s">
        <v>23</v>
      </c>
      <c r="L697">
        <f>SUM(Clean_Data[[#This Row],[Units_Sold]]*Clean_Data[[#This Row],[Unit_Price]])</f>
        <v>28000</v>
      </c>
      <c r="M697">
        <f>Clean_Data[[#This Row],[Units_Sold]]*Clean_Data[[#This Row],[Cost_Price]]</f>
        <v>21806</v>
      </c>
      <c r="N697">
        <f>Clean_Data[[#This Row],[Total_Sales]]-Clean_Data[[#This Row],[Total_Cost]]</f>
        <v>6194</v>
      </c>
      <c r="O697" s="2">
        <f>Clean_Data[[#This Row],[Profit]]/Clean_Data[[#This Row],[Total_Sales]]</f>
        <v>0.22121428571428572</v>
      </c>
      <c r="P697" t="str">
        <f>_xlfn.XLOOKUP(Clean_Data[[#This Row],[Product_Code]],Product_Catalog!A:A,Product_Catalog!C:C)</f>
        <v>Electronics</v>
      </c>
      <c r="Q697">
        <f>IF(Clean_Data[[#This Row],[Order_Date]]="","",YEAR(Clean_Data[[#This Row],[Order_Date]]))</f>
        <v>2025</v>
      </c>
      <c r="R697" t="str">
        <f>TEXT(Clean_Data[[#This Row],[Order_Date]],"mmm")</f>
        <v>Jan</v>
      </c>
      <c r="S697" t="str">
        <f>TEXT(Clean_Data[[#This Row],[Order_Date]],"mmm-yy")</f>
        <v>Jan-25</v>
      </c>
      <c r="V697"/>
    </row>
    <row r="698" spans="1:22" x14ac:dyDescent="0.25">
      <c r="A698" t="s">
        <v>766</v>
      </c>
      <c r="B698" s="1">
        <v>45841</v>
      </c>
      <c r="C698" t="s">
        <v>25</v>
      </c>
      <c r="D698" t="s">
        <v>40</v>
      </c>
      <c r="E698" t="s">
        <v>41</v>
      </c>
      <c r="F698" t="s">
        <v>42</v>
      </c>
      <c r="G698">
        <v>6</v>
      </c>
      <c r="H698">
        <v>28000</v>
      </c>
      <c r="I698">
        <v>21167</v>
      </c>
      <c r="J698" t="s">
        <v>29</v>
      </c>
      <c r="K698" t="s">
        <v>17</v>
      </c>
      <c r="L698">
        <f>SUM(Clean_Data[[#This Row],[Units_Sold]]*Clean_Data[[#This Row],[Unit_Price]])</f>
        <v>168000</v>
      </c>
      <c r="M698">
        <f>Clean_Data[[#This Row],[Units_Sold]]*Clean_Data[[#This Row],[Cost_Price]]</f>
        <v>127002</v>
      </c>
      <c r="N698">
        <f>Clean_Data[[#This Row],[Total_Sales]]-Clean_Data[[#This Row],[Total_Cost]]</f>
        <v>40998</v>
      </c>
      <c r="O698" s="2">
        <f>Clean_Data[[#This Row],[Profit]]/Clean_Data[[#This Row],[Total_Sales]]</f>
        <v>0.24403571428571427</v>
      </c>
      <c r="P698" t="str">
        <f>_xlfn.XLOOKUP(Clean_Data[[#This Row],[Product_Code]],Product_Catalog!A:A,Product_Catalog!C:C)</f>
        <v>Electronics</v>
      </c>
      <c r="Q698">
        <f>IF(Clean_Data[[#This Row],[Order_Date]]="","",YEAR(Clean_Data[[#This Row],[Order_Date]]))</f>
        <v>2025</v>
      </c>
      <c r="R698" t="str">
        <f>TEXT(Clean_Data[[#This Row],[Order_Date]],"mmm")</f>
        <v>Jul</v>
      </c>
      <c r="S698" t="str">
        <f>TEXT(Clean_Data[[#This Row],[Order_Date]],"mmm-yy")</f>
        <v>Jul-25</v>
      </c>
      <c r="V698"/>
    </row>
    <row r="699" spans="1:22" x14ac:dyDescent="0.25">
      <c r="A699" t="s">
        <v>767</v>
      </c>
      <c r="B699" s="1">
        <v>45773</v>
      </c>
      <c r="C699" t="s">
        <v>31</v>
      </c>
      <c r="D699" t="s">
        <v>13</v>
      </c>
      <c r="E699" t="s">
        <v>55</v>
      </c>
      <c r="F699" t="s">
        <v>34</v>
      </c>
      <c r="G699">
        <v>5</v>
      </c>
      <c r="H699">
        <v>35000</v>
      </c>
      <c r="I699">
        <v>23244</v>
      </c>
      <c r="J699" t="s">
        <v>29</v>
      </c>
      <c r="K699" t="s">
        <v>23</v>
      </c>
      <c r="L699">
        <f>SUM(Clean_Data[[#This Row],[Units_Sold]]*Clean_Data[[#This Row],[Unit_Price]])</f>
        <v>175000</v>
      </c>
      <c r="M699">
        <f>Clean_Data[[#This Row],[Units_Sold]]*Clean_Data[[#This Row],[Cost_Price]]</f>
        <v>116220</v>
      </c>
      <c r="N699">
        <f>Clean_Data[[#This Row],[Total_Sales]]-Clean_Data[[#This Row],[Total_Cost]]</f>
        <v>58780</v>
      </c>
      <c r="O699" s="2">
        <f>Clean_Data[[#This Row],[Profit]]/Clean_Data[[#This Row],[Total_Sales]]</f>
        <v>0.33588571428571429</v>
      </c>
      <c r="P699" t="str">
        <f>_xlfn.XLOOKUP(Clean_Data[[#This Row],[Product_Code]],Product_Catalog!A:A,Product_Catalog!C:C)</f>
        <v>Furniture</v>
      </c>
      <c r="Q699">
        <f>IF(Clean_Data[[#This Row],[Order_Date]]="","",YEAR(Clean_Data[[#This Row],[Order_Date]]))</f>
        <v>2025</v>
      </c>
      <c r="R699" t="str">
        <f>TEXT(Clean_Data[[#This Row],[Order_Date]],"mmm")</f>
        <v>Apr</v>
      </c>
      <c r="S699" t="str">
        <f>TEXT(Clean_Data[[#This Row],[Order_Date]],"mmm-yy")</f>
        <v>Apr-25</v>
      </c>
      <c r="V699"/>
    </row>
    <row r="700" spans="1:22" x14ac:dyDescent="0.25">
      <c r="A700" t="s">
        <v>768</v>
      </c>
      <c r="B700" s="1">
        <v>45939</v>
      </c>
      <c r="C700" t="s">
        <v>48</v>
      </c>
      <c r="D700" t="s">
        <v>13</v>
      </c>
      <c r="E700" t="s">
        <v>37</v>
      </c>
      <c r="F700" t="s">
        <v>38</v>
      </c>
      <c r="G700">
        <v>17</v>
      </c>
      <c r="H700">
        <v>55000</v>
      </c>
      <c r="I700">
        <v>39524</v>
      </c>
      <c r="J700" t="s">
        <v>22</v>
      </c>
      <c r="K700" t="s">
        <v>17</v>
      </c>
      <c r="L700">
        <f>SUM(Clean_Data[[#This Row],[Units_Sold]]*Clean_Data[[#This Row],[Unit_Price]])</f>
        <v>935000</v>
      </c>
      <c r="M700">
        <f>Clean_Data[[#This Row],[Units_Sold]]*Clean_Data[[#This Row],[Cost_Price]]</f>
        <v>671908</v>
      </c>
      <c r="N700">
        <f>Clean_Data[[#This Row],[Total_Sales]]-Clean_Data[[#This Row],[Total_Cost]]</f>
        <v>263092</v>
      </c>
      <c r="O700" s="2">
        <f>Clean_Data[[#This Row],[Profit]]/Clean_Data[[#This Row],[Total_Sales]]</f>
        <v>0.28138181818181818</v>
      </c>
      <c r="P700" t="str">
        <f>_xlfn.XLOOKUP(Clean_Data[[#This Row],[Product_Code]],Product_Catalog!A:A,Product_Catalog!C:C)</f>
        <v>Electronics</v>
      </c>
      <c r="Q700">
        <f>IF(Clean_Data[[#This Row],[Order_Date]]="","",YEAR(Clean_Data[[#This Row],[Order_Date]]))</f>
        <v>2025</v>
      </c>
      <c r="R700" t="str">
        <f>TEXT(Clean_Data[[#This Row],[Order_Date]],"mmm")</f>
        <v>Oct</v>
      </c>
      <c r="S700" t="str">
        <f>TEXT(Clean_Data[[#This Row],[Order_Date]],"mmm-yy")</f>
        <v>Oct-25</v>
      </c>
      <c r="V700"/>
    </row>
    <row r="701" spans="1:22" x14ac:dyDescent="0.25">
      <c r="A701" t="s">
        <v>769</v>
      </c>
      <c r="B701" s="1">
        <v>45727</v>
      </c>
      <c r="C701" t="s">
        <v>12</v>
      </c>
      <c r="D701" t="s">
        <v>40</v>
      </c>
      <c r="E701" t="s">
        <v>55</v>
      </c>
      <c r="F701" t="s">
        <v>34</v>
      </c>
      <c r="G701">
        <v>12</v>
      </c>
      <c r="H701">
        <v>35000</v>
      </c>
      <c r="I701">
        <v>24715</v>
      </c>
      <c r="J701" t="s">
        <v>45</v>
      </c>
      <c r="K701" t="s">
        <v>23</v>
      </c>
      <c r="L701">
        <f>SUM(Clean_Data[[#This Row],[Units_Sold]]*Clean_Data[[#This Row],[Unit_Price]])</f>
        <v>420000</v>
      </c>
      <c r="M701">
        <f>Clean_Data[[#This Row],[Units_Sold]]*Clean_Data[[#This Row],[Cost_Price]]</f>
        <v>296580</v>
      </c>
      <c r="N701">
        <f>Clean_Data[[#This Row],[Total_Sales]]-Clean_Data[[#This Row],[Total_Cost]]</f>
        <v>123420</v>
      </c>
      <c r="O701" s="2">
        <f>Clean_Data[[#This Row],[Profit]]/Clean_Data[[#This Row],[Total_Sales]]</f>
        <v>0.29385714285714287</v>
      </c>
      <c r="P701" t="str">
        <f>_xlfn.XLOOKUP(Clean_Data[[#This Row],[Product_Code]],Product_Catalog!A:A,Product_Catalog!C:C)</f>
        <v>Furniture</v>
      </c>
      <c r="Q701">
        <f>IF(Clean_Data[[#This Row],[Order_Date]]="","",YEAR(Clean_Data[[#This Row],[Order_Date]]))</f>
        <v>2025</v>
      </c>
      <c r="R701" t="str">
        <f>TEXT(Clean_Data[[#This Row],[Order_Date]],"mmm")</f>
        <v>Mar</v>
      </c>
      <c r="S701" t="str">
        <f>TEXT(Clean_Data[[#This Row],[Order_Date]],"mmm-yy")</f>
        <v>Mar-25</v>
      </c>
      <c r="V701"/>
    </row>
    <row r="702" spans="1:22" x14ac:dyDescent="0.25">
      <c r="A702" t="s">
        <v>770</v>
      </c>
      <c r="B702" s="1">
        <v>45993</v>
      </c>
      <c r="C702" t="s">
        <v>44</v>
      </c>
      <c r="D702" t="s">
        <v>40</v>
      </c>
      <c r="E702" t="s">
        <v>37</v>
      </c>
      <c r="F702" t="s">
        <v>38</v>
      </c>
      <c r="G702">
        <v>12</v>
      </c>
      <c r="H702">
        <v>55000</v>
      </c>
      <c r="I702">
        <v>43902</v>
      </c>
      <c r="J702" t="s">
        <v>29</v>
      </c>
      <c r="K702" t="s">
        <v>46</v>
      </c>
      <c r="L702">
        <f>SUM(Clean_Data[[#This Row],[Units_Sold]]*Clean_Data[[#This Row],[Unit_Price]])</f>
        <v>660000</v>
      </c>
      <c r="M702">
        <f>Clean_Data[[#This Row],[Units_Sold]]*Clean_Data[[#This Row],[Cost_Price]]</f>
        <v>526824</v>
      </c>
      <c r="N702">
        <f>Clean_Data[[#This Row],[Total_Sales]]-Clean_Data[[#This Row],[Total_Cost]]</f>
        <v>133176</v>
      </c>
      <c r="O702" s="2">
        <f>Clean_Data[[#This Row],[Profit]]/Clean_Data[[#This Row],[Total_Sales]]</f>
        <v>0.20178181818181817</v>
      </c>
      <c r="P702" t="str">
        <f>_xlfn.XLOOKUP(Clean_Data[[#This Row],[Product_Code]],Product_Catalog!A:A,Product_Catalog!C:C)</f>
        <v>Electronics</v>
      </c>
      <c r="Q702">
        <f>IF(Clean_Data[[#This Row],[Order_Date]]="","",YEAR(Clean_Data[[#This Row],[Order_Date]]))</f>
        <v>2025</v>
      </c>
      <c r="R702" t="str">
        <f>TEXT(Clean_Data[[#This Row],[Order_Date]],"mmm")</f>
        <v>Dec</v>
      </c>
      <c r="S702" t="str">
        <f>TEXT(Clean_Data[[#This Row],[Order_Date]],"mmm-yy")</f>
        <v>Dec-25</v>
      </c>
      <c r="V702"/>
    </row>
    <row r="703" spans="1:22" x14ac:dyDescent="0.25">
      <c r="A703" t="s">
        <v>771</v>
      </c>
      <c r="B703" s="1">
        <v>46178</v>
      </c>
      <c r="C703" t="s">
        <v>53</v>
      </c>
      <c r="D703" t="s">
        <v>26</v>
      </c>
      <c r="E703" t="s">
        <v>37</v>
      </c>
      <c r="F703" t="s">
        <v>38</v>
      </c>
      <c r="G703">
        <v>11</v>
      </c>
      <c r="H703">
        <v>55000</v>
      </c>
      <c r="I703">
        <v>34896</v>
      </c>
      <c r="J703" t="s">
        <v>45</v>
      </c>
      <c r="K703" t="s">
        <v>17</v>
      </c>
      <c r="L703">
        <f>SUM(Clean_Data[[#This Row],[Units_Sold]]*Clean_Data[[#This Row],[Unit_Price]])</f>
        <v>605000</v>
      </c>
      <c r="M703">
        <f>Clean_Data[[#This Row],[Units_Sold]]*Clean_Data[[#This Row],[Cost_Price]]</f>
        <v>383856</v>
      </c>
      <c r="N703">
        <f>Clean_Data[[#This Row],[Total_Sales]]-Clean_Data[[#This Row],[Total_Cost]]</f>
        <v>221144</v>
      </c>
      <c r="O703" s="2">
        <f>Clean_Data[[#This Row],[Profit]]/Clean_Data[[#This Row],[Total_Sales]]</f>
        <v>0.3655272727272727</v>
      </c>
      <c r="P703" t="str">
        <f>_xlfn.XLOOKUP(Clean_Data[[#This Row],[Product_Code]],Product_Catalog!A:A,Product_Catalog!C:C)</f>
        <v>Electronics</v>
      </c>
      <c r="Q703">
        <f>IF(Clean_Data[[#This Row],[Order_Date]]="","",YEAR(Clean_Data[[#This Row],[Order_Date]]))</f>
        <v>2026</v>
      </c>
      <c r="R703" t="str">
        <f>TEXT(Clean_Data[[#This Row],[Order_Date]],"mmm")</f>
        <v>Jun</v>
      </c>
      <c r="S703" t="str">
        <f>TEXT(Clean_Data[[#This Row],[Order_Date]],"mmm-yy")</f>
        <v>Jun-26</v>
      </c>
      <c r="V703"/>
    </row>
    <row r="704" spans="1:22" x14ac:dyDescent="0.25">
      <c r="A704" t="s">
        <v>772</v>
      </c>
      <c r="B704" s="1">
        <v>45785</v>
      </c>
      <c r="C704" t="s">
        <v>73</v>
      </c>
      <c r="D704" t="s">
        <v>36</v>
      </c>
      <c r="E704" t="s">
        <v>27</v>
      </c>
      <c r="F704" t="s">
        <v>28</v>
      </c>
      <c r="G704">
        <v>11</v>
      </c>
      <c r="H704">
        <v>14000</v>
      </c>
      <c r="I704">
        <v>10685</v>
      </c>
      <c r="J704" t="s">
        <v>16</v>
      </c>
      <c r="K704" t="s">
        <v>23</v>
      </c>
      <c r="L704">
        <f>SUM(Clean_Data[[#This Row],[Units_Sold]]*Clean_Data[[#This Row],[Unit_Price]])</f>
        <v>154000</v>
      </c>
      <c r="M704">
        <f>Clean_Data[[#This Row],[Units_Sold]]*Clean_Data[[#This Row],[Cost_Price]]</f>
        <v>117535</v>
      </c>
      <c r="N704">
        <f>Clean_Data[[#This Row],[Total_Sales]]-Clean_Data[[#This Row],[Total_Cost]]</f>
        <v>36465</v>
      </c>
      <c r="O704" s="2">
        <f>Clean_Data[[#This Row],[Profit]]/Clean_Data[[#This Row],[Total_Sales]]</f>
        <v>0.23678571428571429</v>
      </c>
      <c r="P704" t="str">
        <f>_xlfn.XLOOKUP(Clean_Data[[#This Row],[Product_Code]],Product_Catalog!A:A,Product_Catalog!C:C)</f>
        <v>Furniture</v>
      </c>
      <c r="Q704">
        <f>IF(Clean_Data[[#This Row],[Order_Date]]="","",YEAR(Clean_Data[[#This Row],[Order_Date]]))</f>
        <v>2025</v>
      </c>
      <c r="R704" t="str">
        <f>TEXT(Clean_Data[[#This Row],[Order_Date]],"mmm")</f>
        <v>May</v>
      </c>
      <c r="S704" t="str">
        <f>TEXT(Clean_Data[[#This Row],[Order_Date]],"mmm-yy")</f>
        <v>May-25</v>
      </c>
      <c r="V704"/>
    </row>
    <row r="705" spans="1:22" x14ac:dyDescent="0.25">
      <c r="A705" t="s">
        <v>773</v>
      </c>
      <c r="B705" s="1">
        <v>46183</v>
      </c>
      <c r="C705" t="s">
        <v>31</v>
      </c>
      <c r="D705" t="s">
        <v>40</v>
      </c>
      <c r="E705" t="s">
        <v>27</v>
      </c>
      <c r="F705" t="s">
        <v>28</v>
      </c>
      <c r="G705">
        <v>6</v>
      </c>
      <c r="H705">
        <v>14000</v>
      </c>
      <c r="I705">
        <v>11153</v>
      </c>
      <c r="J705" t="s">
        <v>16</v>
      </c>
      <c r="K705" t="s">
        <v>23</v>
      </c>
      <c r="L705">
        <f>SUM(Clean_Data[[#This Row],[Units_Sold]]*Clean_Data[[#This Row],[Unit_Price]])</f>
        <v>84000</v>
      </c>
      <c r="M705">
        <f>Clean_Data[[#This Row],[Units_Sold]]*Clean_Data[[#This Row],[Cost_Price]]</f>
        <v>66918</v>
      </c>
      <c r="N705">
        <f>Clean_Data[[#This Row],[Total_Sales]]-Clean_Data[[#This Row],[Total_Cost]]</f>
        <v>17082</v>
      </c>
      <c r="O705" s="2">
        <f>Clean_Data[[#This Row],[Profit]]/Clean_Data[[#This Row],[Total_Sales]]</f>
        <v>0.20335714285714285</v>
      </c>
      <c r="P705" t="str">
        <f>_xlfn.XLOOKUP(Clean_Data[[#This Row],[Product_Code]],Product_Catalog!A:A,Product_Catalog!C:C)</f>
        <v>Furniture</v>
      </c>
      <c r="Q705">
        <f>IF(Clean_Data[[#This Row],[Order_Date]]="","",YEAR(Clean_Data[[#This Row],[Order_Date]]))</f>
        <v>2026</v>
      </c>
      <c r="R705" t="str">
        <f>TEXT(Clean_Data[[#This Row],[Order_Date]],"mmm")</f>
        <v>Jun</v>
      </c>
      <c r="S705" t="str">
        <f>TEXT(Clean_Data[[#This Row],[Order_Date]],"mmm-yy")</f>
        <v>Jun-26</v>
      </c>
      <c r="V705"/>
    </row>
    <row r="706" spans="1:22" x14ac:dyDescent="0.25">
      <c r="A706" t="s">
        <v>774</v>
      </c>
      <c r="B706" s="1">
        <v>45745</v>
      </c>
      <c r="C706" t="s">
        <v>12</v>
      </c>
      <c r="D706" t="s">
        <v>36</v>
      </c>
      <c r="E706" t="s">
        <v>20</v>
      </c>
      <c r="F706" t="s">
        <v>21</v>
      </c>
      <c r="G706">
        <v>11</v>
      </c>
      <c r="H706">
        <v>8500</v>
      </c>
      <c r="I706">
        <v>5771</v>
      </c>
      <c r="J706" t="s">
        <v>22</v>
      </c>
      <c r="K706" t="s">
        <v>17</v>
      </c>
      <c r="L706">
        <f>SUM(Clean_Data[[#This Row],[Units_Sold]]*Clean_Data[[#This Row],[Unit_Price]])</f>
        <v>93500</v>
      </c>
      <c r="M706">
        <f>Clean_Data[[#This Row],[Units_Sold]]*Clean_Data[[#This Row],[Cost_Price]]</f>
        <v>63481</v>
      </c>
      <c r="N706">
        <f>Clean_Data[[#This Row],[Total_Sales]]-Clean_Data[[#This Row],[Total_Cost]]</f>
        <v>30019</v>
      </c>
      <c r="O706" s="2">
        <f>Clean_Data[[#This Row],[Profit]]/Clean_Data[[#This Row],[Total_Sales]]</f>
        <v>0.32105882352941179</v>
      </c>
      <c r="P706" t="str">
        <f>_xlfn.XLOOKUP(Clean_Data[[#This Row],[Product_Code]],Product_Catalog!A:A,Product_Catalog!C:C)</f>
        <v>Accessories</v>
      </c>
      <c r="Q706">
        <f>IF(Clean_Data[[#This Row],[Order_Date]]="","",YEAR(Clean_Data[[#This Row],[Order_Date]]))</f>
        <v>2025</v>
      </c>
      <c r="R706" t="str">
        <f>TEXT(Clean_Data[[#This Row],[Order_Date]],"mmm")</f>
        <v>Mar</v>
      </c>
      <c r="S706" t="str">
        <f>TEXT(Clean_Data[[#This Row],[Order_Date]],"mmm-yy")</f>
        <v>Mar-25</v>
      </c>
      <c r="V706"/>
    </row>
    <row r="707" spans="1:22" x14ac:dyDescent="0.25">
      <c r="A707" t="s">
        <v>775</v>
      </c>
      <c r="B707" s="1">
        <v>45713</v>
      </c>
      <c r="C707" t="s">
        <v>73</v>
      </c>
      <c r="D707" t="s">
        <v>40</v>
      </c>
      <c r="E707" t="s">
        <v>20</v>
      </c>
      <c r="F707" t="s">
        <v>21</v>
      </c>
      <c r="G707">
        <v>9</v>
      </c>
      <c r="H707">
        <v>8500</v>
      </c>
      <c r="I707">
        <v>6086</v>
      </c>
      <c r="J707" t="s">
        <v>29</v>
      </c>
      <c r="K707" t="s">
        <v>17</v>
      </c>
      <c r="L707">
        <f>SUM(Clean_Data[[#This Row],[Units_Sold]]*Clean_Data[[#This Row],[Unit_Price]])</f>
        <v>76500</v>
      </c>
      <c r="M707">
        <f>Clean_Data[[#This Row],[Units_Sold]]*Clean_Data[[#This Row],[Cost_Price]]</f>
        <v>54774</v>
      </c>
      <c r="N707">
        <f>Clean_Data[[#This Row],[Total_Sales]]-Clean_Data[[#This Row],[Total_Cost]]</f>
        <v>21726</v>
      </c>
      <c r="O707" s="2">
        <f>Clean_Data[[#This Row],[Profit]]/Clean_Data[[#This Row],[Total_Sales]]</f>
        <v>0.28399999999999997</v>
      </c>
      <c r="P707" t="str">
        <f>_xlfn.XLOOKUP(Clean_Data[[#This Row],[Product_Code]],Product_Catalog!A:A,Product_Catalog!C:C)</f>
        <v>Accessories</v>
      </c>
      <c r="Q707">
        <f>IF(Clean_Data[[#This Row],[Order_Date]]="","",YEAR(Clean_Data[[#This Row],[Order_Date]]))</f>
        <v>2025</v>
      </c>
      <c r="R707" t="str">
        <f>TEXT(Clean_Data[[#This Row],[Order_Date]],"mmm")</f>
        <v>Feb</v>
      </c>
      <c r="S707" t="str">
        <f>TEXT(Clean_Data[[#This Row],[Order_Date]],"mmm-yy")</f>
        <v>Feb-25</v>
      </c>
      <c r="V707"/>
    </row>
    <row r="708" spans="1:22" x14ac:dyDescent="0.25">
      <c r="A708" t="s">
        <v>776</v>
      </c>
      <c r="B708" s="1">
        <v>45845</v>
      </c>
      <c r="C708" t="s">
        <v>48</v>
      </c>
      <c r="D708" t="s">
        <v>36</v>
      </c>
      <c r="E708" t="s">
        <v>41</v>
      </c>
      <c r="F708" t="s">
        <v>42</v>
      </c>
      <c r="G708">
        <v>5</v>
      </c>
      <c r="H708">
        <v>28000</v>
      </c>
      <c r="I708">
        <v>18696</v>
      </c>
      <c r="J708" t="s">
        <v>22</v>
      </c>
      <c r="K708" t="s">
        <v>17</v>
      </c>
      <c r="L708">
        <f>SUM(Clean_Data[[#This Row],[Units_Sold]]*Clean_Data[[#This Row],[Unit_Price]])</f>
        <v>140000</v>
      </c>
      <c r="M708">
        <f>Clean_Data[[#This Row],[Units_Sold]]*Clean_Data[[#This Row],[Cost_Price]]</f>
        <v>93480</v>
      </c>
      <c r="N708">
        <f>Clean_Data[[#This Row],[Total_Sales]]-Clean_Data[[#This Row],[Total_Cost]]</f>
        <v>46520</v>
      </c>
      <c r="O708" s="2">
        <f>Clean_Data[[#This Row],[Profit]]/Clean_Data[[#This Row],[Total_Sales]]</f>
        <v>0.3322857142857143</v>
      </c>
      <c r="P708" t="str">
        <f>_xlfn.XLOOKUP(Clean_Data[[#This Row],[Product_Code]],Product_Catalog!A:A,Product_Catalog!C:C)</f>
        <v>Electronics</v>
      </c>
      <c r="Q708">
        <f>IF(Clean_Data[[#This Row],[Order_Date]]="","",YEAR(Clean_Data[[#This Row],[Order_Date]]))</f>
        <v>2025</v>
      </c>
      <c r="R708" t="str">
        <f>TEXT(Clean_Data[[#This Row],[Order_Date]],"mmm")</f>
        <v>Jul</v>
      </c>
      <c r="S708" t="str">
        <f>TEXT(Clean_Data[[#This Row],[Order_Date]],"mmm-yy")</f>
        <v>Jul-25</v>
      </c>
      <c r="V708"/>
    </row>
    <row r="709" spans="1:22" x14ac:dyDescent="0.25">
      <c r="A709" t="s">
        <v>778</v>
      </c>
      <c r="B709" s="1">
        <v>45685</v>
      </c>
      <c r="C709" t="s">
        <v>12</v>
      </c>
      <c r="D709" t="s">
        <v>40</v>
      </c>
      <c r="E709" t="s">
        <v>41</v>
      </c>
      <c r="F709" t="s">
        <v>42</v>
      </c>
      <c r="G709">
        <v>11</v>
      </c>
      <c r="H709">
        <v>28000</v>
      </c>
      <c r="I709">
        <v>17270</v>
      </c>
      <c r="J709" t="s">
        <v>45</v>
      </c>
      <c r="K709" t="s">
        <v>46</v>
      </c>
      <c r="L709">
        <f>SUM(Clean_Data[[#This Row],[Units_Sold]]*Clean_Data[[#This Row],[Unit_Price]])</f>
        <v>308000</v>
      </c>
      <c r="M709">
        <f>Clean_Data[[#This Row],[Units_Sold]]*Clean_Data[[#This Row],[Cost_Price]]</f>
        <v>189970</v>
      </c>
      <c r="N709">
        <f>Clean_Data[[#This Row],[Total_Sales]]-Clean_Data[[#This Row],[Total_Cost]]</f>
        <v>118030</v>
      </c>
      <c r="O709" s="2">
        <f>Clean_Data[[#This Row],[Profit]]/Clean_Data[[#This Row],[Total_Sales]]</f>
        <v>0.38321428571428573</v>
      </c>
      <c r="P709" t="str">
        <f>_xlfn.XLOOKUP(Clean_Data[[#This Row],[Product_Code]],Product_Catalog!A:A,Product_Catalog!C:C)</f>
        <v>Electronics</v>
      </c>
      <c r="Q709">
        <f>IF(Clean_Data[[#This Row],[Order_Date]]="","",YEAR(Clean_Data[[#This Row],[Order_Date]]))</f>
        <v>2025</v>
      </c>
      <c r="R709" t="str">
        <f>TEXT(Clean_Data[[#This Row],[Order_Date]],"mmm")</f>
        <v>Jan</v>
      </c>
      <c r="S709" t="str">
        <f>TEXT(Clean_Data[[#This Row],[Order_Date]],"mmm-yy")</f>
        <v>Jan-25</v>
      </c>
      <c r="V709"/>
    </row>
    <row r="710" spans="1:22" x14ac:dyDescent="0.25">
      <c r="A710" t="s">
        <v>779</v>
      </c>
      <c r="B710" s="1">
        <v>46220</v>
      </c>
      <c r="C710" t="s">
        <v>53</v>
      </c>
      <c r="D710" t="s">
        <v>40</v>
      </c>
      <c r="E710" t="s">
        <v>27</v>
      </c>
      <c r="F710" t="s">
        <v>28</v>
      </c>
      <c r="G710">
        <v>8</v>
      </c>
      <c r="H710">
        <v>14000</v>
      </c>
      <c r="I710">
        <v>9379</v>
      </c>
      <c r="J710" t="s">
        <v>16</v>
      </c>
      <c r="K710" t="s">
        <v>17</v>
      </c>
      <c r="L710">
        <f>SUM(Clean_Data[[#This Row],[Units_Sold]]*Clean_Data[[#This Row],[Unit_Price]])</f>
        <v>112000</v>
      </c>
      <c r="M710">
        <f>Clean_Data[[#This Row],[Units_Sold]]*Clean_Data[[#This Row],[Cost_Price]]</f>
        <v>75032</v>
      </c>
      <c r="N710">
        <f>Clean_Data[[#This Row],[Total_Sales]]-Clean_Data[[#This Row],[Total_Cost]]</f>
        <v>36968</v>
      </c>
      <c r="O710" s="2">
        <f>Clean_Data[[#This Row],[Profit]]/Clean_Data[[#This Row],[Total_Sales]]</f>
        <v>0.33007142857142857</v>
      </c>
      <c r="P710" t="str">
        <f>_xlfn.XLOOKUP(Clean_Data[[#This Row],[Product_Code]],Product_Catalog!A:A,Product_Catalog!C:C)</f>
        <v>Furniture</v>
      </c>
      <c r="Q710">
        <f>IF(Clean_Data[[#This Row],[Order_Date]]="","",YEAR(Clean_Data[[#This Row],[Order_Date]]))</f>
        <v>2026</v>
      </c>
      <c r="R710" t="str">
        <f>TEXT(Clean_Data[[#This Row],[Order_Date]],"mmm")</f>
        <v>Jul</v>
      </c>
      <c r="S710" t="str">
        <f>TEXT(Clean_Data[[#This Row],[Order_Date]],"mmm-yy")</f>
        <v>Jul-26</v>
      </c>
      <c r="V710"/>
    </row>
    <row r="711" spans="1:22" x14ac:dyDescent="0.25">
      <c r="A711" t="s">
        <v>780</v>
      </c>
      <c r="B711" s="1">
        <v>46090</v>
      </c>
      <c r="C711" t="s">
        <v>12</v>
      </c>
      <c r="D711" t="s">
        <v>36</v>
      </c>
      <c r="E711" t="s">
        <v>37</v>
      </c>
      <c r="F711" t="s">
        <v>38</v>
      </c>
      <c r="G711">
        <v>19</v>
      </c>
      <c r="H711">
        <v>55000</v>
      </c>
      <c r="I711">
        <v>38999</v>
      </c>
      <c r="J711" t="s">
        <v>22</v>
      </c>
      <c r="K711" t="s">
        <v>17</v>
      </c>
      <c r="L711">
        <f>SUM(Clean_Data[[#This Row],[Units_Sold]]*Clean_Data[[#This Row],[Unit_Price]])</f>
        <v>1045000</v>
      </c>
      <c r="M711">
        <f>Clean_Data[[#This Row],[Units_Sold]]*Clean_Data[[#This Row],[Cost_Price]]</f>
        <v>740981</v>
      </c>
      <c r="N711">
        <f>Clean_Data[[#This Row],[Total_Sales]]-Clean_Data[[#This Row],[Total_Cost]]</f>
        <v>304019</v>
      </c>
      <c r="O711" s="2">
        <f>Clean_Data[[#This Row],[Profit]]/Clean_Data[[#This Row],[Total_Sales]]</f>
        <v>0.2909272727272727</v>
      </c>
      <c r="P711" t="str">
        <f>_xlfn.XLOOKUP(Clean_Data[[#This Row],[Product_Code]],Product_Catalog!A:A,Product_Catalog!C:C)</f>
        <v>Electronics</v>
      </c>
      <c r="Q711">
        <f>IF(Clean_Data[[#This Row],[Order_Date]]="","",YEAR(Clean_Data[[#This Row],[Order_Date]]))</f>
        <v>2026</v>
      </c>
      <c r="R711" t="str">
        <f>TEXT(Clean_Data[[#This Row],[Order_Date]],"mmm")</f>
        <v>Mar</v>
      </c>
      <c r="S711" t="str">
        <f>TEXT(Clean_Data[[#This Row],[Order_Date]],"mmm-yy")</f>
        <v>Mar-26</v>
      </c>
      <c r="V711"/>
    </row>
    <row r="712" spans="1:22" x14ac:dyDescent="0.25">
      <c r="A712" t="s">
        <v>781</v>
      </c>
      <c r="B712" s="1">
        <v>45774</v>
      </c>
      <c r="C712" t="s">
        <v>12</v>
      </c>
      <c r="D712" t="s">
        <v>40</v>
      </c>
      <c r="E712" t="s">
        <v>14</v>
      </c>
      <c r="F712" t="s">
        <v>15</v>
      </c>
      <c r="G712">
        <v>9</v>
      </c>
      <c r="H712">
        <v>12500</v>
      </c>
      <c r="I712">
        <v>9203</v>
      </c>
      <c r="J712" t="s">
        <v>29</v>
      </c>
      <c r="K712" t="s">
        <v>17</v>
      </c>
      <c r="L712">
        <f>SUM(Clean_Data[[#This Row],[Units_Sold]]*Clean_Data[[#This Row],[Unit_Price]])</f>
        <v>112500</v>
      </c>
      <c r="M712">
        <f>Clean_Data[[#This Row],[Units_Sold]]*Clean_Data[[#This Row],[Cost_Price]]</f>
        <v>82827</v>
      </c>
      <c r="N712">
        <f>Clean_Data[[#This Row],[Total_Sales]]-Clean_Data[[#This Row],[Total_Cost]]</f>
        <v>29673</v>
      </c>
      <c r="O712" s="2">
        <f>Clean_Data[[#This Row],[Profit]]/Clean_Data[[#This Row],[Total_Sales]]</f>
        <v>0.26375999999999999</v>
      </c>
      <c r="P712" t="str">
        <f>_xlfn.XLOOKUP(Clean_Data[[#This Row],[Product_Code]],Product_Catalog!A:A,Product_Catalog!C:C)</f>
        <v>Accessories</v>
      </c>
      <c r="Q712">
        <f>IF(Clean_Data[[#This Row],[Order_Date]]="","",YEAR(Clean_Data[[#This Row],[Order_Date]]))</f>
        <v>2025</v>
      </c>
      <c r="R712" t="str">
        <f>TEXT(Clean_Data[[#This Row],[Order_Date]],"mmm")</f>
        <v>Apr</v>
      </c>
      <c r="S712" t="str">
        <f>TEXT(Clean_Data[[#This Row],[Order_Date]],"mmm-yy")</f>
        <v>Apr-25</v>
      </c>
      <c r="V712"/>
    </row>
    <row r="713" spans="1:22" x14ac:dyDescent="0.25">
      <c r="A713" t="s">
        <v>782</v>
      </c>
      <c r="B713" s="1">
        <v>46250</v>
      </c>
      <c r="C713" t="s">
        <v>53</v>
      </c>
      <c r="D713" t="s">
        <v>13</v>
      </c>
      <c r="E713" t="s">
        <v>41</v>
      </c>
      <c r="F713" t="s">
        <v>42</v>
      </c>
      <c r="G713">
        <v>13</v>
      </c>
      <c r="H713">
        <v>28000</v>
      </c>
      <c r="I713">
        <v>21514</v>
      </c>
      <c r="J713" t="s">
        <v>45</v>
      </c>
      <c r="K713" t="s">
        <v>23</v>
      </c>
      <c r="L713">
        <f>SUM(Clean_Data[[#This Row],[Units_Sold]]*Clean_Data[[#This Row],[Unit_Price]])</f>
        <v>364000</v>
      </c>
      <c r="M713">
        <f>Clean_Data[[#This Row],[Units_Sold]]*Clean_Data[[#This Row],[Cost_Price]]</f>
        <v>279682</v>
      </c>
      <c r="N713">
        <f>Clean_Data[[#This Row],[Total_Sales]]-Clean_Data[[#This Row],[Total_Cost]]</f>
        <v>84318</v>
      </c>
      <c r="O713" s="2">
        <f>Clean_Data[[#This Row],[Profit]]/Clean_Data[[#This Row],[Total_Sales]]</f>
        <v>0.23164285714285715</v>
      </c>
      <c r="P713" t="str">
        <f>_xlfn.XLOOKUP(Clean_Data[[#This Row],[Product_Code]],Product_Catalog!A:A,Product_Catalog!C:C)</f>
        <v>Electronics</v>
      </c>
      <c r="Q713">
        <f>IF(Clean_Data[[#This Row],[Order_Date]]="","",YEAR(Clean_Data[[#This Row],[Order_Date]]))</f>
        <v>2026</v>
      </c>
      <c r="R713" t="str">
        <f>TEXT(Clean_Data[[#This Row],[Order_Date]],"mmm")</f>
        <v>Aug</v>
      </c>
      <c r="S713" t="str">
        <f>TEXT(Clean_Data[[#This Row],[Order_Date]],"mmm-yy")</f>
        <v>Aug-26</v>
      </c>
      <c r="V713"/>
    </row>
    <row r="714" spans="1:22" x14ac:dyDescent="0.25">
      <c r="A714" t="s">
        <v>783</v>
      </c>
      <c r="B714" s="1">
        <v>45821</v>
      </c>
      <c r="C714" t="s">
        <v>62</v>
      </c>
      <c r="D714" t="s">
        <v>13</v>
      </c>
      <c r="E714" t="s">
        <v>49</v>
      </c>
      <c r="F714" t="s">
        <v>50</v>
      </c>
      <c r="G714">
        <v>16</v>
      </c>
      <c r="H714">
        <v>75000</v>
      </c>
      <c r="I714">
        <v>59569</v>
      </c>
      <c r="J714" t="s">
        <v>29</v>
      </c>
      <c r="K714" t="s">
        <v>23</v>
      </c>
      <c r="L714">
        <f>SUM(Clean_Data[[#This Row],[Units_Sold]]*Clean_Data[[#This Row],[Unit_Price]])</f>
        <v>1200000</v>
      </c>
      <c r="M714">
        <f>Clean_Data[[#This Row],[Units_Sold]]*Clean_Data[[#This Row],[Cost_Price]]</f>
        <v>953104</v>
      </c>
      <c r="N714">
        <f>Clean_Data[[#This Row],[Total_Sales]]-Clean_Data[[#This Row],[Total_Cost]]</f>
        <v>246896</v>
      </c>
      <c r="O714" s="2">
        <f>Clean_Data[[#This Row],[Profit]]/Clean_Data[[#This Row],[Total_Sales]]</f>
        <v>0.20574666666666666</v>
      </c>
      <c r="P714" t="str">
        <f>_xlfn.XLOOKUP(Clean_Data[[#This Row],[Product_Code]],Product_Catalog!A:A,Product_Catalog!C:C)</f>
        <v>Electronics</v>
      </c>
      <c r="Q714">
        <f>IF(Clean_Data[[#This Row],[Order_Date]]="","",YEAR(Clean_Data[[#This Row],[Order_Date]]))</f>
        <v>2025</v>
      </c>
      <c r="R714" t="str">
        <f>TEXT(Clean_Data[[#This Row],[Order_Date]],"mmm")</f>
        <v>Jun</v>
      </c>
      <c r="S714" t="str">
        <f>TEXT(Clean_Data[[#This Row],[Order_Date]],"mmm-yy")</f>
        <v>Jun-25</v>
      </c>
      <c r="V714"/>
    </row>
    <row r="715" spans="1:22" x14ac:dyDescent="0.25">
      <c r="A715" t="s">
        <v>784</v>
      </c>
      <c r="B715" s="1">
        <v>45705</v>
      </c>
      <c r="C715" t="s">
        <v>53</v>
      </c>
      <c r="D715" t="s">
        <v>36</v>
      </c>
      <c r="E715" t="s">
        <v>14</v>
      </c>
      <c r="F715" t="s">
        <v>15</v>
      </c>
      <c r="G715">
        <v>6</v>
      </c>
      <c r="H715">
        <v>12500</v>
      </c>
      <c r="I715">
        <v>9195</v>
      </c>
      <c r="J715" t="s">
        <v>29</v>
      </c>
      <c r="K715" t="s">
        <v>23</v>
      </c>
      <c r="L715">
        <f>SUM(Clean_Data[[#This Row],[Units_Sold]]*Clean_Data[[#This Row],[Unit_Price]])</f>
        <v>75000</v>
      </c>
      <c r="M715">
        <f>Clean_Data[[#This Row],[Units_Sold]]*Clean_Data[[#This Row],[Cost_Price]]</f>
        <v>55170</v>
      </c>
      <c r="N715">
        <f>Clean_Data[[#This Row],[Total_Sales]]-Clean_Data[[#This Row],[Total_Cost]]</f>
        <v>19830</v>
      </c>
      <c r="O715" s="2">
        <f>Clean_Data[[#This Row],[Profit]]/Clean_Data[[#This Row],[Total_Sales]]</f>
        <v>0.26440000000000002</v>
      </c>
      <c r="P715" t="str">
        <f>_xlfn.XLOOKUP(Clean_Data[[#This Row],[Product_Code]],Product_Catalog!A:A,Product_Catalog!C:C)</f>
        <v>Accessories</v>
      </c>
      <c r="Q715">
        <f>IF(Clean_Data[[#This Row],[Order_Date]]="","",YEAR(Clean_Data[[#This Row],[Order_Date]]))</f>
        <v>2025</v>
      </c>
      <c r="R715" t="str">
        <f>TEXT(Clean_Data[[#This Row],[Order_Date]],"mmm")</f>
        <v>Feb</v>
      </c>
      <c r="S715" t="str">
        <f>TEXT(Clean_Data[[#This Row],[Order_Date]],"mmm-yy")</f>
        <v>Feb-25</v>
      </c>
      <c r="V715"/>
    </row>
    <row r="716" spans="1:22" x14ac:dyDescent="0.25">
      <c r="A716" t="s">
        <v>785</v>
      </c>
      <c r="B716" s="1">
        <v>45671</v>
      </c>
      <c r="C716" t="s">
        <v>44</v>
      </c>
      <c r="D716" t="s">
        <v>40</v>
      </c>
      <c r="E716" t="s">
        <v>27</v>
      </c>
      <c r="F716" t="s">
        <v>28</v>
      </c>
      <c r="G716">
        <v>7</v>
      </c>
      <c r="H716">
        <v>14000</v>
      </c>
      <c r="I716">
        <v>9079</v>
      </c>
      <c r="J716" t="s">
        <v>29</v>
      </c>
      <c r="K716" t="s">
        <v>17</v>
      </c>
      <c r="L716">
        <f>SUM(Clean_Data[[#This Row],[Units_Sold]]*Clean_Data[[#This Row],[Unit_Price]])</f>
        <v>98000</v>
      </c>
      <c r="M716">
        <f>Clean_Data[[#This Row],[Units_Sold]]*Clean_Data[[#This Row],[Cost_Price]]</f>
        <v>63553</v>
      </c>
      <c r="N716">
        <f>Clean_Data[[#This Row],[Total_Sales]]-Clean_Data[[#This Row],[Total_Cost]]</f>
        <v>34447</v>
      </c>
      <c r="O716" s="2">
        <f>Clean_Data[[#This Row],[Profit]]/Clean_Data[[#This Row],[Total_Sales]]</f>
        <v>0.35149999999999998</v>
      </c>
      <c r="P716" t="str">
        <f>_xlfn.XLOOKUP(Clean_Data[[#This Row],[Product_Code]],Product_Catalog!A:A,Product_Catalog!C:C)</f>
        <v>Furniture</v>
      </c>
      <c r="Q716">
        <f>IF(Clean_Data[[#This Row],[Order_Date]]="","",YEAR(Clean_Data[[#This Row],[Order_Date]]))</f>
        <v>2025</v>
      </c>
      <c r="R716" t="str">
        <f>TEXT(Clean_Data[[#This Row],[Order_Date]],"mmm")</f>
        <v>Jan</v>
      </c>
      <c r="S716" t="str">
        <f>TEXT(Clean_Data[[#This Row],[Order_Date]],"mmm-yy")</f>
        <v>Jan-25</v>
      </c>
      <c r="V716"/>
    </row>
    <row r="717" spans="1:22" x14ac:dyDescent="0.25">
      <c r="A717" t="s">
        <v>786</v>
      </c>
      <c r="B717" s="1">
        <v>45801</v>
      </c>
      <c r="C717" t="s">
        <v>31</v>
      </c>
      <c r="D717" t="s">
        <v>13</v>
      </c>
      <c r="E717" t="s">
        <v>41</v>
      </c>
      <c r="F717" t="s">
        <v>42</v>
      </c>
      <c r="G717">
        <v>5</v>
      </c>
      <c r="H717">
        <v>28000</v>
      </c>
      <c r="I717">
        <v>17842</v>
      </c>
      <c r="J717" t="s">
        <v>29</v>
      </c>
      <c r="K717" t="s">
        <v>17</v>
      </c>
      <c r="L717">
        <f>SUM(Clean_Data[[#This Row],[Units_Sold]]*Clean_Data[[#This Row],[Unit_Price]])</f>
        <v>140000</v>
      </c>
      <c r="M717">
        <f>Clean_Data[[#This Row],[Units_Sold]]*Clean_Data[[#This Row],[Cost_Price]]</f>
        <v>89210</v>
      </c>
      <c r="N717">
        <f>Clean_Data[[#This Row],[Total_Sales]]-Clean_Data[[#This Row],[Total_Cost]]</f>
        <v>50790</v>
      </c>
      <c r="O717" s="2">
        <f>Clean_Data[[#This Row],[Profit]]/Clean_Data[[#This Row],[Total_Sales]]</f>
        <v>0.36278571428571427</v>
      </c>
      <c r="P717" t="str">
        <f>_xlfn.XLOOKUP(Clean_Data[[#This Row],[Product_Code]],Product_Catalog!A:A,Product_Catalog!C:C)</f>
        <v>Electronics</v>
      </c>
      <c r="Q717">
        <f>IF(Clean_Data[[#This Row],[Order_Date]]="","",YEAR(Clean_Data[[#This Row],[Order_Date]]))</f>
        <v>2025</v>
      </c>
      <c r="R717" t="str">
        <f>TEXT(Clean_Data[[#This Row],[Order_Date]],"mmm")</f>
        <v>May</v>
      </c>
      <c r="S717" t="str">
        <f>TEXT(Clean_Data[[#This Row],[Order_Date]],"mmm-yy")</f>
        <v>May-25</v>
      </c>
      <c r="V717"/>
    </row>
    <row r="718" spans="1:22" x14ac:dyDescent="0.25">
      <c r="A718" t="s">
        <v>787</v>
      </c>
      <c r="B718" s="1">
        <v>45937</v>
      </c>
      <c r="C718" t="s">
        <v>12</v>
      </c>
      <c r="D718" t="s">
        <v>40</v>
      </c>
      <c r="E718" t="s">
        <v>66</v>
      </c>
      <c r="F718" t="s">
        <v>67</v>
      </c>
      <c r="G718">
        <v>6</v>
      </c>
      <c r="H718">
        <v>2500</v>
      </c>
      <c r="I718">
        <v>1888</v>
      </c>
      <c r="J718" t="s">
        <v>29</v>
      </c>
      <c r="K718" t="s">
        <v>23</v>
      </c>
      <c r="L718">
        <f>SUM(Clean_Data[[#This Row],[Units_Sold]]*Clean_Data[[#This Row],[Unit_Price]])</f>
        <v>15000</v>
      </c>
      <c r="M718">
        <f>Clean_Data[[#This Row],[Units_Sold]]*Clean_Data[[#This Row],[Cost_Price]]</f>
        <v>11328</v>
      </c>
      <c r="N718">
        <f>Clean_Data[[#This Row],[Total_Sales]]-Clean_Data[[#This Row],[Total_Cost]]</f>
        <v>3672</v>
      </c>
      <c r="O718" s="2">
        <f>Clean_Data[[#This Row],[Profit]]/Clean_Data[[#This Row],[Total_Sales]]</f>
        <v>0.24479999999999999</v>
      </c>
      <c r="P718" t="str">
        <f>_xlfn.XLOOKUP(Clean_Data[[#This Row],[Product_Code]],Product_Catalog!A:A,Product_Catalog!C:C)</f>
        <v>Electronics</v>
      </c>
      <c r="Q718">
        <f>IF(Clean_Data[[#This Row],[Order_Date]]="","",YEAR(Clean_Data[[#This Row],[Order_Date]]))</f>
        <v>2025</v>
      </c>
      <c r="R718" t="str">
        <f>TEXT(Clean_Data[[#This Row],[Order_Date]],"mmm")</f>
        <v>Oct</v>
      </c>
      <c r="S718" t="str">
        <f>TEXT(Clean_Data[[#This Row],[Order_Date]],"mmm-yy")</f>
        <v>Oct-25</v>
      </c>
      <c r="V718"/>
    </row>
    <row r="719" spans="1:22" x14ac:dyDescent="0.25">
      <c r="A719" t="s">
        <v>788</v>
      </c>
      <c r="B719" s="1">
        <v>45738</v>
      </c>
      <c r="C719" t="s">
        <v>53</v>
      </c>
      <c r="D719" t="s">
        <v>26</v>
      </c>
      <c r="E719" t="s">
        <v>49</v>
      </c>
      <c r="F719" t="s">
        <v>50</v>
      </c>
      <c r="G719">
        <v>11</v>
      </c>
      <c r="H719">
        <v>75000</v>
      </c>
      <c r="I719">
        <v>51079</v>
      </c>
      <c r="J719" t="s">
        <v>16</v>
      </c>
      <c r="K719" t="s">
        <v>17</v>
      </c>
      <c r="L719">
        <f>SUM(Clean_Data[[#This Row],[Units_Sold]]*Clean_Data[[#This Row],[Unit_Price]])</f>
        <v>825000</v>
      </c>
      <c r="M719">
        <f>Clean_Data[[#This Row],[Units_Sold]]*Clean_Data[[#This Row],[Cost_Price]]</f>
        <v>561869</v>
      </c>
      <c r="N719">
        <f>Clean_Data[[#This Row],[Total_Sales]]-Clean_Data[[#This Row],[Total_Cost]]</f>
        <v>263131</v>
      </c>
      <c r="O719" s="2">
        <f>Clean_Data[[#This Row],[Profit]]/Clean_Data[[#This Row],[Total_Sales]]</f>
        <v>0.31894666666666666</v>
      </c>
      <c r="P719" t="str">
        <f>_xlfn.XLOOKUP(Clean_Data[[#This Row],[Product_Code]],Product_Catalog!A:A,Product_Catalog!C:C)</f>
        <v>Electronics</v>
      </c>
      <c r="Q719">
        <f>IF(Clean_Data[[#This Row],[Order_Date]]="","",YEAR(Clean_Data[[#This Row],[Order_Date]]))</f>
        <v>2025</v>
      </c>
      <c r="R719" t="str">
        <f>TEXT(Clean_Data[[#This Row],[Order_Date]],"mmm")</f>
        <v>Mar</v>
      </c>
      <c r="S719" t="str">
        <f>TEXT(Clean_Data[[#This Row],[Order_Date]],"mmm-yy")</f>
        <v>Mar-25</v>
      </c>
      <c r="V719"/>
    </row>
    <row r="720" spans="1:22" x14ac:dyDescent="0.25">
      <c r="A720" t="s">
        <v>789</v>
      </c>
      <c r="B720" s="1">
        <v>45841</v>
      </c>
      <c r="C720" t="s">
        <v>53</v>
      </c>
      <c r="D720" t="s">
        <v>40</v>
      </c>
      <c r="E720" t="s">
        <v>37</v>
      </c>
      <c r="F720" t="s">
        <v>38</v>
      </c>
      <c r="G720">
        <v>5</v>
      </c>
      <c r="H720">
        <v>55000</v>
      </c>
      <c r="I720">
        <v>40011</v>
      </c>
      <c r="J720" t="s">
        <v>45</v>
      </c>
      <c r="K720" t="s">
        <v>17</v>
      </c>
      <c r="L720">
        <f>SUM(Clean_Data[[#This Row],[Units_Sold]]*Clean_Data[[#This Row],[Unit_Price]])</f>
        <v>275000</v>
      </c>
      <c r="M720">
        <f>Clean_Data[[#This Row],[Units_Sold]]*Clean_Data[[#This Row],[Cost_Price]]</f>
        <v>200055</v>
      </c>
      <c r="N720">
        <f>Clean_Data[[#This Row],[Total_Sales]]-Clean_Data[[#This Row],[Total_Cost]]</f>
        <v>74945</v>
      </c>
      <c r="O720" s="2">
        <f>Clean_Data[[#This Row],[Profit]]/Clean_Data[[#This Row],[Total_Sales]]</f>
        <v>0.27252727272727273</v>
      </c>
      <c r="P720" t="str">
        <f>_xlfn.XLOOKUP(Clean_Data[[#This Row],[Product_Code]],Product_Catalog!A:A,Product_Catalog!C:C)</f>
        <v>Electronics</v>
      </c>
      <c r="Q720">
        <f>IF(Clean_Data[[#This Row],[Order_Date]]="","",YEAR(Clean_Data[[#This Row],[Order_Date]]))</f>
        <v>2025</v>
      </c>
      <c r="R720" t="str">
        <f>TEXT(Clean_Data[[#This Row],[Order_Date]],"mmm")</f>
        <v>Jul</v>
      </c>
      <c r="S720" t="str">
        <f>TEXT(Clean_Data[[#This Row],[Order_Date]],"mmm-yy")</f>
        <v>Jul-25</v>
      </c>
      <c r="V720"/>
    </row>
    <row r="721" spans="1:22" x14ac:dyDescent="0.25">
      <c r="A721" t="s">
        <v>790</v>
      </c>
      <c r="B721" s="1">
        <v>45991</v>
      </c>
      <c r="C721" t="s">
        <v>25</v>
      </c>
      <c r="D721" t="s">
        <v>13</v>
      </c>
      <c r="E721" t="s">
        <v>66</v>
      </c>
      <c r="F721" t="s">
        <v>67</v>
      </c>
      <c r="G721">
        <v>14</v>
      </c>
      <c r="H721">
        <v>2500</v>
      </c>
      <c r="I721">
        <v>1884</v>
      </c>
      <c r="J721" t="s">
        <v>16</v>
      </c>
      <c r="K721" t="s">
        <v>17</v>
      </c>
      <c r="L721">
        <f>SUM(Clean_Data[[#This Row],[Units_Sold]]*Clean_Data[[#This Row],[Unit_Price]])</f>
        <v>35000</v>
      </c>
      <c r="M721">
        <f>Clean_Data[[#This Row],[Units_Sold]]*Clean_Data[[#This Row],[Cost_Price]]</f>
        <v>26376</v>
      </c>
      <c r="N721">
        <f>Clean_Data[[#This Row],[Total_Sales]]-Clean_Data[[#This Row],[Total_Cost]]</f>
        <v>8624</v>
      </c>
      <c r="O721" s="2">
        <f>Clean_Data[[#This Row],[Profit]]/Clean_Data[[#This Row],[Total_Sales]]</f>
        <v>0.24640000000000001</v>
      </c>
      <c r="P721" t="str">
        <f>_xlfn.XLOOKUP(Clean_Data[[#This Row],[Product_Code]],Product_Catalog!A:A,Product_Catalog!C:C)</f>
        <v>Electronics</v>
      </c>
      <c r="Q721">
        <f>IF(Clean_Data[[#This Row],[Order_Date]]="","",YEAR(Clean_Data[[#This Row],[Order_Date]]))</f>
        <v>2025</v>
      </c>
      <c r="R721" t="str">
        <f>TEXT(Clean_Data[[#This Row],[Order_Date]],"mmm")</f>
        <v>Nov</v>
      </c>
      <c r="S721" t="str">
        <f>TEXT(Clean_Data[[#This Row],[Order_Date]],"mmm-yy")</f>
        <v>Nov-25</v>
      </c>
      <c r="V721"/>
    </row>
    <row r="722" spans="1:22" x14ac:dyDescent="0.25">
      <c r="A722" t="s">
        <v>791</v>
      </c>
      <c r="B722" s="1">
        <v>46015</v>
      </c>
      <c r="C722" t="s">
        <v>25</v>
      </c>
      <c r="D722" t="s">
        <v>26</v>
      </c>
      <c r="E722" t="s">
        <v>20</v>
      </c>
      <c r="F722" t="s">
        <v>21</v>
      </c>
      <c r="G722">
        <v>15</v>
      </c>
      <c r="H722">
        <v>8500</v>
      </c>
      <c r="I722">
        <v>5534</v>
      </c>
      <c r="J722" t="s">
        <v>16</v>
      </c>
      <c r="K722" t="s">
        <v>17</v>
      </c>
      <c r="L722">
        <f>SUM(Clean_Data[[#This Row],[Units_Sold]]*Clean_Data[[#This Row],[Unit_Price]])</f>
        <v>127500</v>
      </c>
      <c r="M722">
        <f>Clean_Data[[#This Row],[Units_Sold]]*Clean_Data[[#This Row],[Cost_Price]]</f>
        <v>83010</v>
      </c>
      <c r="N722">
        <f>Clean_Data[[#This Row],[Total_Sales]]-Clean_Data[[#This Row],[Total_Cost]]</f>
        <v>44490</v>
      </c>
      <c r="O722" s="2">
        <f>Clean_Data[[#This Row],[Profit]]/Clean_Data[[#This Row],[Total_Sales]]</f>
        <v>0.34894117647058825</v>
      </c>
      <c r="P722" t="str">
        <f>_xlfn.XLOOKUP(Clean_Data[[#This Row],[Product_Code]],Product_Catalog!A:A,Product_Catalog!C:C)</f>
        <v>Accessories</v>
      </c>
      <c r="Q722">
        <f>IF(Clean_Data[[#This Row],[Order_Date]]="","",YEAR(Clean_Data[[#This Row],[Order_Date]]))</f>
        <v>2025</v>
      </c>
      <c r="R722" t="str">
        <f>TEXT(Clean_Data[[#This Row],[Order_Date]],"mmm")</f>
        <v>Dec</v>
      </c>
      <c r="S722" t="str">
        <f>TEXT(Clean_Data[[#This Row],[Order_Date]],"mmm-yy")</f>
        <v>Dec-25</v>
      </c>
      <c r="V722"/>
    </row>
    <row r="723" spans="1:22" x14ac:dyDescent="0.25">
      <c r="A723" t="s">
        <v>792</v>
      </c>
      <c r="B723" s="1">
        <v>46204</v>
      </c>
      <c r="C723" t="s">
        <v>53</v>
      </c>
      <c r="D723" t="s">
        <v>33</v>
      </c>
      <c r="E723" t="s">
        <v>37</v>
      </c>
      <c r="F723" t="s">
        <v>38</v>
      </c>
      <c r="G723">
        <v>8</v>
      </c>
      <c r="H723">
        <v>55000</v>
      </c>
      <c r="I723">
        <v>42820</v>
      </c>
      <c r="J723" t="s">
        <v>22</v>
      </c>
      <c r="K723" t="s">
        <v>46</v>
      </c>
      <c r="L723">
        <f>SUM(Clean_Data[[#This Row],[Units_Sold]]*Clean_Data[[#This Row],[Unit_Price]])</f>
        <v>440000</v>
      </c>
      <c r="M723">
        <f>Clean_Data[[#This Row],[Units_Sold]]*Clean_Data[[#This Row],[Cost_Price]]</f>
        <v>342560</v>
      </c>
      <c r="N723">
        <f>Clean_Data[[#This Row],[Total_Sales]]-Clean_Data[[#This Row],[Total_Cost]]</f>
        <v>97440</v>
      </c>
      <c r="O723" s="2">
        <f>Clean_Data[[#This Row],[Profit]]/Clean_Data[[#This Row],[Total_Sales]]</f>
        <v>0.22145454545454546</v>
      </c>
      <c r="P723" t="str">
        <f>_xlfn.XLOOKUP(Clean_Data[[#This Row],[Product_Code]],Product_Catalog!A:A,Product_Catalog!C:C)</f>
        <v>Electronics</v>
      </c>
      <c r="Q723">
        <f>IF(Clean_Data[[#This Row],[Order_Date]]="","",YEAR(Clean_Data[[#This Row],[Order_Date]]))</f>
        <v>2026</v>
      </c>
      <c r="R723" t="str">
        <f>TEXT(Clean_Data[[#This Row],[Order_Date]],"mmm")</f>
        <v>Jul</v>
      </c>
      <c r="S723" t="str">
        <f>TEXT(Clean_Data[[#This Row],[Order_Date]],"mmm-yy")</f>
        <v>Jul-26</v>
      </c>
      <c r="V723"/>
    </row>
    <row r="724" spans="1:22" x14ac:dyDescent="0.25">
      <c r="A724" t="s">
        <v>793</v>
      </c>
      <c r="B724" s="1">
        <v>45898</v>
      </c>
      <c r="C724" t="s">
        <v>44</v>
      </c>
      <c r="D724" t="s">
        <v>36</v>
      </c>
      <c r="E724" t="s">
        <v>49</v>
      </c>
      <c r="F724" t="s">
        <v>50</v>
      </c>
      <c r="G724">
        <v>2</v>
      </c>
      <c r="H724">
        <v>75000</v>
      </c>
      <c r="I724">
        <v>48351</v>
      </c>
      <c r="J724" t="s">
        <v>22</v>
      </c>
      <c r="K724" t="s">
        <v>46</v>
      </c>
      <c r="L724">
        <f>SUM(Clean_Data[[#This Row],[Units_Sold]]*Clean_Data[[#This Row],[Unit_Price]])</f>
        <v>150000</v>
      </c>
      <c r="M724">
        <f>Clean_Data[[#This Row],[Units_Sold]]*Clean_Data[[#This Row],[Cost_Price]]</f>
        <v>96702</v>
      </c>
      <c r="N724">
        <f>Clean_Data[[#This Row],[Total_Sales]]-Clean_Data[[#This Row],[Total_Cost]]</f>
        <v>53298</v>
      </c>
      <c r="O724" s="2">
        <f>Clean_Data[[#This Row],[Profit]]/Clean_Data[[#This Row],[Total_Sales]]</f>
        <v>0.35532000000000002</v>
      </c>
      <c r="P724" t="str">
        <f>_xlfn.XLOOKUP(Clean_Data[[#This Row],[Product_Code]],Product_Catalog!A:A,Product_Catalog!C:C)</f>
        <v>Electronics</v>
      </c>
      <c r="Q724">
        <f>IF(Clean_Data[[#This Row],[Order_Date]]="","",YEAR(Clean_Data[[#This Row],[Order_Date]]))</f>
        <v>2025</v>
      </c>
      <c r="R724" t="str">
        <f>TEXT(Clean_Data[[#This Row],[Order_Date]],"mmm")</f>
        <v>Aug</v>
      </c>
      <c r="S724" t="str">
        <f>TEXT(Clean_Data[[#This Row],[Order_Date]],"mmm-yy")</f>
        <v>Aug-25</v>
      </c>
      <c r="V724"/>
    </row>
    <row r="725" spans="1:22" x14ac:dyDescent="0.25">
      <c r="A725" t="s">
        <v>794</v>
      </c>
      <c r="B725" s="1">
        <v>45990</v>
      </c>
      <c r="C725" t="s">
        <v>62</v>
      </c>
      <c r="D725" t="s">
        <v>13</v>
      </c>
      <c r="E725" t="s">
        <v>49</v>
      </c>
      <c r="F725" t="s">
        <v>50</v>
      </c>
      <c r="G725">
        <v>9</v>
      </c>
      <c r="H725">
        <v>75000</v>
      </c>
      <c r="I725">
        <v>46716</v>
      </c>
      <c r="J725" t="s">
        <v>29</v>
      </c>
      <c r="K725" t="s">
        <v>23</v>
      </c>
      <c r="L725">
        <f>SUM(Clean_Data[[#This Row],[Units_Sold]]*Clean_Data[[#This Row],[Unit_Price]])</f>
        <v>675000</v>
      </c>
      <c r="M725">
        <f>Clean_Data[[#This Row],[Units_Sold]]*Clean_Data[[#This Row],[Cost_Price]]</f>
        <v>420444</v>
      </c>
      <c r="N725">
        <f>Clean_Data[[#This Row],[Total_Sales]]-Clean_Data[[#This Row],[Total_Cost]]</f>
        <v>254556</v>
      </c>
      <c r="O725" s="2">
        <f>Clean_Data[[#This Row],[Profit]]/Clean_Data[[#This Row],[Total_Sales]]</f>
        <v>0.37712000000000001</v>
      </c>
      <c r="P725" t="str">
        <f>_xlfn.XLOOKUP(Clean_Data[[#This Row],[Product_Code]],Product_Catalog!A:A,Product_Catalog!C:C)</f>
        <v>Electronics</v>
      </c>
      <c r="Q725">
        <f>IF(Clean_Data[[#This Row],[Order_Date]]="","",YEAR(Clean_Data[[#This Row],[Order_Date]]))</f>
        <v>2025</v>
      </c>
      <c r="R725" t="str">
        <f>TEXT(Clean_Data[[#This Row],[Order_Date]],"mmm")</f>
        <v>Nov</v>
      </c>
      <c r="S725" t="str">
        <f>TEXT(Clean_Data[[#This Row],[Order_Date]],"mmm-yy")</f>
        <v>Nov-25</v>
      </c>
      <c r="V725"/>
    </row>
    <row r="726" spans="1:22" x14ac:dyDescent="0.25">
      <c r="A726" t="s">
        <v>795</v>
      </c>
      <c r="B726" s="1">
        <v>45749</v>
      </c>
      <c r="C726" t="s">
        <v>25</v>
      </c>
      <c r="D726" t="s">
        <v>40</v>
      </c>
      <c r="E726" t="s">
        <v>20</v>
      </c>
      <c r="F726" t="s">
        <v>21</v>
      </c>
      <c r="G726">
        <v>1</v>
      </c>
      <c r="H726">
        <v>8500</v>
      </c>
      <c r="I726">
        <v>5121</v>
      </c>
      <c r="J726" t="s">
        <v>29</v>
      </c>
      <c r="K726" t="s">
        <v>46</v>
      </c>
      <c r="L726">
        <f>SUM(Clean_Data[[#This Row],[Units_Sold]]*Clean_Data[[#This Row],[Unit_Price]])</f>
        <v>8500</v>
      </c>
      <c r="M726">
        <f>Clean_Data[[#This Row],[Units_Sold]]*Clean_Data[[#This Row],[Cost_Price]]</f>
        <v>5121</v>
      </c>
      <c r="N726">
        <f>Clean_Data[[#This Row],[Total_Sales]]-Clean_Data[[#This Row],[Total_Cost]]</f>
        <v>3379</v>
      </c>
      <c r="O726" s="2">
        <f>Clean_Data[[#This Row],[Profit]]/Clean_Data[[#This Row],[Total_Sales]]</f>
        <v>0.39752941176470591</v>
      </c>
      <c r="P726" t="str">
        <f>_xlfn.XLOOKUP(Clean_Data[[#This Row],[Product_Code]],Product_Catalog!A:A,Product_Catalog!C:C)</f>
        <v>Accessories</v>
      </c>
      <c r="Q726">
        <f>IF(Clean_Data[[#This Row],[Order_Date]]="","",YEAR(Clean_Data[[#This Row],[Order_Date]]))</f>
        <v>2025</v>
      </c>
      <c r="R726" t="str">
        <f>TEXT(Clean_Data[[#This Row],[Order_Date]],"mmm")</f>
        <v>Apr</v>
      </c>
      <c r="S726" t="str">
        <f>TEXT(Clean_Data[[#This Row],[Order_Date]],"mmm-yy")</f>
        <v>Apr-25</v>
      </c>
      <c r="V726"/>
    </row>
    <row r="727" spans="1:22" x14ac:dyDescent="0.25">
      <c r="A727" t="s">
        <v>796</v>
      </c>
      <c r="B727" s="1">
        <v>46235</v>
      </c>
      <c r="C727" t="s">
        <v>12</v>
      </c>
      <c r="D727" t="s">
        <v>33</v>
      </c>
      <c r="E727" t="s">
        <v>49</v>
      </c>
      <c r="F727" t="s">
        <v>50</v>
      </c>
      <c r="G727">
        <v>2</v>
      </c>
      <c r="H727">
        <v>75000</v>
      </c>
      <c r="I727">
        <v>48533</v>
      </c>
      <c r="J727" t="s">
        <v>29</v>
      </c>
      <c r="K727" t="s">
        <v>23</v>
      </c>
      <c r="L727">
        <f>SUM(Clean_Data[[#This Row],[Units_Sold]]*Clean_Data[[#This Row],[Unit_Price]])</f>
        <v>150000</v>
      </c>
      <c r="M727">
        <f>Clean_Data[[#This Row],[Units_Sold]]*Clean_Data[[#This Row],[Cost_Price]]</f>
        <v>97066</v>
      </c>
      <c r="N727">
        <f>Clean_Data[[#This Row],[Total_Sales]]-Clean_Data[[#This Row],[Total_Cost]]</f>
        <v>52934</v>
      </c>
      <c r="O727" s="2">
        <f>Clean_Data[[#This Row],[Profit]]/Clean_Data[[#This Row],[Total_Sales]]</f>
        <v>0.35289333333333334</v>
      </c>
      <c r="P727" t="str">
        <f>_xlfn.XLOOKUP(Clean_Data[[#This Row],[Product_Code]],Product_Catalog!A:A,Product_Catalog!C:C)</f>
        <v>Electronics</v>
      </c>
      <c r="Q727">
        <f>IF(Clean_Data[[#This Row],[Order_Date]]="","",YEAR(Clean_Data[[#This Row],[Order_Date]]))</f>
        <v>2026</v>
      </c>
      <c r="R727" t="str">
        <f>TEXT(Clean_Data[[#This Row],[Order_Date]],"mmm")</f>
        <v>Aug</v>
      </c>
      <c r="S727" t="str">
        <f>TEXT(Clean_Data[[#This Row],[Order_Date]],"mmm-yy")</f>
        <v>Aug-26</v>
      </c>
      <c r="V727"/>
    </row>
    <row r="728" spans="1:22" x14ac:dyDescent="0.25">
      <c r="A728" t="s">
        <v>797</v>
      </c>
      <c r="B728" s="1">
        <v>46042</v>
      </c>
      <c r="C728" t="s">
        <v>31</v>
      </c>
      <c r="D728" t="s">
        <v>40</v>
      </c>
      <c r="E728" t="s">
        <v>27</v>
      </c>
      <c r="F728" t="s">
        <v>28</v>
      </c>
      <c r="G728">
        <v>6</v>
      </c>
      <c r="H728">
        <v>14000</v>
      </c>
      <c r="I728">
        <v>10998</v>
      </c>
      <c r="J728" t="s">
        <v>22</v>
      </c>
      <c r="K728" t="s">
        <v>17</v>
      </c>
      <c r="L728">
        <f>SUM(Clean_Data[[#This Row],[Units_Sold]]*Clean_Data[[#This Row],[Unit_Price]])</f>
        <v>84000</v>
      </c>
      <c r="M728">
        <f>Clean_Data[[#This Row],[Units_Sold]]*Clean_Data[[#This Row],[Cost_Price]]</f>
        <v>65988</v>
      </c>
      <c r="N728">
        <f>Clean_Data[[#This Row],[Total_Sales]]-Clean_Data[[#This Row],[Total_Cost]]</f>
        <v>18012</v>
      </c>
      <c r="O728" s="2">
        <f>Clean_Data[[#This Row],[Profit]]/Clean_Data[[#This Row],[Total_Sales]]</f>
        <v>0.21442857142857144</v>
      </c>
      <c r="P728" t="str">
        <f>_xlfn.XLOOKUP(Clean_Data[[#This Row],[Product_Code]],Product_Catalog!A:A,Product_Catalog!C:C)</f>
        <v>Furniture</v>
      </c>
      <c r="Q728">
        <f>IF(Clean_Data[[#This Row],[Order_Date]]="","",YEAR(Clean_Data[[#This Row],[Order_Date]]))</f>
        <v>2026</v>
      </c>
      <c r="R728" t="str">
        <f>TEXT(Clean_Data[[#This Row],[Order_Date]],"mmm")</f>
        <v>Jan</v>
      </c>
      <c r="S728" t="str">
        <f>TEXT(Clean_Data[[#This Row],[Order_Date]],"mmm-yy")</f>
        <v>Jan-26</v>
      </c>
      <c r="V728"/>
    </row>
    <row r="729" spans="1:22" x14ac:dyDescent="0.25">
      <c r="A729" t="s">
        <v>798</v>
      </c>
      <c r="B729" s="1">
        <v>46006</v>
      </c>
      <c r="C729" t="s">
        <v>19</v>
      </c>
      <c r="D729" t="s">
        <v>26</v>
      </c>
      <c r="E729" t="s">
        <v>66</v>
      </c>
      <c r="F729" t="s">
        <v>67</v>
      </c>
      <c r="G729">
        <v>15</v>
      </c>
      <c r="H729">
        <v>2500</v>
      </c>
      <c r="I729">
        <v>1604</v>
      </c>
      <c r="J729" t="s">
        <v>22</v>
      </c>
      <c r="K729" t="s">
        <v>46</v>
      </c>
      <c r="L729">
        <f>SUM(Clean_Data[[#This Row],[Units_Sold]]*Clean_Data[[#This Row],[Unit_Price]])</f>
        <v>37500</v>
      </c>
      <c r="M729">
        <f>Clean_Data[[#This Row],[Units_Sold]]*Clean_Data[[#This Row],[Cost_Price]]</f>
        <v>24060</v>
      </c>
      <c r="N729">
        <f>Clean_Data[[#This Row],[Total_Sales]]-Clean_Data[[#This Row],[Total_Cost]]</f>
        <v>13440</v>
      </c>
      <c r="O729" s="2">
        <f>Clean_Data[[#This Row],[Profit]]/Clean_Data[[#This Row],[Total_Sales]]</f>
        <v>0.3584</v>
      </c>
      <c r="P729" t="str">
        <f>_xlfn.XLOOKUP(Clean_Data[[#This Row],[Product_Code]],Product_Catalog!A:A,Product_Catalog!C:C)</f>
        <v>Electronics</v>
      </c>
      <c r="Q729">
        <f>IF(Clean_Data[[#This Row],[Order_Date]]="","",YEAR(Clean_Data[[#This Row],[Order_Date]]))</f>
        <v>2025</v>
      </c>
      <c r="R729" t="str">
        <f>TEXT(Clean_Data[[#This Row],[Order_Date]],"mmm")</f>
        <v>Dec</v>
      </c>
      <c r="S729" t="str">
        <f>TEXT(Clean_Data[[#This Row],[Order_Date]],"mmm-yy")</f>
        <v>Dec-25</v>
      </c>
      <c r="V729"/>
    </row>
    <row r="730" spans="1:22" x14ac:dyDescent="0.25">
      <c r="A730" t="s">
        <v>799</v>
      </c>
      <c r="B730" s="1">
        <v>45714</v>
      </c>
      <c r="C730" t="s">
        <v>31</v>
      </c>
      <c r="D730" t="s">
        <v>33</v>
      </c>
      <c r="E730" t="s">
        <v>37</v>
      </c>
      <c r="F730" t="s">
        <v>38</v>
      </c>
      <c r="G730">
        <v>1</v>
      </c>
      <c r="H730">
        <v>55000</v>
      </c>
      <c r="I730">
        <v>35009</v>
      </c>
      <c r="J730" t="s">
        <v>22</v>
      </c>
      <c r="K730" t="s">
        <v>17</v>
      </c>
      <c r="L730">
        <f>SUM(Clean_Data[[#This Row],[Units_Sold]]*Clean_Data[[#This Row],[Unit_Price]])</f>
        <v>55000</v>
      </c>
      <c r="M730">
        <f>Clean_Data[[#This Row],[Units_Sold]]*Clean_Data[[#This Row],[Cost_Price]]</f>
        <v>35009</v>
      </c>
      <c r="N730">
        <f>Clean_Data[[#This Row],[Total_Sales]]-Clean_Data[[#This Row],[Total_Cost]]</f>
        <v>19991</v>
      </c>
      <c r="O730" s="2">
        <f>Clean_Data[[#This Row],[Profit]]/Clean_Data[[#This Row],[Total_Sales]]</f>
        <v>0.36347272727272728</v>
      </c>
      <c r="P730" t="str">
        <f>_xlfn.XLOOKUP(Clean_Data[[#This Row],[Product_Code]],Product_Catalog!A:A,Product_Catalog!C:C)</f>
        <v>Electronics</v>
      </c>
      <c r="Q730">
        <f>IF(Clean_Data[[#This Row],[Order_Date]]="","",YEAR(Clean_Data[[#This Row],[Order_Date]]))</f>
        <v>2025</v>
      </c>
      <c r="R730" t="str">
        <f>TEXT(Clean_Data[[#This Row],[Order_Date]],"mmm")</f>
        <v>Feb</v>
      </c>
      <c r="S730" t="str">
        <f>TEXT(Clean_Data[[#This Row],[Order_Date]],"mmm-yy")</f>
        <v>Feb-25</v>
      </c>
      <c r="V730"/>
    </row>
    <row r="731" spans="1:22" x14ac:dyDescent="0.25">
      <c r="A731" t="s">
        <v>800</v>
      </c>
      <c r="B731" s="1">
        <v>45675</v>
      </c>
      <c r="C731" t="s">
        <v>73</v>
      </c>
      <c r="D731" t="s">
        <v>36</v>
      </c>
      <c r="E731" t="s">
        <v>55</v>
      </c>
      <c r="F731" t="s">
        <v>34</v>
      </c>
      <c r="G731">
        <v>15</v>
      </c>
      <c r="H731">
        <v>35000</v>
      </c>
      <c r="I731">
        <v>21556</v>
      </c>
      <c r="J731" t="s">
        <v>45</v>
      </c>
      <c r="K731" t="s">
        <v>17</v>
      </c>
      <c r="L731">
        <f>SUM(Clean_Data[[#This Row],[Units_Sold]]*Clean_Data[[#This Row],[Unit_Price]])</f>
        <v>525000</v>
      </c>
      <c r="M731">
        <f>Clean_Data[[#This Row],[Units_Sold]]*Clean_Data[[#This Row],[Cost_Price]]</f>
        <v>323340</v>
      </c>
      <c r="N731">
        <f>Clean_Data[[#This Row],[Total_Sales]]-Clean_Data[[#This Row],[Total_Cost]]</f>
        <v>201660</v>
      </c>
      <c r="O731" s="2">
        <f>Clean_Data[[#This Row],[Profit]]/Clean_Data[[#This Row],[Total_Sales]]</f>
        <v>0.38411428571428574</v>
      </c>
      <c r="P731" t="str">
        <f>_xlfn.XLOOKUP(Clean_Data[[#This Row],[Product_Code]],Product_Catalog!A:A,Product_Catalog!C:C)</f>
        <v>Furniture</v>
      </c>
      <c r="Q731">
        <f>IF(Clean_Data[[#This Row],[Order_Date]]="","",YEAR(Clean_Data[[#This Row],[Order_Date]]))</f>
        <v>2025</v>
      </c>
      <c r="R731" t="str">
        <f>TEXT(Clean_Data[[#This Row],[Order_Date]],"mmm")</f>
        <v>Jan</v>
      </c>
      <c r="S731" t="str">
        <f>TEXT(Clean_Data[[#This Row],[Order_Date]],"mmm-yy")</f>
        <v>Jan-25</v>
      </c>
      <c r="V731"/>
    </row>
    <row r="732" spans="1:22" x14ac:dyDescent="0.25">
      <c r="A732" t="s">
        <v>801</v>
      </c>
      <c r="B732" s="1">
        <v>46132</v>
      </c>
      <c r="C732" t="s">
        <v>12</v>
      </c>
      <c r="D732" t="s">
        <v>13</v>
      </c>
      <c r="E732" t="s">
        <v>66</v>
      </c>
      <c r="F732" t="s">
        <v>67</v>
      </c>
      <c r="G732">
        <v>19</v>
      </c>
      <c r="H732">
        <v>2500</v>
      </c>
      <c r="I732">
        <v>1574</v>
      </c>
      <c r="J732" t="s">
        <v>16</v>
      </c>
      <c r="K732" t="s">
        <v>23</v>
      </c>
      <c r="L732">
        <f>SUM(Clean_Data[[#This Row],[Units_Sold]]*Clean_Data[[#This Row],[Unit_Price]])</f>
        <v>47500</v>
      </c>
      <c r="M732">
        <f>Clean_Data[[#This Row],[Units_Sold]]*Clean_Data[[#This Row],[Cost_Price]]</f>
        <v>29906</v>
      </c>
      <c r="N732">
        <f>Clean_Data[[#This Row],[Total_Sales]]-Clean_Data[[#This Row],[Total_Cost]]</f>
        <v>17594</v>
      </c>
      <c r="O732" s="2">
        <f>Clean_Data[[#This Row],[Profit]]/Clean_Data[[#This Row],[Total_Sales]]</f>
        <v>0.37040000000000001</v>
      </c>
      <c r="P732" t="str">
        <f>_xlfn.XLOOKUP(Clean_Data[[#This Row],[Product_Code]],Product_Catalog!A:A,Product_Catalog!C:C)</f>
        <v>Electronics</v>
      </c>
      <c r="Q732">
        <f>IF(Clean_Data[[#This Row],[Order_Date]]="","",YEAR(Clean_Data[[#This Row],[Order_Date]]))</f>
        <v>2026</v>
      </c>
      <c r="R732" t="str">
        <f>TEXT(Clean_Data[[#This Row],[Order_Date]],"mmm")</f>
        <v>Apr</v>
      </c>
      <c r="S732" t="str">
        <f>TEXT(Clean_Data[[#This Row],[Order_Date]],"mmm-yy")</f>
        <v>Apr-26</v>
      </c>
      <c r="V732"/>
    </row>
    <row r="733" spans="1:22" x14ac:dyDescent="0.25">
      <c r="A733" t="s">
        <v>802</v>
      </c>
      <c r="B733" s="1">
        <v>45903</v>
      </c>
      <c r="C733" t="s">
        <v>12</v>
      </c>
      <c r="D733" t="s">
        <v>13</v>
      </c>
      <c r="E733" t="s">
        <v>37</v>
      </c>
      <c r="F733" t="s">
        <v>38</v>
      </c>
      <c r="G733">
        <v>6</v>
      </c>
      <c r="H733">
        <v>55000</v>
      </c>
      <c r="I733">
        <v>38819</v>
      </c>
      <c r="J733" t="s">
        <v>29</v>
      </c>
      <c r="K733" t="s">
        <v>46</v>
      </c>
      <c r="L733">
        <f>SUM(Clean_Data[[#This Row],[Units_Sold]]*Clean_Data[[#This Row],[Unit_Price]])</f>
        <v>330000</v>
      </c>
      <c r="M733">
        <f>Clean_Data[[#This Row],[Units_Sold]]*Clean_Data[[#This Row],[Cost_Price]]</f>
        <v>232914</v>
      </c>
      <c r="N733">
        <f>Clean_Data[[#This Row],[Total_Sales]]-Clean_Data[[#This Row],[Total_Cost]]</f>
        <v>97086</v>
      </c>
      <c r="O733" s="2">
        <f>Clean_Data[[#This Row],[Profit]]/Clean_Data[[#This Row],[Total_Sales]]</f>
        <v>0.29420000000000002</v>
      </c>
      <c r="P733" t="str">
        <f>_xlfn.XLOOKUP(Clean_Data[[#This Row],[Product_Code]],Product_Catalog!A:A,Product_Catalog!C:C)</f>
        <v>Electronics</v>
      </c>
      <c r="Q733">
        <f>IF(Clean_Data[[#This Row],[Order_Date]]="","",YEAR(Clean_Data[[#This Row],[Order_Date]]))</f>
        <v>2025</v>
      </c>
      <c r="R733" t="str">
        <f>TEXT(Clean_Data[[#This Row],[Order_Date]],"mmm")</f>
        <v>Sep</v>
      </c>
      <c r="S733" t="str">
        <f>TEXT(Clean_Data[[#This Row],[Order_Date]],"mmm-yy")</f>
        <v>Sep-25</v>
      </c>
      <c r="V733"/>
    </row>
    <row r="734" spans="1:22" x14ac:dyDescent="0.25">
      <c r="A734" t="s">
        <v>803</v>
      </c>
      <c r="B734" s="1">
        <v>45754</v>
      </c>
      <c r="C734" t="s">
        <v>48</v>
      </c>
      <c r="D734" t="s">
        <v>36</v>
      </c>
      <c r="E734" t="s">
        <v>37</v>
      </c>
      <c r="F734" t="s">
        <v>38</v>
      </c>
      <c r="G734">
        <v>17</v>
      </c>
      <c r="H734">
        <v>55000</v>
      </c>
      <c r="I734">
        <v>42714</v>
      </c>
      <c r="J734" t="s">
        <v>22</v>
      </c>
      <c r="K734" t="s">
        <v>46</v>
      </c>
      <c r="L734">
        <f>SUM(Clean_Data[[#This Row],[Units_Sold]]*Clean_Data[[#This Row],[Unit_Price]])</f>
        <v>935000</v>
      </c>
      <c r="M734">
        <f>Clean_Data[[#This Row],[Units_Sold]]*Clean_Data[[#This Row],[Cost_Price]]</f>
        <v>726138</v>
      </c>
      <c r="N734">
        <f>Clean_Data[[#This Row],[Total_Sales]]-Clean_Data[[#This Row],[Total_Cost]]</f>
        <v>208862</v>
      </c>
      <c r="O734" s="2">
        <f>Clean_Data[[#This Row],[Profit]]/Clean_Data[[#This Row],[Total_Sales]]</f>
        <v>0.22338181818181818</v>
      </c>
      <c r="P734" t="str">
        <f>_xlfn.XLOOKUP(Clean_Data[[#This Row],[Product_Code]],Product_Catalog!A:A,Product_Catalog!C:C)</f>
        <v>Electronics</v>
      </c>
      <c r="Q734">
        <f>IF(Clean_Data[[#This Row],[Order_Date]]="","",YEAR(Clean_Data[[#This Row],[Order_Date]]))</f>
        <v>2025</v>
      </c>
      <c r="R734" t="str">
        <f>TEXT(Clean_Data[[#This Row],[Order_Date]],"mmm")</f>
        <v>Apr</v>
      </c>
      <c r="S734" t="str">
        <f>TEXT(Clean_Data[[#This Row],[Order_Date]],"mmm-yy")</f>
        <v>Apr-25</v>
      </c>
      <c r="V734"/>
    </row>
    <row r="735" spans="1:22" x14ac:dyDescent="0.25">
      <c r="A735" t="s">
        <v>804</v>
      </c>
      <c r="B735" s="1">
        <v>46246</v>
      </c>
      <c r="C735" t="s">
        <v>44</v>
      </c>
      <c r="D735" t="s">
        <v>40</v>
      </c>
      <c r="E735" t="s">
        <v>27</v>
      </c>
      <c r="F735" t="s">
        <v>28</v>
      </c>
      <c r="G735">
        <v>2</v>
      </c>
      <c r="H735">
        <v>14000</v>
      </c>
      <c r="I735">
        <v>10872</v>
      </c>
      <c r="J735" t="s">
        <v>16</v>
      </c>
      <c r="K735" t="s">
        <v>23</v>
      </c>
      <c r="L735">
        <f>SUM(Clean_Data[[#This Row],[Units_Sold]]*Clean_Data[[#This Row],[Unit_Price]])</f>
        <v>28000</v>
      </c>
      <c r="M735">
        <f>Clean_Data[[#This Row],[Units_Sold]]*Clean_Data[[#This Row],[Cost_Price]]</f>
        <v>21744</v>
      </c>
      <c r="N735">
        <f>Clean_Data[[#This Row],[Total_Sales]]-Clean_Data[[#This Row],[Total_Cost]]</f>
        <v>6256</v>
      </c>
      <c r="O735" s="2">
        <f>Clean_Data[[#This Row],[Profit]]/Clean_Data[[#This Row],[Total_Sales]]</f>
        <v>0.22342857142857142</v>
      </c>
      <c r="P735" t="str">
        <f>_xlfn.XLOOKUP(Clean_Data[[#This Row],[Product_Code]],Product_Catalog!A:A,Product_Catalog!C:C)</f>
        <v>Furniture</v>
      </c>
      <c r="Q735">
        <f>IF(Clean_Data[[#This Row],[Order_Date]]="","",YEAR(Clean_Data[[#This Row],[Order_Date]]))</f>
        <v>2026</v>
      </c>
      <c r="R735" t="str">
        <f>TEXT(Clean_Data[[#This Row],[Order_Date]],"mmm")</f>
        <v>Aug</v>
      </c>
      <c r="S735" t="str">
        <f>TEXT(Clean_Data[[#This Row],[Order_Date]],"mmm-yy")</f>
        <v>Aug-26</v>
      </c>
      <c r="V735"/>
    </row>
    <row r="736" spans="1:22" x14ac:dyDescent="0.25">
      <c r="A736" t="s">
        <v>805</v>
      </c>
      <c r="B736" s="1">
        <v>46023</v>
      </c>
      <c r="C736" t="s">
        <v>25</v>
      </c>
      <c r="D736" t="s">
        <v>13</v>
      </c>
      <c r="E736" t="s">
        <v>63</v>
      </c>
      <c r="F736" t="s">
        <v>59</v>
      </c>
      <c r="G736">
        <v>15</v>
      </c>
      <c r="H736">
        <v>4500</v>
      </c>
      <c r="I736">
        <v>3220</v>
      </c>
      <c r="J736" t="s">
        <v>29</v>
      </c>
      <c r="K736" t="s">
        <v>23</v>
      </c>
      <c r="L736">
        <f>SUM(Clean_Data[[#This Row],[Units_Sold]]*Clean_Data[[#This Row],[Unit_Price]])</f>
        <v>67500</v>
      </c>
      <c r="M736">
        <f>Clean_Data[[#This Row],[Units_Sold]]*Clean_Data[[#This Row],[Cost_Price]]</f>
        <v>48300</v>
      </c>
      <c r="N736">
        <f>Clean_Data[[#This Row],[Total_Sales]]-Clean_Data[[#This Row],[Total_Cost]]</f>
        <v>19200</v>
      </c>
      <c r="O736" s="2">
        <f>Clean_Data[[#This Row],[Profit]]/Clean_Data[[#This Row],[Total_Sales]]</f>
        <v>0.28444444444444444</v>
      </c>
      <c r="P736" t="str">
        <f>_xlfn.XLOOKUP(Clean_Data[[#This Row],[Product_Code]],Product_Catalog!A:A,Product_Catalog!C:C)</f>
        <v>Electronics</v>
      </c>
      <c r="Q736">
        <f>IF(Clean_Data[[#This Row],[Order_Date]]="","",YEAR(Clean_Data[[#This Row],[Order_Date]]))</f>
        <v>2026</v>
      </c>
      <c r="R736" t="str">
        <f>TEXT(Clean_Data[[#This Row],[Order_Date]],"mmm")</f>
        <v>Jan</v>
      </c>
      <c r="S736" t="str">
        <f>TEXT(Clean_Data[[#This Row],[Order_Date]],"mmm-yy")</f>
        <v>Jan-26</v>
      </c>
      <c r="V736"/>
    </row>
    <row r="737" spans="1:22" x14ac:dyDescent="0.25">
      <c r="A737" t="s">
        <v>806</v>
      </c>
      <c r="B737" s="1">
        <v>45993</v>
      </c>
      <c r="C737" t="s">
        <v>53</v>
      </c>
      <c r="D737" t="s">
        <v>40</v>
      </c>
      <c r="E737" t="s">
        <v>41</v>
      </c>
      <c r="F737" t="s">
        <v>42</v>
      </c>
      <c r="G737">
        <v>18</v>
      </c>
      <c r="H737">
        <v>28000</v>
      </c>
      <c r="I737">
        <v>19617</v>
      </c>
      <c r="J737" t="s">
        <v>16</v>
      </c>
      <c r="K737" t="s">
        <v>17</v>
      </c>
      <c r="L737">
        <f>SUM(Clean_Data[[#This Row],[Units_Sold]]*Clean_Data[[#This Row],[Unit_Price]])</f>
        <v>504000</v>
      </c>
      <c r="M737">
        <f>Clean_Data[[#This Row],[Units_Sold]]*Clean_Data[[#This Row],[Cost_Price]]</f>
        <v>353106</v>
      </c>
      <c r="N737">
        <f>Clean_Data[[#This Row],[Total_Sales]]-Clean_Data[[#This Row],[Total_Cost]]</f>
        <v>150894</v>
      </c>
      <c r="O737" s="2">
        <f>Clean_Data[[#This Row],[Profit]]/Clean_Data[[#This Row],[Total_Sales]]</f>
        <v>0.29939285714285713</v>
      </c>
      <c r="P737" t="str">
        <f>_xlfn.XLOOKUP(Clean_Data[[#This Row],[Product_Code]],Product_Catalog!A:A,Product_Catalog!C:C)</f>
        <v>Electronics</v>
      </c>
      <c r="Q737">
        <f>IF(Clean_Data[[#This Row],[Order_Date]]="","",YEAR(Clean_Data[[#This Row],[Order_Date]]))</f>
        <v>2025</v>
      </c>
      <c r="R737" t="str">
        <f>TEXT(Clean_Data[[#This Row],[Order_Date]],"mmm")</f>
        <v>Dec</v>
      </c>
      <c r="S737" t="str">
        <f>TEXT(Clean_Data[[#This Row],[Order_Date]],"mmm-yy")</f>
        <v>Dec-25</v>
      </c>
      <c r="V737"/>
    </row>
    <row r="738" spans="1:22" x14ac:dyDescent="0.25">
      <c r="A738" t="s">
        <v>807</v>
      </c>
      <c r="B738" s="1">
        <v>45893</v>
      </c>
      <c r="C738" t="s">
        <v>62</v>
      </c>
      <c r="D738" t="s">
        <v>40</v>
      </c>
      <c r="E738" t="s">
        <v>20</v>
      </c>
      <c r="F738" t="s">
        <v>21</v>
      </c>
      <c r="G738">
        <v>9</v>
      </c>
      <c r="H738">
        <v>8500</v>
      </c>
      <c r="I738">
        <v>6214</v>
      </c>
      <c r="J738" t="s">
        <v>16</v>
      </c>
      <c r="K738" t="s">
        <v>84</v>
      </c>
      <c r="L738">
        <f>SUM(Clean_Data[[#This Row],[Units_Sold]]*Clean_Data[[#This Row],[Unit_Price]])</f>
        <v>76500</v>
      </c>
      <c r="M738">
        <f>Clean_Data[[#This Row],[Units_Sold]]*Clean_Data[[#This Row],[Cost_Price]]</f>
        <v>55926</v>
      </c>
      <c r="N738">
        <f>Clean_Data[[#This Row],[Total_Sales]]-Clean_Data[[#This Row],[Total_Cost]]</f>
        <v>20574</v>
      </c>
      <c r="O738" s="2">
        <f>Clean_Data[[#This Row],[Profit]]/Clean_Data[[#This Row],[Total_Sales]]</f>
        <v>0.26894117647058824</v>
      </c>
      <c r="P738" t="str">
        <f>_xlfn.XLOOKUP(Clean_Data[[#This Row],[Product_Code]],Product_Catalog!A:A,Product_Catalog!C:C)</f>
        <v>Accessories</v>
      </c>
      <c r="Q738">
        <f>IF(Clean_Data[[#This Row],[Order_Date]]="","",YEAR(Clean_Data[[#This Row],[Order_Date]]))</f>
        <v>2025</v>
      </c>
      <c r="R738" t="str">
        <f>TEXT(Clean_Data[[#This Row],[Order_Date]],"mmm")</f>
        <v>Aug</v>
      </c>
      <c r="S738" t="str">
        <f>TEXT(Clean_Data[[#This Row],[Order_Date]],"mmm-yy")</f>
        <v>Aug-25</v>
      </c>
      <c r="V738"/>
    </row>
    <row r="739" spans="1:22" x14ac:dyDescent="0.25">
      <c r="A739" t="s">
        <v>808</v>
      </c>
      <c r="B739" s="1">
        <v>45847</v>
      </c>
      <c r="C739" t="s">
        <v>53</v>
      </c>
      <c r="D739" t="s">
        <v>36</v>
      </c>
      <c r="E739" t="s">
        <v>66</v>
      </c>
      <c r="F739" t="s">
        <v>67</v>
      </c>
      <c r="G739">
        <v>9</v>
      </c>
      <c r="H739">
        <v>2500</v>
      </c>
      <c r="I739">
        <v>1855</v>
      </c>
      <c r="J739" t="s">
        <v>16</v>
      </c>
      <c r="K739" t="s">
        <v>23</v>
      </c>
      <c r="L739">
        <f>SUM(Clean_Data[[#This Row],[Units_Sold]]*Clean_Data[[#This Row],[Unit_Price]])</f>
        <v>22500</v>
      </c>
      <c r="M739">
        <f>Clean_Data[[#This Row],[Units_Sold]]*Clean_Data[[#This Row],[Cost_Price]]</f>
        <v>16695</v>
      </c>
      <c r="N739">
        <f>Clean_Data[[#This Row],[Total_Sales]]-Clean_Data[[#This Row],[Total_Cost]]</f>
        <v>5805</v>
      </c>
      <c r="O739" s="2">
        <f>Clean_Data[[#This Row],[Profit]]/Clean_Data[[#This Row],[Total_Sales]]</f>
        <v>0.25800000000000001</v>
      </c>
      <c r="P739" t="str">
        <f>_xlfn.XLOOKUP(Clean_Data[[#This Row],[Product_Code]],Product_Catalog!A:A,Product_Catalog!C:C)</f>
        <v>Electronics</v>
      </c>
      <c r="Q739">
        <f>IF(Clean_Data[[#This Row],[Order_Date]]="","",YEAR(Clean_Data[[#This Row],[Order_Date]]))</f>
        <v>2025</v>
      </c>
      <c r="R739" t="str">
        <f>TEXT(Clean_Data[[#This Row],[Order_Date]],"mmm")</f>
        <v>Jul</v>
      </c>
      <c r="S739" t="str">
        <f>TEXT(Clean_Data[[#This Row],[Order_Date]],"mmm-yy")</f>
        <v>Jul-25</v>
      </c>
      <c r="V739"/>
    </row>
    <row r="740" spans="1:22" x14ac:dyDescent="0.25">
      <c r="A740" t="s">
        <v>809</v>
      </c>
      <c r="B740" s="1">
        <v>45774</v>
      </c>
      <c r="C740" t="s">
        <v>44</v>
      </c>
      <c r="D740" t="s">
        <v>33</v>
      </c>
      <c r="E740" t="s">
        <v>20</v>
      </c>
      <c r="F740" t="s">
        <v>21</v>
      </c>
      <c r="G740">
        <v>12</v>
      </c>
      <c r="H740">
        <v>8500</v>
      </c>
      <c r="I740">
        <v>6614</v>
      </c>
      <c r="J740" t="s">
        <v>45</v>
      </c>
      <c r="K740" t="s">
        <v>46</v>
      </c>
      <c r="L740">
        <f>SUM(Clean_Data[[#This Row],[Units_Sold]]*Clean_Data[[#This Row],[Unit_Price]])</f>
        <v>102000</v>
      </c>
      <c r="M740">
        <f>Clean_Data[[#This Row],[Units_Sold]]*Clean_Data[[#This Row],[Cost_Price]]</f>
        <v>79368</v>
      </c>
      <c r="N740">
        <f>Clean_Data[[#This Row],[Total_Sales]]-Clean_Data[[#This Row],[Total_Cost]]</f>
        <v>22632</v>
      </c>
      <c r="O740" s="2">
        <f>Clean_Data[[#This Row],[Profit]]/Clean_Data[[#This Row],[Total_Sales]]</f>
        <v>0.22188235294117648</v>
      </c>
      <c r="P740" t="str">
        <f>_xlfn.XLOOKUP(Clean_Data[[#This Row],[Product_Code]],Product_Catalog!A:A,Product_Catalog!C:C)</f>
        <v>Accessories</v>
      </c>
      <c r="Q740">
        <f>IF(Clean_Data[[#This Row],[Order_Date]]="","",YEAR(Clean_Data[[#This Row],[Order_Date]]))</f>
        <v>2025</v>
      </c>
      <c r="R740" t="str">
        <f>TEXT(Clean_Data[[#This Row],[Order_Date]],"mmm")</f>
        <v>Apr</v>
      </c>
      <c r="S740" t="str">
        <f>TEXT(Clean_Data[[#This Row],[Order_Date]],"mmm-yy")</f>
        <v>Apr-25</v>
      </c>
      <c r="V740"/>
    </row>
    <row r="741" spans="1:22" x14ac:dyDescent="0.25">
      <c r="A741" t="s">
        <v>810</v>
      </c>
      <c r="B741" s="1">
        <v>45934</v>
      </c>
      <c r="C741" t="s">
        <v>53</v>
      </c>
      <c r="D741" t="s">
        <v>40</v>
      </c>
      <c r="E741" t="s">
        <v>27</v>
      </c>
      <c r="F741" t="s">
        <v>28</v>
      </c>
      <c r="G741">
        <v>14</v>
      </c>
      <c r="H741">
        <v>14000</v>
      </c>
      <c r="I741">
        <v>9569</v>
      </c>
      <c r="J741" t="s">
        <v>22</v>
      </c>
      <c r="K741" t="s">
        <v>17</v>
      </c>
      <c r="L741">
        <f>SUM(Clean_Data[[#This Row],[Units_Sold]]*Clean_Data[[#This Row],[Unit_Price]])</f>
        <v>196000</v>
      </c>
      <c r="M741">
        <f>Clean_Data[[#This Row],[Units_Sold]]*Clean_Data[[#This Row],[Cost_Price]]</f>
        <v>133966</v>
      </c>
      <c r="N741">
        <f>Clean_Data[[#This Row],[Total_Sales]]-Clean_Data[[#This Row],[Total_Cost]]</f>
        <v>62034</v>
      </c>
      <c r="O741" s="2">
        <f>Clean_Data[[#This Row],[Profit]]/Clean_Data[[#This Row],[Total_Sales]]</f>
        <v>0.3165</v>
      </c>
      <c r="P741" t="str">
        <f>_xlfn.XLOOKUP(Clean_Data[[#This Row],[Product_Code]],Product_Catalog!A:A,Product_Catalog!C:C)</f>
        <v>Furniture</v>
      </c>
      <c r="Q741">
        <f>IF(Clean_Data[[#This Row],[Order_Date]]="","",YEAR(Clean_Data[[#This Row],[Order_Date]]))</f>
        <v>2025</v>
      </c>
      <c r="R741" t="str">
        <f>TEXT(Clean_Data[[#This Row],[Order_Date]],"mmm")</f>
        <v>Oct</v>
      </c>
      <c r="S741" t="str">
        <f>TEXT(Clean_Data[[#This Row],[Order_Date]],"mmm-yy")</f>
        <v>Oct-25</v>
      </c>
      <c r="V741"/>
    </row>
    <row r="742" spans="1:22" x14ac:dyDescent="0.25">
      <c r="A742" t="s">
        <v>811</v>
      </c>
      <c r="B742" s="1">
        <v>45976</v>
      </c>
      <c r="C742" t="s">
        <v>48</v>
      </c>
      <c r="D742" t="s">
        <v>13</v>
      </c>
      <c r="E742" t="s">
        <v>20</v>
      </c>
      <c r="F742" t="s">
        <v>21</v>
      </c>
      <c r="G742">
        <v>1</v>
      </c>
      <c r="H742">
        <v>8500</v>
      </c>
      <c r="I742">
        <v>5987</v>
      </c>
      <c r="J742" t="s">
        <v>45</v>
      </c>
      <c r="K742" t="s">
        <v>46</v>
      </c>
      <c r="L742">
        <f>SUM(Clean_Data[[#This Row],[Units_Sold]]*Clean_Data[[#This Row],[Unit_Price]])</f>
        <v>8500</v>
      </c>
      <c r="M742">
        <f>Clean_Data[[#This Row],[Units_Sold]]*Clean_Data[[#This Row],[Cost_Price]]</f>
        <v>5987</v>
      </c>
      <c r="N742">
        <f>Clean_Data[[#This Row],[Total_Sales]]-Clean_Data[[#This Row],[Total_Cost]]</f>
        <v>2513</v>
      </c>
      <c r="O742" s="2">
        <f>Clean_Data[[#This Row],[Profit]]/Clean_Data[[#This Row],[Total_Sales]]</f>
        <v>0.29564705882352943</v>
      </c>
      <c r="P742" t="str">
        <f>_xlfn.XLOOKUP(Clean_Data[[#This Row],[Product_Code]],Product_Catalog!A:A,Product_Catalog!C:C)</f>
        <v>Accessories</v>
      </c>
      <c r="Q742">
        <f>IF(Clean_Data[[#This Row],[Order_Date]]="","",YEAR(Clean_Data[[#This Row],[Order_Date]]))</f>
        <v>2025</v>
      </c>
      <c r="R742" t="str">
        <f>TEXT(Clean_Data[[#This Row],[Order_Date]],"mmm")</f>
        <v>Nov</v>
      </c>
      <c r="S742" t="str">
        <f>TEXT(Clean_Data[[#This Row],[Order_Date]],"mmm-yy")</f>
        <v>Nov-25</v>
      </c>
      <c r="V742"/>
    </row>
    <row r="743" spans="1:22" x14ac:dyDescent="0.25">
      <c r="A743" t="s">
        <v>813</v>
      </c>
      <c r="B743" s="1">
        <v>46119</v>
      </c>
      <c r="C743" t="s">
        <v>48</v>
      </c>
      <c r="D743" t="s">
        <v>36</v>
      </c>
      <c r="E743" t="s">
        <v>37</v>
      </c>
      <c r="F743" t="s">
        <v>38</v>
      </c>
      <c r="G743">
        <v>2</v>
      </c>
      <c r="H743">
        <v>55000</v>
      </c>
      <c r="I743">
        <v>39496</v>
      </c>
      <c r="J743" t="s">
        <v>22</v>
      </c>
      <c r="K743" t="s">
        <v>23</v>
      </c>
      <c r="L743">
        <f>SUM(Clean_Data[[#This Row],[Units_Sold]]*Clean_Data[[#This Row],[Unit_Price]])</f>
        <v>110000</v>
      </c>
      <c r="M743">
        <f>Clean_Data[[#This Row],[Units_Sold]]*Clean_Data[[#This Row],[Cost_Price]]</f>
        <v>78992</v>
      </c>
      <c r="N743">
        <f>Clean_Data[[#This Row],[Total_Sales]]-Clean_Data[[#This Row],[Total_Cost]]</f>
        <v>31008</v>
      </c>
      <c r="O743" s="2">
        <f>Clean_Data[[#This Row],[Profit]]/Clean_Data[[#This Row],[Total_Sales]]</f>
        <v>0.28189090909090908</v>
      </c>
      <c r="P743" t="str">
        <f>_xlfn.XLOOKUP(Clean_Data[[#This Row],[Product_Code]],Product_Catalog!A:A,Product_Catalog!C:C)</f>
        <v>Electronics</v>
      </c>
      <c r="Q743">
        <f>IF(Clean_Data[[#This Row],[Order_Date]]="","",YEAR(Clean_Data[[#This Row],[Order_Date]]))</f>
        <v>2026</v>
      </c>
      <c r="R743" t="str">
        <f>TEXT(Clean_Data[[#This Row],[Order_Date]],"mmm")</f>
        <v>Apr</v>
      </c>
      <c r="S743" t="str">
        <f>TEXT(Clean_Data[[#This Row],[Order_Date]],"mmm-yy")</f>
        <v>Apr-26</v>
      </c>
      <c r="V743"/>
    </row>
    <row r="744" spans="1:22" x14ac:dyDescent="0.25">
      <c r="A744" t="s">
        <v>814</v>
      </c>
      <c r="B744" s="1">
        <v>45683</v>
      </c>
      <c r="C744" t="s">
        <v>73</v>
      </c>
      <c r="D744" t="s">
        <v>40</v>
      </c>
      <c r="E744" t="s">
        <v>20</v>
      </c>
      <c r="F744" t="s">
        <v>21</v>
      </c>
      <c r="G744">
        <v>8</v>
      </c>
      <c r="H744">
        <v>8500</v>
      </c>
      <c r="I744">
        <v>6381</v>
      </c>
      <c r="J744" t="s">
        <v>29</v>
      </c>
      <c r="K744" t="s">
        <v>17</v>
      </c>
      <c r="L744">
        <f>SUM(Clean_Data[[#This Row],[Units_Sold]]*Clean_Data[[#This Row],[Unit_Price]])</f>
        <v>68000</v>
      </c>
      <c r="M744">
        <f>Clean_Data[[#This Row],[Units_Sold]]*Clean_Data[[#This Row],[Cost_Price]]</f>
        <v>51048</v>
      </c>
      <c r="N744">
        <f>Clean_Data[[#This Row],[Total_Sales]]-Clean_Data[[#This Row],[Total_Cost]]</f>
        <v>16952</v>
      </c>
      <c r="O744" s="2">
        <f>Clean_Data[[#This Row],[Profit]]/Clean_Data[[#This Row],[Total_Sales]]</f>
        <v>0.24929411764705883</v>
      </c>
      <c r="P744" t="str">
        <f>_xlfn.XLOOKUP(Clean_Data[[#This Row],[Product_Code]],Product_Catalog!A:A,Product_Catalog!C:C)</f>
        <v>Accessories</v>
      </c>
      <c r="Q744">
        <f>IF(Clean_Data[[#This Row],[Order_Date]]="","",YEAR(Clean_Data[[#This Row],[Order_Date]]))</f>
        <v>2025</v>
      </c>
      <c r="R744" t="str">
        <f>TEXT(Clean_Data[[#This Row],[Order_Date]],"mmm")</f>
        <v>Jan</v>
      </c>
      <c r="S744" t="str">
        <f>TEXT(Clean_Data[[#This Row],[Order_Date]],"mmm-yy")</f>
        <v>Jan-25</v>
      </c>
      <c r="V744"/>
    </row>
    <row r="745" spans="1:22" x14ac:dyDescent="0.25">
      <c r="A745" t="s">
        <v>815</v>
      </c>
      <c r="B745" s="1">
        <v>46233</v>
      </c>
      <c r="C745" t="s">
        <v>73</v>
      </c>
      <c r="D745" t="s">
        <v>36</v>
      </c>
      <c r="E745" t="s">
        <v>41</v>
      </c>
      <c r="F745" t="s">
        <v>42</v>
      </c>
      <c r="G745">
        <v>18</v>
      </c>
      <c r="H745">
        <v>28000</v>
      </c>
      <c r="I745">
        <v>18854</v>
      </c>
      <c r="J745" t="s">
        <v>22</v>
      </c>
      <c r="K745" t="s">
        <v>17</v>
      </c>
      <c r="L745">
        <f>SUM(Clean_Data[[#This Row],[Units_Sold]]*Clean_Data[[#This Row],[Unit_Price]])</f>
        <v>504000</v>
      </c>
      <c r="M745">
        <f>Clean_Data[[#This Row],[Units_Sold]]*Clean_Data[[#This Row],[Cost_Price]]</f>
        <v>339372</v>
      </c>
      <c r="N745">
        <f>Clean_Data[[#This Row],[Total_Sales]]-Clean_Data[[#This Row],[Total_Cost]]</f>
        <v>164628</v>
      </c>
      <c r="O745" s="2">
        <f>Clean_Data[[#This Row],[Profit]]/Clean_Data[[#This Row],[Total_Sales]]</f>
        <v>0.32664285714285712</v>
      </c>
      <c r="P745" t="str">
        <f>_xlfn.XLOOKUP(Clean_Data[[#This Row],[Product_Code]],Product_Catalog!A:A,Product_Catalog!C:C)</f>
        <v>Electronics</v>
      </c>
      <c r="Q745">
        <f>IF(Clean_Data[[#This Row],[Order_Date]]="","",YEAR(Clean_Data[[#This Row],[Order_Date]]))</f>
        <v>2026</v>
      </c>
      <c r="R745" t="str">
        <f>TEXT(Clean_Data[[#This Row],[Order_Date]],"mmm")</f>
        <v>Jul</v>
      </c>
      <c r="S745" t="str">
        <f>TEXT(Clean_Data[[#This Row],[Order_Date]],"mmm-yy")</f>
        <v>Jul-26</v>
      </c>
      <c r="V745"/>
    </row>
    <row r="746" spans="1:22" x14ac:dyDescent="0.25">
      <c r="A746" t="s">
        <v>816</v>
      </c>
      <c r="B746" s="1">
        <v>45954</v>
      </c>
      <c r="C746" t="s">
        <v>48</v>
      </c>
      <c r="D746" t="s">
        <v>40</v>
      </c>
      <c r="E746" t="s">
        <v>37</v>
      </c>
      <c r="F746" t="s">
        <v>38</v>
      </c>
      <c r="G746">
        <v>17</v>
      </c>
      <c r="H746">
        <v>55000</v>
      </c>
      <c r="I746">
        <v>37680</v>
      </c>
      <c r="J746" t="s">
        <v>16</v>
      </c>
      <c r="K746" t="s">
        <v>17</v>
      </c>
      <c r="L746">
        <f>SUM(Clean_Data[[#This Row],[Units_Sold]]*Clean_Data[[#This Row],[Unit_Price]])</f>
        <v>935000</v>
      </c>
      <c r="M746">
        <f>Clean_Data[[#This Row],[Units_Sold]]*Clean_Data[[#This Row],[Cost_Price]]</f>
        <v>640560</v>
      </c>
      <c r="N746">
        <f>Clean_Data[[#This Row],[Total_Sales]]-Clean_Data[[#This Row],[Total_Cost]]</f>
        <v>294440</v>
      </c>
      <c r="O746" s="2">
        <f>Clean_Data[[#This Row],[Profit]]/Clean_Data[[#This Row],[Total_Sales]]</f>
        <v>0.31490909090909092</v>
      </c>
      <c r="P746" t="str">
        <f>_xlfn.XLOOKUP(Clean_Data[[#This Row],[Product_Code]],Product_Catalog!A:A,Product_Catalog!C:C)</f>
        <v>Electronics</v>
      </c>
      <c r="Q746">
        <f>IF(Clean_Data[[#This Row],[Order_Date]]="","",YEAR(Clean_Data[[#This Row],[Order_Date]]))</f>
        <v>2025</v>
      </c>
      <c r="R746" t="str">
        <f>TEXT(Clean_Data[[#This Row],[Order_Date]],"mmm")</f>
        <v>Oct</v>
      </c>
      <c r="S746" t="str">
        <f>TEXT(Clean_Data[[#This Row],[Order_Date]],"mmm-yy")</f>
        <v>Oct-25</v>
      </c>
      <c r="V746"/>
    </row>
    <row r="747" spans="1:22" x14ac:dyDescent="0.25">
      <c r="A747" t="s">
        <v>817</v>
      </c>
      <c r="B747" s="1">
        <v>46085</v>
      </c>
      <c r="C747" t="s">
        <v>62</v>
      </c>
      <c r="D747" t="s">
        <v>13</v>
      </c>
      <c r="E747" t="s">
        <v>41</v>
      </c>
      <c r="F747" t="s">
        <v>42</v>
      </c>
      <c r="G747">
        <v>14</v>
      </c>
      <c r="H747">
        <v>28000</v>
      </c>
      <c r="I747">
        <v>18959</v>
      </c>
      <c r="J747" t="s">
        <v>29</v>
      </c>
      <c r="K747" t="s">
        <v>23</v>
      </c>
      <c r="L747">
        <f>SUM(Clean_Data[[#This Row],[Units_Sold]]*Clean_Data[[#This Row],[Unit_Price]])</f>
        <v>392000</v>
      </c>
      <c r="M747">
        <f>Clean_Data[[#This Row],[Units_Sold]]*Clean_Data[[#This Row],[Cost_Price]]</f>
        <v>265426</v>
      </c>
      <c r="N747">
        <f>Clean_Data[[#This Row],[Total_Sales]]-Clean_Data[[#This Row],[Total_Cost]]</f>
        <v>126574</v>
      </c>
      <c r="O747" s="2">
        <f>Clean_Data[[#This Row],[Profit]]/Clean_Data[[#This Row],[Total_Sales]]</f>
        <v>0.32289285714285715</v>
      </c>
      <c r="P747" t="str">
        <f>_xlfn.XLOOKUP(Clean_Data[[#This Row],[Product_Code]],Product_Catalog!A:A,Product_Catalog!C:C)</f>
        <v>Electronics</v>
      </c>
      <c r="Q747">
        <f>IF(Clean_Data[[#This Row],[Order_Date]]="","",YEAR(Clean_Data[[#This Row],[Order_Date]]))</f>
        <v>2026</v>
      </c>
      <c r="R747" t="str">
        <f>TEXT(Clean_Data[[#This Row],[Order_Date]],"mmm")</f>
        <v>Mar</v>
      </c>
      <c r="S747" t="str">
        <f>TEXT(Clean_Data[[#This Row],[Order_Date]],"mmm-yy")</f>
        <v>Mar-26</v>
      </c>
      <c r="V747"/>
    </row>
    <row r="748" spans="1:22" x14ac:dyDescent="0.25">
      <c r="A748" t="s">
        <v>818</v>
      </c>
      <c r="B748" s="1">
        <v>45801</v>
      </c>
      <c r="C748" t="s">
        <v>73</v>
      </c>
      <c r="D748" t="s">
        <v>33</v>
      </c>
      <c r="E748" t="s">
        <v>14</v>
      </c>
      <c r="F748" t="s">
        <v>15</v>
      </c>
      <c r="G748">
        <v>12</v>
      </c>
      <c r="H748">
        <v>12500</v>
      </c>
      <c r="I748">
        <v>9338</v>
      </c>
      <c r="J748" t="s">
        <v>29</v>
      </c>
      <c r="K748" t="s">
        <v>23</v>
      </c>
      <c r="L748">
        <f>SUM(Clean_Data[[#This Row],[Units_Sold]]*Clean_Data[[#This Row],[Unit_Price]])</f>
        <v>150000</v>
      </c>
      <c r="M748">
        <f>Clean_Data[[#This Row],[Units_Sold]]*Clean_Data[[#This Row],[Cost_Price]]</f>
        <v>112056</v>
      </c>
      <c r="N748">
        <f>Clean_Data[[#This Row],[Total_Sales]]-Clean_Data[[#This Row],[Total_Cost]]</f>
        <v>37944</v>
      </c>
      <c r="O748" s="2">
        <f>Clean_Data[[#This Row],[Profit]]/Clean_Data[[#This Row],[Total_Sales]]</f>
        <v>0.25296000000000002</v>
      </c>
      <c r="P748" t="str">
        <f>_xlfn.XLOOKUP(Clean_Data[[#This Row],[Product_Code]],Product_Catalog!A:A,Product_Catalog!C:C)</f>
        <v>Accessories</v>
      </c>
      <c r="Q748">
        <f>IF(Clean_Data[[#This Row],[Order_Date]]="","",YEAR(Clean_Data[[#This Row],[Order_Date]]))</f>
        <v>2025</v>
      </c>
      <c r="R748" t="str">
        <f>TEXT(Clean_Data[[#This Row],[Order_Date]],"mmm")</f>
        <v>May</v>
      </c>
      <c r="S748" t="str">
        <f>TEXT(Clean_Data[[#This Row],[Order_Date]],"mmm-yy")</f>
        <v>May-25</v>
      </c>
      <c r="V748"/>
    </row>
    <row r="749" spans="1:22" x14ac:dyDescent="0.25">
      <c r="A749" t="s">
        <v>819</v>
      </c>
      <c r="B749" s="1">
        <v>46198</v>
      </c>
      <c r="C749" t="s">
        <v>44</v>
      </c>
      <c r="D749" t="s">
        <v>13</v>
      </c>
      <c r="E749" t="s">
        <v>49</v>
      </c>
      <c r="F749" t="s">
        <v>50</v>
      </c>
      <c r="G749">
        <v>10</v>
      </c>
      <c r="H749">
        <v>75000</v>
      </c>
      <c r="I749">
        <v>48916</v>
      </c>
      <c r="J749" t="s">
        <v>22</v>
      </c>
      <c r="K749" t="s">
        <v>46</v>
      </c>
      <c r="L749">
        <f>SUM(Clean_Data[[#This Row],[Units_Sold]]*Clean_Data[[#This Row],[Unit_Price]])</f>
        <v>750000</v>
      </c>
      <c r="M749">
        <f>Clean_Data[[#This Row],[Units_Sold]]*Clean_Data[[#This Row],[Cost_Price]]</f>
        <v>489160</v>
      </c>
      <c r="N749">
        <f>Clean_Data[[#This Row],[Total_Sales]]-Clean_Data[[#This Row],[Total_Cost]]</f>
        <v>260840</v>
      </c>
      <c r="O749" s="2">
        <f>Clean_Data[[#This Row],[Profit]]/Clean_Data[[#This Row],[Total_Sales]]</f>
        <v>0.34778666666666669</v>
      </c>
      <c r="P749" t="str">
        <f>_xlfn.XLOOKUP(Clean_Data[[#This Row],[Product_Code]],Product_Catalog!A:A,Product_Catalog!C:C)</f>
        <v>Electronics</v>
      </c>
      <c r="Q749">
        <f>IF(Clean_Data[[#This Row],[Order_Date]]="","",YEAR(Clean_Data[[#This Row],[Order_Date]]))</f>
        <v>2026</v>
      </c>
      <c r="R749" t="str">
        <f>TEXT(Clean_Data[[#This Row],[Order_Date]],"mmm")</f>
        <v>Jun</v>
      </c>
      <c r="S749" t="str">
        <f>TEXT(Clean_Data[[#This Row],[Order_Date]],"mmm-yy")</f>
        <v>Jun-26</v>
      </c>
      <c r="V749"/>
    </row>
    <row r="750" spans="1:22" x14ac:dyDescent="0.25">
      <c r="A750" t="s">
        <v>820</v>
      </c>
      <c r="B750" s="1">
        <v>45680</v>
      </c>
      <c r="C750" t="s">
        <v>73</v>
      </c>
      <c r="D750" t="s">
        <v>40</v>
      </c>
      <c r="E750" t="s">
        <v>63</v>
      </c>
      <c r="F750" t="s">
        <v>59</v>
      </c>
      <c r="G750">
        <v>19</v>
      </c>
      <c r="H750">
        <v>4500</v>
      </c>
      <c r="I750">
        <v>3163</v>
      </c>
      <c r="J750" t="s">
        <v>22</v>
      </c>
      <c r="K750" t="s">
        <v>23</v>
      </c>
      <c r="L750">
        <f>SUM(Clean_Data[[#This Row],[Units_Sold]]*Clean_Data[[#This Row],[Unit_Price]])</f>
        <v>85500</v>
      </c>
      <c r="M750">
        <f>Clean_Data[[#This Row],[Units_Sold]]*Clean_Data[[#This Row],[Cost_Price]]</f>
        <v>60097</v>
      </c>
      <c r="N750">
        <f>Clean_Data[[#This Row],[Total_Sales]]-Clean_Data[[#This Row],[Total_Cost]]</f>
        <v>25403</v>
      </c>
      <c r="O750" s="2">
        <f>Clean_Data[[#This Row],[Profit]]/Clean_Data[[#This Row],[Total_Sales]]</f>
        <v>0.2971111111111111</v>
      </c>
      <c r="P750" t="str">
        <f>_xlfn.XLOOKUP(Clean_Data[[#This Row],[Product_Code]],Product_Catalog!A:A,Product_Catalog!C:C)</f>
        <v>Electronics</v>
      </c>
      <c r="Q750">
        <f>IF(Clean_Data[[#This Row],[Order_Date]]="","",YEAR(Clean_Data[[#This Row],[Order_Date]]))</f>
        <v>2025</v>
      </c>
      <c r="R750" t="str">
        <f>TEXT(Clean_Data[[#This Row],[Order_Date]],"mmm")</f>
        <v>Jan</v>
      </c>
      <c r="S750" t="str">
        <f>TEXT(Clean_Data[[#This Row],[Order_Date]],"mmm-yy")</f>
        <v>Jan-25</v>
      </c>
      <c r="V750"/>
    </row>
    <row r="751" spans="1:22" x14ac:dyDescent="0.25">
      <c r="A751" t="s">
        <v>821</v>
      </c>
      <c r="B751" s="1">
        <v>46019</v>
      </c>
      <c r="C751" t="s">
        <v>31</v>
      </c>
      <c r="D751" t="s">
        <v>40</v>
      </c>
      <c r="E751" t="s">
        <v>66</v>
      </c>
      <c r="F751" t="s">
        <v>67</v>
      </c>
      <c r="G751">
        <v>17</v>
      </c>
      <c r="H751">
        <v>2500</v>
      </c>
      <c r="I751">
        <v>1830</v>
      </c>
      <c r="J751" t="s">
        <v>29</v>
      </c>
      <c r="K751" t="s">
        <v>17</v>
      </c>
      <c r="L751">
        <f>SUM(Clean_Data[[#This Row],[Units_Sold]]*Clean_Data[[#This Row],[Unit_Price]])</f>
        <v>42500</v>
      </c>
      <c r="M751">
        <f>Clean_Data[[#This Row],[Units_Sold]]*Clean_Data[[#This Row],[Cost_Price]]</f>
        <v>31110</v>
      </c>
      <c r="N751">
        <f>Clean_Data[[#This Row],[Total_Sales]]-Clean_Data[[#This Row],[Total_Cost]]</f>
        <v>11390</v>
      </c>
      <c r="O751" s="2">
        <f>Clean_Data[[#This Row],[Profit]]/Clean_Data[[#This Row],[Total_Sales]]</f>
        <v>0.26800000000000002</v>
      </c>
      <c r="P751" t="str">
        <f>_xlfn.XLOOKUP(Clean_Data[[#This Row],[Product_Code]],Product_Catalog!A:A,Product_Catalog!C:C)</f>
        <v>Electronics</v>
      </c>
      <c r="Q751">
        <f>IF(Clean_Data[[#This Row],[Order_Date]]="","",YEAR(Clean_Data[[#This Row],[Order_Date]]))</f>
        <v>2025</v>
      </c>
      <c r="R751" t="str">
        <f>TEXT(Clean_Data[[#This Row],[Order_Date]],"mmm")</f>
        <v>Dec</v>
      </c>
      <c r="S751" t="str">
        <f>TEXT(Clean_Data[[#This Row],[Order_Date]],"mmm-yy")</f>
        <v>Dec-25</v>
      </c>
      <c r="V751"/>
    </row>
    <row r="752" spans="1:22" x14ac:dyDescent="0.25">
      <c r="A752" t="s">
        <v>822</v>
      </c>
      <c r="B752" s="1">
        <v>45932</v>
      </c>
      <c r="C752" t="s">
        <v>25</v>
      </c>
      <c r="D752" t="s">
        <v>13</v>
      </c>
      <c r="E752" t="s">
        <v>14</v>
      </c>
      <c r="F752" t="s">
        <v>15</v>
      </c>
      <c r="G752">
        <v>13</v>
      </c>
      <c r="H752">
        <v>12500</v>
      </c>
      <c r="I752">
        <v>7782</v>
      </c>
      <c r="J752" t="s">
        <v>29</v>
      </c>
      <c r="K752" t="s">
        <v>17</v>
      </c>
      <c r="L752">
        <f>SUM(Clean_Data[[#This Row],[Units_Sold]]*Clean_Data[[#This Row],[Unit_Price]])</f>
        <v>162500</v>
      </c>
      <c r="M752">
        <f>Clean_Data[[#This Row],[Units_Sold]]*Clean_Data[[#This Row],[Cost_Price]]</f>
        <v>101166</v>
      </c>
      <c r="N752">
        <f>Clean_Data[[#This Row],[Total_Sales]]-Clean_Data[[#This Row],[Total_Cost]]</f>
        <v>61334</v>
      </c>
      <c r="O752" s="2">
        <f>Clean_Data[[#This Row],[Profit]]/Clean_Data[[#This Row],[Total_Sales]]</f>
        <v>0.37744</v>
      </c>
      <c r="P752" t="str">
        <f>_xlfn.XLOOKUP(Clean_Data[[#This Row],[Product_Code]],Product_Catalog!A:A,Product_Catalog!C:C)</f>
        <v>Accessories</v>
      </c>
      <c r="Q752">
        <f>IF(Clean_Data[[#This Row],[Order_Date]]="","",YEAR(Clean_Data[[#This Row],[Order_Date]]))</f>
        <v>2025</v>
      </c>
      <c r="R752" t="str">
        <f>TEXT(Clean_Data[[#This Row],[Order_Date]],"mmm")</f>
        <v>Oct</v>
      </c>
      <c r="S752" t="str">
        <f>TEXT(Clean_Data[[#This Row],[Order_Date]],"mmm-yy")</f>
        <v>Oct-25</v>
      </c>
      <c r="V752"/>
    </row>
    <row r="753" spans="1:22" x14ac:dyDescent="0.25">
      <c r="A753" t="s">
        <v>823</v>
      </c>
      <c r="B753" s="1">
        <v>45993</v>
      </c>
      <c r="C753" t="s">
        <v>48</v>
      </c>
      <c r="D753" t="s">
        <v>13</v>
      </c>
      <c r="E753" t="s">
        <v>27</v>
      </c>
      <c r="F753" t="s">
        <v>28</v>
      </c>
      <c r="G753">
        <v>3</v>
      </c>
      <c r="H753">
        <v>14000</v>
      </c>
      <c r="I753">
        <v>9666</v>
      </c>
      <c r="J753" t="s">
        <v>22</v>
      </c>
      <c r="K753" t="s">
        <v>17</v>
      </c>
      <c r="L753">
        <f>SUM(Clean_Data[[#This Row],[Units_Sold]]*Clean_Data[[#This Row],[Unit_Price]])</f>
        <v>42000</v>
      </c>
      <c r="M753">
        <f>Clean_Data[[#This Row],[Units_Sold]]*Clean_Data[[#This Row],[Cost_Price]]</f>
        <v>28998</v>
      </c>
      <c r="N753">
        <f>Clean_Data[[#This Row],[Total_Sales]]-Clean_Data[[#This Row],[Total_Cost]]</f>
        <v>13002</v>
      </c>
      <c r="O753" s="2">
        <f>Clean_Data[[#This Row],[Profit]]/Clean_Data[[#This Row],[Total_Sales]]</f>
        <v>0.30957142857142855</v>
      </c>
      <c r="P753" t="str">
        <f>_xlfn.XLOOKUP(Clean_Data[[#This Row],[Product_Code]],Product_Catalog!A:A,Product_Catalog!C:C)</f>
        <v>Furniture</v>
      </c>
      <c r="Q753">
        <f>IF(Clean_Data[[#This Row],[Order_Date]]="","",YEAR(Clean_Data[[#This Row],[Order_Date]]))</f>
        <v>2025</v>
      </c>
      <c r="R753" t="str">
        <f>TEXT(Clean_Data[[#This Row],[Order_Date]],"mmm")</f>
        <v>Dec</v>
      </c>
      <c r="S753" t="str">
        <f>TEXT(Clean_Data[[#This Row],[Order_Date]],"mmm-yy")</f>
        <v>Dec-25</v>
      </c>
      <c r="V753"/>
    </row>
    <row r="754" spans="1:22" x14ac:dyDescent="0.25">
      <c r="A754" t="s">
        <v>824</v>
      </c>
      <c r="B754" s="1">
        <v>46013</v>
      </c>
      <c r="C754" t="s">
        <v>12</v>
      </c>
      <c r="D754" t="s">
        <v>40</v>
      </c>
      <c r="E754" t="s">
        <v>63</v>
      </c>
      <c r="F754" t="s">
        <v>59</v>
      </c>
      <c r="G754">
        <v>3</v>
      </c>
      <c r="H754">
        <v>4500</v>
      </c>
      <c r="I754">
        <v>3040</v>
      </c>
      <c r="J754" t="s">
        <v>29</v>
      </c>
      <c r="K754" t="s">
        <v>23</v>
      </c>
      <c r="L754">
        <f>SUM(Clean_Data[[#This Row],[Units_Sold]]*Clean_Data[[#This Row],[Unit_Price]])</f>
        <v>13500</v>
      </c>
      <c r="M754">
        <f>Clean_Data[[#This Row],[Units_Sold]]*Clean_Data[[#This Row],[Cost_Price]]</f>
        <v>9120</v>
      </c>
      <c r="N754">
        <f>Clean_Data[[#This Row],[Total_Sales]]-Clean_Data[[#This Row],[Total_Cost]]</f>
        <v>4380</v>
      </c>
      <c r="O754" s="2">
        <f>Clean_Data[[#This Row],[Profit]]/Clean_Data[[#This Row],[Total_Sales]]</f>
        <v>0.32444444444444442</v>
      </c>
      <c r="P754" t="str">
        <f>_xlfn.XLOOKUP(Clean_Data[[#This Row],[Product_Code]],Product_Catalog!A:A,Product_Catalog!C:C)</f>
        <v>Electronics</v>
      </c>
      <c r="Q754">
        <f>IF(Clean_Data[[#This Row],[Order_Date]]="","",YEAR(Clean_Data[[#This Row],[Order_Date]]))</f>
        <v>2025</v>
      </c>
      <c r="R754" t="str">
        <f>TEXT(Clean_Data[[#This Row],[Order_Date]],"mmm")</f>
        <v>Dec</v>
      </c>
      <c r="S754" t="str">
        <f>TEXT(Clean_Data[[#This Row],[Order_Date]],"mmm-yy")</f>
        <v>Dec-25</v>
      </c>
      <c r="V754"/>
    </row>
    <row r="755" spans="1:22" x14ac:dyDescent="0.25">
      <c r="A755" t="s">
        <v>825</v>
      </c>
      <c r="B755" s="1">
        <v>46239</v>
      </c>
      <c r="C755" t="s">
        <v>25</v>
      </c>
      <c r="D755" t="s">
        <v>33</v>
      </c>
      <c r="E755" t="s">
        <v>63</v>
      </c>
      <c r="F755" t="s">
        <v>59</v>
      </c>
      <c r="G755">
        <v>19</v>
      </c>
      <c r="H755">
        <v>4500</v>
      </c>
      <c r="I755">
        <v>2918</v>
      </c>
      <c r="J755" t="s">
        <v>29</v>
      </c>
      <c r="K755" t="s">
        <v>17</v>
      </c>
      <c r="L755">
        <f>SUM(Clean_Data[[#This Row],[Units_Sold]]*Clean_Data[[#This Row],[Unit_Price]])</f>
        <v>85500</v>
      </c>
      <c r="M755">
        <f>Clean_Data[[#This Row],[Units_Sold]]*Clean_Data[[#This Row],[Cost_Price]]</f>
        <v>55442</v>
      </c>
      <c r="N755">
        <f>Clean_Data[[#This Row],[Total_Sales]]-Clean_Data[[#This Row],[Total_Cost]]</f>
        <v>30058</v>
      </c>
      <c r="O755" s="2">
        <f>Clean_Data[[#This Row],[Profit]]/Clean_Data[[#This Row],[Total_Sales]]</f>
        <v>0.35155555555555557</v>
      </c>
      <c r="P755" t="str">
        <f>_xlfn.XLOOKUP(Clean_Data[[#This Row],[Product_Code]],Product_Catalog!A:A,Product_Catalog!C:C)</f>
        <v>Electronics</v>
      </c>
      <c r="Q755">
        <f>IF(Clean_Data[[#This Row],[Order_Date]]="","",YEAR(Clean_Data[[#This Row],[Order_Date]]))</f>
        <v>2026</v>
      </c>
      <c r="R755" t="str">
        <f>TEXT(Clean_Data[[#This Row],[Order_Date]],"mmm")</f>
        <v>Aug</v>
      </c>
      <c r="S755" t="str">
        <f>TEXT(Clean_Data[[#This Row],[Order_Date]],"mmm-yy")</f>
        <v>Aug-26</v>
      </c>
      <c r="V755"/>
    </row>
    <row r="756" spans="1:22" x14ac:dyDescent="0.25">
      <c r="A756" t="s">
        <v>826</v>
      </c>
      <c r="B756" s="1">
        <v>45837</v>
      </c>
      <c r="C756" t="s">
        <v>44</v>
      </c>
      <c r="D756" t="s">
        <v>13</v>
      </c>
      <c r="E756" t="s">
        <v>27</v>
      </c>
      <c r="F756" t="s">
        <v>28</v>
      </c>
      <c r="G756">
        <v>9</v>
      </c>
      <c r="H756">
        <v>14000</v>
      </c>
      <c r="I756">
        <v>9771</v>
      </c>
      <c r="J756" t="s">
        <v>45</v>
      </c>
      <c r="K756" t="s">
        <v>17</v>
      </c>
      <c r="L756">
        <f>SUM(Clean_Data[[#This Row],[Units_Sold]]*Clean_Data[[#This Row],[Unit_Price]])</f>
        <v>126000</v>
      </c>
      <c r="M756">
        <f>Clean_Data[[#This Row],[Units_Sold]]*Clean_Data[[#This Row],[Cost_Price]]</f>
        <v>87939</v>
      </c>
      <c r="N756">
        <f>Clean_Data[[#This Row],[Total_Sales]]-Clean_Data[[#This Row],[Total_Cost]]</f>
        <v>38061</v>
      </c>
      <c r="O756" s="2">
        <f>Clean_Data[[#This Row],[Profit]]/Clean_Data[[#This Row],[Total_Sales]]</f>
        <v>0.30207142857142855</v>
      </c>
      <c r="P756" t="str">
        <f>_xlfn.XLOOKUP(Clean_Data[[#This Row],[Product_Code]],Product_Catalog!A:A,Product_Catalog!C:C)</f>
        <v>Furniture</v>
      </c>
      <c r="Q756">
        <f>IF(Clean_Data[[#This Row],[Order_Date]]="","",YEAR(Clean_Data[[#This Row],[Order_Date]]))</f>
        <v>2025</v>
      </c>
      <c r="R756" t="str">
        <f>TEXT(Clean_Data[[#This Row],[Order_Date]],"mmm")</f>
        <v>Jun</v>
      </c>
      <c r="S756" t="str">
        <f>TEXT(Clean_Data[[#This Row],[Order_Date]],"mmm-yy")</f>
        <v>Jun-25</v>
      </c>
      <c r="V756"/>
    </row>
    <row r="757" spans="1:22" x14ac:dyDescent="0.25">
      <c r="A757" t="s">
        <v>827</v>
      </c>
      <c r="B757" s="1">
        <v>45920</v>
      </c>
      <c r="C757" t="s">
        <v>31</v>
      </c>
      <c r="D757" t="s">
        <v>13</v>
      </c>
      <c r="E757" t="s">
        <v>49</v>
      </c>
      <c r="F757" t="s">
        <v>50</v>
      </c>
      <c r="G757">
        <v>14</v>
      </c>
      <c r="H757">
        <v>75000</v>
      </c>
      <c r="I757">
        <v>58067</v>
      </c>
      <c r="J757" t="s">
        <v>29</v>
      </c>
      <c r="K757" t="s">
        <v>23</v>
      </c>
      <c r="L757">
        <f>SUM(Clean_Data[[#This Row],[Units_Sold]]*Clean_Data[[#This Row],[Unit_Price]])</f>
        <v>1050000</v>
      </c>
      <c r="M757">
        <f>Clean_Data[[#This Row],[Units_Sold]]*Clean_Data[[#This Row],[Cost_Price]]</f>
        <v>812938</v>
      </c>
      <c r="N757">
        <f>Clean_Data[[#This Row],[Total_Sales]]-Clean_Data[[#This Row],[Total_Cost]]</f>
        <v>237062</v>
      </c>
      <c r="O757" s="2">
        <f>Clean_Data[[#This Row],[Profit]]/Clean_Data[[#This Row],[Total_Sales]]</f>
        <v>0.22577333333333333</v>
      </c>
      <c r="P757" t="str">
        <f>_xlfn.XLOOKUP(Clean_Data[[#This Row],[Product_Code]],Product_Catalog!A:A,Product_Catalog!C:C)</f>
        <v>Electronics</v>
      </c>
      <c r="Q757">
        <f>IF(Clean_Data[[#This Row],[Order_Date]]="","",YEAR(Clean_Data[[#This Row],[Order_Date]]))</f>
        <v>2025</v>
      </c>
      <c r="R757" t="str">
        <f>TEXT(Clean_Data[[#This Row],[Order_Date]],"mmm")</f>
        <v>Sep</v>
      </c>
      <c r="S757" t="str">
        <f>TEXT(Clean_Data[[#This Row],[Order_Date]],"mmm-yy")</f>
        <v>Sep-25</v>
      </c>
      <c r="V757"/>
    </row>
    <row r="758" spans="1:22" x14ac:dyDescent="0.25">
      <c r="A758" t="s">
        <v>828</v>
      </c>
      <c r="B758" s="1">
        <v>45949</v>
      </c>
      <c r="C758" t="s">
        <v>12</v>
      </c>
      <c r="D758" t="s">
        <v>13</v>
      </c>
      <c r="E758" t="s">
        <v>37</v>
      </c>
      <c r="F758" t="s">
        <v>38</v>
      </c>
      <c r="G758">
        <v>8</v>
      </c>
      <c r="H758">
        <v>55000</v>
      </c>
      <c r="I758">
        <v>38455</v>
      </c>
      <c r="J758" t="s">
        <v>16</v>
      </c>
      <c r="K758" t="s">
        <v>23</v>
      </c>
      <c r="L758">
        <f>SUM(Clean_Data[[#This Row],[Units_Sold]]*Clean_Data[[#This Row],[Unit_Price]])</f>
        <v>440000</v>
      </c>
      <c r="M758">
        <f>Clean_Data[[#This Row],[Units_Sold]]*Clean_Data[[#This Row],[Cost_Price]]</f>
        <v>307640</v>
      </c>
      <c r="N758">
        <f>Clean_Data[[#This Row],[Total_Sales]]-Clean_Data[[#This Row],[Total_Cost]]</f>
        <v>132360</v>
      </c>
      <c r="O758" s="2">
        <f>Clean_Data[[#This Row],[Profit]]/Clean_Data[[#This Row],[Total_Sales]]</f>
        <v>0.30081818181818182</v>
      </c>
      <c r="P758" t="str">
        <f>_xlfn.XLOOKUP(Clean_Data[[#This Row],[Product_Code]],Product_Catalog!A:A,Product_Catalog!C:C)</f>
        <v>Electronics</v>
      </c>
      <c r="Q758">
        <f>IF(Clean_Data[[#This Row],[Order_Date]]="","",YEAR(Clean_Data[[#This Row],[Order_Date]]))</f>
        <v>2025</v>
      </c>
      <c r="R758" t="str">
        <f>TEXT(Clean_Data[[#This Row],[Order_Date]],"mmm")</f>
        <v>Oct</v>
      </c>
      <c r="S758" t="str">
        <f>TEXT(Clean_Data[[#This Row],[Order_Date]],"mmm-yy")</f>
        <v>Oct-25</v>
      </c>
      <c r="V758"/>
    </row>
    <row r="759" spans="1:22" x14ac:dyDescent="0.25">
      <c r="A759" t="s">
        <v>829</v>
      </c>
      <c r="B759" s="1">
        <v>45716</v>
      </c>
      <c r="C759" t="s">
        <v>62</v>
      </c>
      <c r="D759" t="s">
        <v>36</v>
      </c>
      <c r="E759" t="s">
        <v>37</v>
      </c>
      <c r="F759" t="s">
        <v>38</v>
      </c>
      <c r="G759">
        <v>4</v>
      </c>
      <c r="H759">
        <v>55000</v>
      </c>
      <c r="I759">
        <v>33261</v>
      </c>
      <c r="J759" t="s">
        <v>45</v>
      </c>
      <c r="K759" t="s">
        <v>17</v>
      </c>
      <c r="L759">
        <f>SUM(Clean_Data[[#This Row],[Units_Sold]]*Clean_Data[[#This Row],[Unit_Price]])</f>
        <v>220000</v>
      </c>
      <c r="M759">
        <f>Clean_Data[[#This Row],[Units_Sold]]*Clean_Data[[#This Row],[Cost_Price]]</f>
        <v>133044</v>
      </c>
      <c r="N759">
        <f>Clean_Data[[#This Row],[Total_Sales]]-Clean_Data[[#This Row],[Total_Cost]]</f>
        <v>86956</v>
      </c>
      <c r="O759" s="2">
        <f>Clean_Data[[#This Row],[Profit]]/Clean_Data[[#This Row],[Total_Sales]]</f>
        <v>0.39525454545454547</v>
      </c>
      <c r="P759" t="str">
        <f>_xlfn.XLOOKUP(Clean_Data[[#This Row],[Product_Code]],Product_Catalog!A:A,Product_Catalog!C:C)</f>
        <v>Electronics</v>
      </c>
      <c r="Q759">
        <f>IF(Clean_Data[[#This Row],[Order_Date]]="","",YEAR(Clean_Data[[#This Row],[Order_Date]]))</f>
        <v>2025</v>
      </c>
      <c r="R759" t="str">
        <f>TEXT(Clean_Data[[#This Row],[Order_Date]],"mmm")</f>
        <v>Feb</v>
      </c>
      <c r="S759" t="str">
        <f>TEXT(Clean_Data[[#This Row],[Order_Date]],"mmm-yy")</f>
        <v>Feb-25</v>
      </c>
      <c r="V759"/>
    </row>
    <row r="760" spans="1:22" x14ac:dyDescent="0.25">
      <c r="A760" t="s">
        <v>830</v>
      </c>
      <c r="B760" s="1">
        <v>45815</v>
      </c>
      <c r="C760" t="s">
        <v>44</v>
      </c>
      <c r="D760" t="s">
        <v>40</v>
      </c>
      <c r="E760" t="s">
        <v>41</v>
      </c>
      <c r="F760" t="s">
        <v>42</v>
      </c>
      <c r="G760">
        <v>6</v>
      </c>
      <c r="H760">
        <v>28000</v>
      </c>
      <c r="I760">
        <v>18750</v>
      </c>
      <c r="J760" t="s">
        <v>16</v>
      </c>
      <c r="K760" t="s">
        <v>17</v>
      </c>
      <c r="L760">
        <f>SUM(Clean_Data[[#This Row],[Units_Sold]]*Clean_Data[[#This Row],[Unit_Price]])</f>
        <v>168000</v>
      </c>
      <c r="M760">
        <f>Clean_Data[[#This Row],[Units_Sold]]*Clean_Data[[#This Row],[Cost_Price]]</f>
        <v>112500</v>
      </c>
      <c r="N760">
        <f>Clean_Data[[#This Row],[Total_Sales]]-Clean_Data[[#This Row],[Total_Cost]]</f>
        <v>55500</v>
      </c>
      <c r="O760" s="2">
        <f>Clean_Data[[#This Row],[Profit]]/Clean_Data[[#This Row],[Total_Sales]]</f>
        <v>0.33035714285714285</v>
      </c>
      <c r="P760" t="str">
        <f>_xlfn.XLOOKUP(Clean_Data[[#This Row],[Product_Code]],Product_Catalog!A:A,Product_Catalog!C:C)</f>
        <v>Electronics</v>
      </c>
      <c r="Q760">
        <f>IF(Clean_Data[[#This Row],[Order_Date]]="","",YEAR(Clean_Data[[#This Row],[Order_Date]]))</f>
        <v>2025</v>
      </c>
      <c r="R760" t="str">
        <f>TEXT(Clean_Data[[#This Row],[Order_Date]],"mmm")</f>
        <v>Jun</v>
      </c>
      <c r="S760" t="str">
        <f>TEXT(Clean_Data[[#This Row],[Order_Date]],"mmm-yy")</f>
        <v>Jun-25</v>
      </c>
      <c r="V760"/>
    </row>
    <row r="761" spans="1:22" x14ac:dyDescent="0.25">
      <c r="A761" t="s">
        <v>831</v>
      </c>
      <c r="B761" s="1">
        <v>45788</v>
      </c>
      <c r="C761" t="s">
        <v>62</v>
      </c>
      <c r="D761" t="s">
        <v>26</v>
      </c>
      <c r="E761" t="s">
        <v>66</v>
      </c>
      <c r="F761" t="s">
        <v>67</v>
      </c>
      <c r="G761">
        <v>14</v>
      </c>
      <c r="H761">
        <v>2500</v>
      </c>
      <c r="I761">
        <v>1833</v>
      </c>
      <c r="J761" t="s">
        <v>29</v>
      </c>
      <c r="K761" t="s">
        <v>23</v>
      </c>
      <c r="L761">
        <f>SUM(Clean_Data[[#This Row],[Units_Sold]]*Clean_Data[[#This Row],[Unit_Price]])</f>
        <v>35000</v>
      </c>
      <c r="M761">
        <f>Clean_Data[[#This Row],[Units_Sold]]*Clean_Data[[#This Row],[Cost_Price]]</f>
        <v>25662</v>
      </c>
      <c r="N761">
        <f>Clean_Data[[#This Row],[Total_Sales]]-Clean_Data[[#This Row],[Total_Cost]]</f>
        <v>9338</v>
      </c>
      <c r="O761" s="2">
        <f>Clean_Data[[#This Row],[Profit]]/Clean_Data[[#This Row],[Total_Sales]]</f>
        <v>0.26679999999999998</v>
      </c>
      <c r="P761" t="str">
        <f>_xlfn.XLOOKUP(Clean_Data[[#This Row],[Product_Code]],Product_Catalog!A:A,Product_Catalog!C:C)</f>
        <v>Electronics</v>
      </c>
      <c r="Q761">
        <f>IF(Clean_Data[[#This Row],[Order_Date]]="","",YEAR(Clean_Data[[#This Row],[Order_Date]]))</f>
        <v>2025</v>
      </c>
      <c r="R761" t="str">
        <f>TEXT(Clean_Data[[#This Row],[Order_Date]],"mmm")</f>
        <v>May</v>
      </c>
      <c r="S761" t="str">
        <f>TEXT(Clean_Data[[#This Row],[Order_Date]],"mmm-yy")</f>
        <v>May-25</v>
      </c>
      <c r="V761"/>
    </row>
    <row r="762" spans="1:22" x14ac:dyDescent="0.25">
      <c r="A762" t="s">
        <v>832</v>
      </c>
      <c r="B762" s="1">
        <v>45865</v>
      </c>
      <c r="C762" t="s">
        <v>19</v>
      </c>
      <c r="D762" t="s">
        <v>36</v>
      </c>
      <c r="E762" t="s">
        <v>49</v>
      </c>
      <c r="F762" t="s">
        <v>50</v>
      </c>
      <c r="G762">
        <v>15</v>
      </c>
      <c r="H762">
        <v>75000</v>
      </c>
      <c r="I762">
        <v>52997</v>
      </c>
      <c r="J762" t="s">
        <v>29</v>
      </c>
      <c r="K762" t="s">
        <v>17</v>
      </c>
      <c r="L762">
        <f>SUM(Clean_Data[[#This Row],[Units_Sold]]*Clean_Data[[#This Row],[Unit_Price]])</f>
        <v>1125000</v>
      </c>
      <c r="M762">
        <f>Clean_Data[[#This Row],[Units_Sold]]*Clean_Data[[#This Row],[Cost_Price]]</f>
        <v>794955</v>
      </c>
      <c r="N762">
        <f>Clean_Data[[#This Row],[Total_Sales]]-Clean_Data[[#This Row],[Total_Cost]]</f>
        <v>330045</v>
      </c>
      <c r="O762" s="2">
        <f>Clean_Data[[#This Row],[Profit]]/Clean_Data[[#This Row],[Total_Sales]]</f>
        <v>0.29337333333333332</v>
      </c>
      <c r="P762" t="str">
        <f>_xlfn.XLOOKUP(Clean_Data[[#This Row],[Product_Code]],Product_Catalog!A:A,Product_Catalog!C:C)</f>
        <v>Electronics</v>
      </c>
      <c r="Q762">
        <f>IF(Clean_Data[[#This Row],[Order_Date]]="","",YEAR(Clean_Data[[#This Row],[Order_Date]]))</f>
        <v>2025</v>
      </c>
      <c r="R762" t="str">
        <f>TEXT(Clean_Data[[#This Row],[Order_Date]],"mmm")</f>
        <v>Jul</v>
      </c>
      <c r="S762" t="str">
        <f>TEXT(Clean_Data[[#This Row],[Order_Date]],"mmm-yy")</f>
        <v>Jul-25</v>
      </c>
      <c r="V762"/>
    </row>
    <row r="763" spans="1:22" x14ac:dyDescent="0.25">
      <c r="A763" t="s">
        <v>833</v>
      </c>
      <c r="B763" s="1">
        <v>45659</v>
      </c>
      <c r="C763" t="s">
        <v>73</v>
      </c>
      <c r="D763" t="s">
        <v>40</v>
      </c>
      <c r="E763" t="s">
        <v>55</v>
      </c>
      <c r="F763" t="s">
        <v>34</v>
      </c>
      <c r="G763">
        <v>4</v>
      </c>
      <c r="H763">
        <v>35000</v>
      </c>
      <c r="I763">
        <v>26495</v>
      </c>
      <c r="J763" t="s">
        <v>29</v>
      </c>
      <c r="K763" t="s">
        <v>17</v>
      </c>
      <c r="L763">
        <f>SUM(Clean_Data[[#This Row],[Units_Sold]]*Clean_Data[[#This Row],[Unit_Price]])</f>
        <v>140000</v>
      </c>
      <c r="M763">
        <f>Clean_Data[[#This Row],[Units_Sold]]*Clean_Data[[#This Row],[Cost_Price]]</f>
        <v>105980</v>
      </c>
      <c r="N763">
        <f>Clean_Data[[#This Row],[Total_Sales]]-Clean_Data[[#This Row],[Total_Cost]]</f>
        <v>34020</v>
      </c>
      <c r="O763" s="2">
        <f>Clean_Data[[#This Row],[Profit]]/Clean_Data[[#This Row],[Total_Sales]]</f>
        <v>0.24299999999999999</v>
      </c>
      <c r="P763" t="str">
        <f>_xlfn.XLOOKUP(Clean_Data[[#This Row],[Product_Code]],Product_Catalog!A:A,Product_Catalog!C:C)</f>
        <v>Furniture</v>
      </c>
      <c r="Q763">
        <f>IF(Clean_Data[[#This Row],[Order_Date]]="","",YEAR(Clean_Data[[#This Row],[Order_Date]]))</f>
        <v>2025</v>
      </c>
      <c r="R763" t="str">
        <f>TEXT(Clean_Data[[#This Row],[Order_Date]],"mmm")</f>
        <v>Jan</v>
      </c>
      <c r="S763" t="str">
        <f>TEXT(Clean_Data[[#This Row],[Order_Date]],"mmm-yy")</f>
        <v>Jan-25</v>
      </c>
      <c r="V763"/>
    </row>
    <row r="764" spans="1:22" x14ac:dyDescent="0.25">
      <c r="A764" t="s">
        <v>834</v>
      </c>
      <c r="B764" s="1">
        <v>46190</v>
      </c>
      <c r="C764" t="s">
        <v>53</v>
      </c>
      <c r="D764" t="s">
        <v>13</v>
      </c>
      <c r="E764" t="s">
        <v>27</v>
      </c>
      <c r="F764" t="s">
        <v>28</v>
      </c>
      <c r="G764">
        <v>6</v>
      </c>
      <c r="H764">
        <v>14000</v>
      </c>
      <c r="I764">
        <v>10450</v>
      </c>
      <c r="J764" t="s">
        <v>29</v>
      </c>
      <c r="K764" t="s">
        <v>46</v>
      </c>
      <c r="L764">
        <f>SUM(Clean_Data[[#This Row],[Units_Sold]]*Clean_Data[[#This Row],[Unit_Price]])</f>
        <v>84000</v>
      </c>
      <c r="M764">
        <f>Clean_Data[[#This Row],[Units_Sold]]*Clean_Data[[#This Row],[Cost_Price]]</f>
        <v>62700</v>
      </c>
      <c r="N764">
        <f>Clean_Data[[#This Row],[Total_Sales]]-Clean_Data[[#This Row],[Total_Cost]]</f>
        <v>21300</v>
      </c>
      <c r="O764" s="2">
        <f>Clean_Data[[#This Row],[Profit]]/Clean_Data[[#This Row],[Total_Sales]]</f>
        <v>0.25357142857142856</v>
      </c>
      <c r="P764" t="str">
        <f>_xlfn.XLOOKUP(Clean_Data[[#This Row],[Product_Code]],Product_Catalog!A:A,Product_Catalog!C:C)</f>
        <v>Furniture</v>
      </c>
      <c r="Q764">
        <f>IF(Clean_Data[[#This Row],[Order_Date]]="","",YEAR(Clean_Data[[#This Row],[Order_Date]]))</f>
        <v>2026</v>
      </c>
      <c r="R764" t="str">
        <f>TEXT(Clean_Data[[#This Row],[Order_Date]],"mmm")</f>
        <v>Jun</v>
      </c>
      <c r="S764" t="str">
        <f>TEXT(Clean_Data[[#This Row],[Order_Date]],"mmm-yy")</f>
        <v>Jun-26</v>
      </c>
      <c r="V764"/>
    </row>
    <row r="765" spans="1:22" x14ac:dyDescent="0.25">
      <c r="A765" t="s">
        <v>835</v>
      </c>
      <c r="B765" s="1">
        <v>45991</v>
      </c>
      <c r="C765" t="s">
        <v>25</v>
      </c>
      <c r="D765" t="s">
        <v>40</v>
      </c>
      <c r="E765" t="s">
        <v>63</v>
      </c>
      <c r="F765" t="s">
        <v>59</v>
      </c>
      <c r="G765">
        <v>11</v>
      </c>
      <c r="H765">
        <v>4500</v>
      </c>
      <c r="I765">
        <v>3256</v>
      </c>
      <c r="J765" t="s">
        <v>29</v>
      </c>
      <c r="K765" t="s">
        <v>23</v>
      </c>
      <c r="L765">
        <f>SUM(Clean_Data[[#This Row],[Units_Sold]]*Clean_Data[[#This Row],[Unit_Price]])</f>
        <v>49500</v>
      </c>
      <c r="M765">
        <f>Clean_Data[[#This Row],[Units_Sold]]*Clean_Data[[#This Row],[Cost_Price]]</f>
        <v>35816</v>
      </c>
      <c r="N765">
        <f>Clean_Data[[#This Row],[Total_Sales]]-Clean_Data[[#This Row],[Total_Cost]]</f>
        <v>13684</v>
      </c>
      <c r="O765" s="2">
        <f>Clean_Data[[#This Row],[Profit]]/Clean_Data[[#This Row],[Total_Sales]]</f>
        <v>0.27644444444444444</v>
      </c>
      <c r="P765" t="str">
        <f>_xlfn.XLOOKUP(Clean_Data[[#This Row],[Product_Code]],Product_Catalog!A:A,Product_Catalog!C:C)</f>
        <v>Electronics</v>
      </c>
      <c r="Q765">
        <f>IF(Clean_Data[[#This Row],[Order_Date]]="","",YEAR(Clean_Data[[#This Row],[Order_Date]]))</f>
        <v>2025</v>
      </c>
      <c r="R765" t="str">
        <f>TEXT(Clean_Data[[#This Row],[Order_Date]],"mmm")</f>
        <v>Nov</v>
      </c>
      <c r="S765" t="str">
        <f>TEXT(Clean_Data[[#This Row],[Order_Date]],"mmm-yy")</f>
        <v>Nov-25</v>
      </c>
      <c r="V765"/>
    </row>
    <row r="766" spans="1:22" x14ac:dyDescent="0.25">
      <c r="A766" t="s">
        <v>836</v>
      </c>
      <c r="B766" s="1">
        <v>45903</v>
      </c>
      <c r="C766" t="s">
        <v>53</v>
      </c>
      <c r="D766" t="s">
        <v>26</v>
      </c>
      <c r="E766" t="s">
        <v>55</v>
      </c>
      <c r="F766" t="s">
        <v>34</v>
      </c>
      <c r="G766">
        <v>2</v>
      </c>
      <c r="H766">
        <v>35000</v>
      </c>
      <c r="I766">
        <v>25932</v>
      </c>
      <c r="J766" t="s">
        <v>16</v>
      </c>
      <c r="K766" t="s">
        <v>46</v>
      </c>
      <c r="L766">
        <f>SUM(Clean_Data[[#This Row],[Units_Sold]]*Clean_Data[[#This Row],[Unit_Price]])</f>
        <v>70000</v>
      </c>
      <c r="M766">
        <f>Clean_Data[[#This Row],[Units_Sold]]*Clean_Data[[#This Row],[Cost_Price]]</f>
        <v>51864</v>
      </c>
      <c r="N766">
        <f>Clean_Data[[#This Row],[Total_Sales]]-Clean_Data[[#This Row],[Total_Cost]]</f>
        <v>18136</v>
      </c>
      <c r="O766" s="2">
        <f>Clean_Data[[#This Row],[Profit]]/Clean_Data[[#This Row],[Total_Sales]]</f>
        <v>0.25908571428571431</v>
      </c>
      <c r="P766" t="str">
        <f>_xlfn.XLOOKUP(Clean_Data[[#This Row],[Product_Code]],Product_Catalog!A:A,Product_Catalog!C:C)</f>
        <v>Furniture</v>
      </c>
      <c r="Q766">
        <f>IF(Clean_Data[[#This Row],[Order_Date]]="","",YEAR(Clean_Data[[#This Row],[Order_Date]]))</f>
        <v>2025</v>
      </c>
      <c r="R766" t="str">
        <f>TEXT(Clean_Data[[#This Row],[Order_Date]],"mmm")</f>
        <v>Sep</v>
      </c>
      <c r="S766" t="str">
        <f>TEXT(Clean_Data[[#This Row],[Order_Date]],"mmm-yy")</f>
        <v>Sep-25</v>
      </c>
      <c r="V766"/>
    </row>
    <row r="767" spans="1:22" x14ac:dyDescent="0.25">
      <c r="A767" t="s">
        <v>837</v>
      </c>
      <c r="B767" s="1">
        <v>46015</v>
      </c>
      <c r="C767" t="s">
        <v>53</v>
      </c>
      <c r="D767" t="s">
        <v>13</v>
      </c>
      <c r="E767" t="s">
        <v>14</v>
      </c>
      <c r="F767" t="s">
        <v>15</v>
      </c>
      <c r="G767">
        <v>2</v>
      </c>
      <c r="H767">
        <v>12500</v>
      </c>
      <c r="I767">
        <v>9245</v>
      </c>
      <c r="J767" t="s">
        <v>16</v>
      </c>
      <c r="K767" t="s">
        <v>17</v>
      </c>
      <c r="L767">
        <f>SUM(Clean_Data[[#This Row],[Units_Sold]]*Clean_Data[[#This Row],[Unit_Price]])</f>
        <v>25000</v>
      </c>
      <c r="M767">
        <f>Clean_Data[[#This Row],[Units_Sold]]*Clean_Data[[#This Row],[Cost_Price]]</f>
        <v>18490</v>
      </c>
      <c r="N767">
        <f>Clean_Data[[#This Row],[Total_Sales]]-Clean_Data[[#This Row],[Total_Cost]]</f>
        <v>6510</v>
      </c>
      <c r="O767" s="2">
        <f>Clean_Data[[#This Row],[Profit]]/Clean_Data[[#This Row],[Total_Sales]]</f>
        <v>0.26040000000000002</v>
      </c>
      <c r="P767" t="str">
        <f>_xlfn.XLOOKUP(Clean_Data[[#This Row],[Product_Code]],Product_Catalog!A:A,Product_Catalog!C:C)</f>
        <v>Accessories</v>
      </c>
      <c r="Q767">
        <f>IF(Clean_Data[[#This Row],[Order_Date]]="","",YEAR(Clean_Data[[#This Row],[Order_Date]]))</f>
        <v>2025</v>
      </c>
      <c r="R767" t="str">
        <f>TEXT(Clean_Data[[#This Row],[Order_Date]],"mmm")</f>
        <v>Dec</v>
      </c>
      <c r="S767" t="str">
        <f>TEXT(Clean_Data[[#This Row],[Order_Date]],"mmm-yy")</f>
        <v>Dec-25</v>
      </c>
      <c r="V767"/>
    </row>
    <row r="768" spans="1:22" x14ac:dyDescent="0.25">
      <c r="A768" t="s">
        <v>838</v>
      </c>
      <c r="B768" s="1">
        <v>46249</v>
      </c>
      <c r="C768" t="s">
        <v>12</v>
      </c>
      <c r="D768" t="s">
        <v>26</v>
      </c>
      <c r="E768" t="s">
        <v>49</v>
      </c>
      <c r="F768" t="s">
        <v>50</v>
      </c>
      <c r="G768">
        <v>10</v>
      </c>
      <c r="H768">
        <v>75000</v>
      </c>
      <c r="I768">
        <v>48734</v>
      </c>
      <c r="J768" t="s">
        <v>45</v>
      </c>
      <c r="K768" t="s">
        <v>23</v>
      </c>
      <c r="L768">
        <f>SUM(Clean_Data[[#This Row],[Units_Sold]]*Clean_Data[[#This Row],[Unit_Price]])</f>
        <v>750000</v>
      </c>
      <c r="M768">
        <f>Clean_Data[[#This Row],[Units_Sold]]*Clean_Data[[#This Row],[Cost_Price]]</f>
        <v>487340</v>
      </c>
      <c r="N768">
        <f>Clean_Data[[#This Row],[Total_Sales]]-Clean_Data[[#This Row],[Total_Cost]]</f>
        <v>262660</v>
      </c>
      <c r="O768" s="2">
        <f>Clean_Data[[#This Row],[Profit]]/Clean_Data[[#This Row],[Total_Sales]]</f>
        <v>0.35021333333333332</v>
      </c>
      <c r="P768" t="str">
        <f>_xlfn.XLOOKUP(Clean_Data[[#This Row],[Product_Code]],Product_Catalog!A:A,Product_Catalog!C:C)</f>
        <v>Electronics</v>
      </c>
      <c r="Q768">
        <f>IF(Clean_Data[[#This Row],[Order_Date]]="","",YEAR(Clean_Data[[#This Row],[Order_Date]]))</f>
        <v>2026</v>
      </c>
      <c r="R768" t="str">
        <f>TEXT(Clean_Data[[#This Row],[Order_Date]],"mmm")</f>
        <v>Aug</v>
      </c>
      <c r="S768" t="str">
        <f>TEXT(Clean_Data[[#This Row],[Order_Date]],"mmm-yy")</f>
        <v>Aug-26</v>
      </c>
      <c r="V768"/>
    </row>
    <row r="769" spans="1:22" x14ac:dyDescent="0.25">
      <c r="A769" t="s">
        <v>839</v>
      </c>
      <c r="B769" s="1">
        <v>45662</v>
      </c>
      <c r="C769" t="s">
        <v>73</v>
      </c>
      <c r="D769" t="s">
        <v>33</v>
      </c>
      <c r="E769" t="s">
        <v>55</v>
      </c>
      <c r="F769" t="s">
        <v>34</v>
      </c>
      <c r="G769">
        <v>7</v>
      </c>
      <c r="H769">
        <v>35000</v>
      </c>
      <c r="I769">
        <v>23069</v>
      </c>
      <c r="J769" t="s">
        <v>29</v>
      </c>
      <c r="K769" t="s">
        <v>46</v>
      </c>
      <c r="L769">
        <f>SUM(Clean_Data[[#This Row],[Units_Sold]]*Clean_Data[[#This Row],[Unit_Price]])</f>
        <v>245000</v>
      </c>
      <c r="M769">
        <f>Clean_Data[[#This Row],[Units_Sold]]*Clean_Data[[#This Row],[Cost_Price]]</f>
        <v>161483</v>
      </c>
      <c r="N769">
        <f>Clean_Data[[#This Row],[Total_Sales]]-Clean_Data[[#This Row],[Total_Cost]]</f>
        <v>83517</v>
      </c>
      <c r="O769" s="2">
        <f>Clean_Data[[#This Row],[Profit]]/Clean_Data[[#This Row],[Total_Sales]]</f>
        <v>0.34088571428571429</v>
      </c>
      <c r="P769" t="str">
        <f>_xlfn.XLOOKUP(Clean_Data[[#This Row],[Product_Code]],Product_Catalog!A:A,Product_Catalog!C:C)</f>
        <v>Furniture</v>
      </c>
      <c r="Q769">
        <f>IF(Clean_Data[[#This Row],[Order_Date]]="","",YEAR(Clean_Data[[#This Row],[Order_Date]]))</f>
        <v>2025</v>
      </c>
      <c r="R769" t="str">
        <f>TEXT(Clean_Data[[#This Row],[Order_Date]],"mmm")</f>
        <v>Jan</v>
      </c>
      <c r="S769" t="str">
        <f>TEXT(Clean_Data[[#This Row],[Order_Date]],"mmm-yy")</f>
        <v>Jan-25</v>
      </c>
      <c r="V769"/>
    </row>
    <row r="770" spans="1:22" x14ac:dyDescent="0.25">
      <c r="A770" t="s">
        <v>840</v>
      </c>
      <c r="B770" s="1">
        <v>46128</v>
      </c>
      <c r="C770" t="s">
        <v>53</v>
      </c>
      <c r="D770" t="s">
        <v>33</v>
      </c>
      <c r="E770" t="s">
        <v>37</v>
      </c>
      <c r="F770" t="s">
        <v>38</v>
      </c>
      <c r="G770">
        <v>17</v>
      </c>
      <c r="H770">
        <v>55000</v>
      </c>
      <c r="I770">
        <v>38736</v>
      </c>
      <c r="J770" t="s">
        <v>16</v>
      </c>
      <c r="K770" t="s">
        <v>17</v>
      </c>
      <c r="L770">
        <f>SUM(Clean_Data[[#This Row],[Units_Sold]]*Clean_Data[[#This Row],[Unit_Price]])</f>
        <v>935000</v>
      </c>
      <c r="M770">
        <f>Clean_Data[[#This Row],[Units_Sold]]*Clean_Data[[#This Row],[Cost_Price]]</f>
        <v>658512</v>
      </c>
      <c r="N770">
        <f>Clean_Data[[#This Row],[Total_Sales]]-Clean_Data[[#This Row],[Total_Cost]]</f>
        <v>276488</v>
      </c>
      <c r="O770" s="2">
        <f>Clean_Data[[#This Row],[Profit]]/Clean_Data[[#This Row],[Total_Sales]]</f>
        <v>0.29570909090909092</v>
      </c>
      <c r="P770" t="str">
        <f>_xlfn.XLOOKUP(Clean_Data[[#This Row],[Product_Code]],Product_Catalog!A:A,Product_Catalog!C:C)</f>
        <v>Electronics</v>
      </c>
      <c r="Q770">
        <f>IF(Clean_Data[[#This Row],[Order_Date]]="","",YEAR(Clean_Data[[#This Row],[Order_Date]]))</f>
        <v>2026</v>
      </c>
      <c r="R770" t="str">
        <f>TEXT(Clean_Data[[#This Row],[Order_Date]],"mmm")</f>
        <v>Apr</v>
      </c>
      <c r="S770" t="str">
        <f>TEXT(Clean_Data[[#This Row],[Order_Date]],"mmm-yy")</f>
        <v>Apr-26</v>
      </c>
      <c r="V770"/>
    </row>
    <row r="771" spans="1:22" x14ac:dyDescent="0.25">
      <c r="A771" t="s">
        <v>841</v>
      </c>
      <c r="B771" s="1">
        <v>46253</v>
      </c>
      <c r="C771" t="s">
        <v>48</v>
      </c>
      <c r="D771" t="s">
        <v>26</v>
      </c>
      <c r="E771" t="s">
        <v>49</v>
      </c>
      <c r="F771" t="s">
        <v>50</v>
      </c>
      <c r="G771">
        <v>13</v>
      </c>
      <c r="H771">
        <v>75000</v>
      </c>
      <c r="I771">
        <v>58957</v>
      </c>
      <c r="J771" t="s">
        <v>29</v>
      </c>
      <c r="K771" t="s">
        <v>23</v>
      </c>
      <c r="L771">
        <f>SUM(Clean_Data[[#This Row],[Units_Sold]]*Clean_Data[[#This Row],[Unit_Price]])</f>
        <v>975000</v>
      </c>
      <c r="M771">
        <f>Clean_Data[[#This Row],[Units_Sold]]*Clean_Data[[#This Row],[Cost_Price]]</f>
        <v>766441</v>
      </c>
      <c r="N771">
        <f>Clean_Data[[#This Row],[Total_Sales]]-Clean_Data[[#This Row],[Total_Cost]]</f>
        <v>208559</v>
      </c>
      <c r="O771" s="2">
        <f>Clean_Data[[#This Row],[Profit]]/Clean_Data[[#This Row],[Total_Sales]]</f>
        <v>0.21390666666666666</v>
      </c>
      <c r="P771" t="str">
        <f>_xlfn.XLOOKUP(Clean_Data[[#This Row],[Product_Code]],Product_Catalog!A:A,Product_Catalog!C:C)</f>
        <v>Electronics</v>
      </c>
      <c r="Q771">
        <f>IF(Clean_Data[[#This Row],[Order_Date]]="","",YEAR(Clean_Data[[#This Row],[Order_Date]]))</f>
        <v>2026</v>
      </c>
      <c r="R771" t="str">
        <f>TEXT(Clean_Data[[#This Row],[Order_Date]],"mmm")</f>
        <v>Aug</v>
      </c>
      <c r="S771" t="str">
        <f>TEXT(Clean_Data[[#This Row],[Order_Date]],"mmm-yy")</f>
        <v>Aug-26</v>
      </c>
      <c r="V771"/>
    </row>
    <row r="772" spans="1:22" x14ac:dyDescent="0.25">
      <c r="A772" t="s">
        <v>842</v>
      </c>
      <c r="B772" s="1">
        <v>46125</v>
      </c>
      <c r="C772" t="s">
        <v>62</v>
      </c>
      <c r="D772" t="s">
        <v>40</v>
      </c>
      <c r="E772" t="s">
        <v>37</v>
      </c>
      <c r="F772" t="s">
        <v>38</v>
      </c>
      <c r="G772">
        <v>8</v>
      </c>
      <c r="H772">
        <v>55000</v>
      </c>
      <c r="I772">
        <v>41084</v>
      </c>
      <c r="J772" t="s">
        <v>45</v>
      </c>
      <c r="K772" t="s">
        <v>46</v>
      </c>
      <c r="L772">
        <f>SUM(Clean_Data[[#This Row],[Units_Sold]]*Clean_Data[[#This Row],[Unit_Price]])</f>
        <v>440000</v>
      </c>
      <c r="M772">
        <f>Clean_Data[[#This Row],[Units_Sold]]*Clean_Data[[#This Row],[Cost_Price]]</f>
        <v>328672</v>
      </c>
      <c r="N772">
        <f>Clean_Data[[#This Row],[Total_Sales]]-Clean_Data[[#This Row],[Total_Cost]]</f>
        <v>111328</v>
      </c>
      <c r="O772" s="2">
        <f>Clean_Data[[#This Row],[Profit]]/Clean_Data[[#This Row],[Total_Sales]]</f>
        <v>0.25301818181818181</v>
      </c>
      <c r="P772" t="str">
        <f>_xlfn.XLOOKUP(Clean_Data[[#This Row],[Product_Code]],Product_Catalog!A:A,Product_Catalog!C:C)</f>
        <v>Electronics</v>
      </c>
      <c r="Q772">
        <f>IF(Clean_Data[[#This Row],[Order_Date]]="","",YEAR(Clean_Data[[#This Row],[Order_Date]]))</f>
        <v>2026</v>
      </c>
      <c r="R772" t="str">
        <f>TEXT(Clean_Data[[#This Row],[Order_Date]],"mmm")</f>
        <v>Apr</v>
      </c>
      <c r="S772" t="str">
        <f>TEXT(Clean_Data[[#This Row],[Order_Date]],"mmm-yy")</f>
        <v>Apr-26</v>
      </c>
      <c r="V772"/>
    </row>
    <row r="773" spans="1:22" x14ac:dyDescent="0.25">
      <c r="A773" t="s">
        <v>843</v>
      </c>
      <c r="B773" s="1">
        <v>46018</v>
      </c>
      <c r="C773" t="s">
        <v>62</v>
      </c>
      <c r="D773" t="s">
        <v>13</v>
      </c>
      <c r="E773" t="s">
        <v>66</v>
      </c>
      <c r="F773" t="s">
        <v>67</v>
      </c>
      <c r="G773">
        <v>11</v>
      </c>
      <c r="H773">
        <v>2500</v>
      </c>
      <c r="I773">
        <v>1849</v>
      </c>
      <c r="J773" t="s">
        <v>16</v>
      </c>
      <c r="K773" t="s">
        <v>17</v>
      </c>
      <c r="L773">
        <f>SUM(Clean_Data[[#This Row],[Units_Sold]]*Clean_Data[[#This Row],[Unit_Price]])</f>
        <v>27500</v>
      </c>
      <c r="M773">
        <f>Clean_Data[[#This Row],[Units_Sold]]*Clean_Data[[#This Row],[Cost_Price]]</f>
        <v>20339</v>
      </c>
      <c r="N773">
        <f>Clean_Data[[#This Row],[Total_Sales]]-Clean_Data[[#This Row],[Total_Cost]]</f>
        <v>7161</v>
      </c>
      <c r="O773" s="2">
        <f>Clean_Data[[#This Row],[Profit]]/Clean_Data[[#This Row],[Total_Sales]]</f>
        <v>0.26040000000000002</v>
      </c>
      <c r="P773" t="str">
        <f>_xlfn.XLOOKUP(Clean_Data[[#This Row],[Product_Code]],Product_Catalog!A:A,Product_Catalog!C:C)</f>
        <v>Electronics</v>
      </c>
      <c r="Q773">
        <f>IF(Clean_Data[[#This Row],[Order_Date]]="","",YEAR(Clean_Data[[#This Row],[Order_Date]]))</f>
        <v>2025</v>
      </c>
      <c r="R773" t="str">
        <f>TEXT(Clean_Data[[#This Row],[Order_Date]],"mmm")</f>
        <v>Dec</v>
      </c>
      <c r="S773" t="str">
        <f>TEXT(Clean_Data[[#This Row],[Order_Date]],"mmm-yy")</f>
        <v>Dec-25</v>
      </c>
      <c r="V773"/>
    </row>
    <row r="774" spans="1:22" x14ac:dyDescent="0.25">
      <c r="A774" t="s">
        <v>844</v>
      </c>
      <c r="B774" s="1">
        <v>46128</v>
      </c>
      <c r="C774" t="s">
        <v>25</v>
      </c>
      <c r="D774" t="s">
        <v>13</v>
      </c>
      <c r="E774" t="s">
        <v>20</v>
      </c>
      <c r="F774" t="s">
        <v>21</v>
      </c>
      <c r="G774">
        <v>12</v>
      </c>
      <c r="H774">
        <v>8500</v>
      </c>
      <c r="I774">
        <v>5462</v>
      </c>
      <c r="J774" t="s">
        <v>29</v>
      </c>
      <c r="K774" t="s">
        <v>23</v>
      </c>
      <c r="L774">
        <f>SUM(Clean_Data[[#This Row],[Units_Sold]]*Clean_Data[[#This Row],[Unit_Price]])</f>
        <v>102000</v>
      </c>
      <c r="M774">
        <f>Clean_Data[[#This Row],[Units_Sold]]*Clean_Data[[#This Row],[Cost_Price]]</f>
        <v>65544</v>
      </c>
      <c r="N774">
        <f>Clean_Data[[#This Row],[Total_Sales]]-Clean_Data[[#This Row],[Total_Cost]]</f>
        <v>36456</v>
      </c>
      <c r="O774" s="2">
        <f>Clean_Data[[#This Row],[Profit]]/Clean_Data[[#This Row],[Total_Sales]]</f>
        <v>0.35741176470588237</v>
      </c>
      <c r="P774" t="str">
        <f>_xlfn.XLOOKUP(Clean_Data[[#This Row],[Product_Code]],Product_Catalog!A:A,Product_Catalog!C:C)</f>
        <v>Accessories</v>
      </c>
      <c r="Q774">
        <f>IF(Clean_Data[[#This Row],[Order_Date]]="","",YEAR(Clean_Data[[#This Row],[Order_Date]]))</f>
        <v>2026</v>
      </c>
      <c r="R774" t="str">
        <f>TEXT(Clean_Data[[#This Row],[Order_Date]],"mmm")</f>
        <v>Apr</v>
      </c>
      <c r="S774" t="str">
        <f>TEXT(Clean_Data[[#This Row],[Order_Date]],"mmm-yy")</f>
        <v>Apr-26</v>
      </c>
      <c r="V774"/>
    </row>
    <row r="775" spans="1:22" x14ac:dyDescent="0.25">
      <c r="A775" t="s">
        <v>845</v>
      </c>
      <c r="B775" s="1">
        <v>45680</v>
      </c>
      <c r="C775" t="s">
        <v>73</v>
      </c>
      <c r="D775" t="s">
        <v>36</v>
      </c>
      <c r="E775" t="s">
        <v>14</v>
      </c>
      <c r="F775" t="s">
        <v>15</v>
      </c>
      <c r="G775">
        <v>19</v>
      </c>
      <c r="H775">
        <v>12500</v>
      </c>
      <c r="I775">
        <v>8700</v>
      </c>
      <c r="J775" t="s">
        <v>29</v>
      </c>
      <c r="K775" t="s">
        <v>46</v>
      </c>
      <c r="L775">
        <f>SUM(Clean_Data[[#This Row],[Units_Sold]]*Clean_Data[[#This Row],[Unit_Price]])</f>
        <v>237500</v>
      </c>
      <c r="M775">
        <f>Clean_Data[[#This Row],[Units_Sold]]*Clean_Data[[#This Row],[Cost_Price]]</f>
        <v>165300</v>
      </c>
      <c r="N775">
        <f>Clean_Data[[#This Row],[Total_Sales]]-Clean_Data[[#This Row],[Total_Cost]]</f>
        <v>72200</v>
      </c>
      <c r="O775" s="2">
        <f>Clean_Data[[#This Row],[Profit]]/Clean_Data[[#This Row],[Total_Sales]]</f>
        <v>0.30399999999999999</v>
      </c>
      <c r="P775" t="str">
        <f>_xlfn.XLOOKUP(Clean_Data[[#This Row],[Product_Code]],Product_Catalog!A:A,Product_Catalog!C:C)</f>
        <v>Accessories</v>
      </c>
      <c r="Q775">
        <f>IF(Clean_Data[[#This Row],[Order_Date]]="","",YEAR(Clean_Data[[#This Row],[Order_Date]]))</f>
        <v>2025</v>
      </c>
      <c r="R775" t="str">
        <f>TEXT(Clean_Data[[#This Row],[Order_Date]],"mmm")</f>
        <v>Jan</v>
      </c>
      <c r="S775" t="str">
        <f>TEXT(Clean_Data[[#This Row],[Order_Date]],"mmm-yy")</f>
        <v>Jan-25</v>
      </c>
      <c r="V775"/>
    </row>
    <row r="776" spans="1:22" x14ac:dyDescent="0.25">
      <c r="A776" t="s">
        <v>847</v>
      </c>
      <c r="B776" s="1">
        <v>46091</v>
      </c>
      <c r="C776" t="s">
        <v>44</v>
      </c>
      <c r="D776" t="s">
        <v>26</v>
      </c>
      <c r="E776" t="s">
        <v>41</v>
      </c>
      <c r="F776" t="s">
        <v>42</v>
      </c>
      <c r="G776">
        <v>5</v>
      </c>
      <c r="H776">
        <v>28000</v>
      </c>
      <c r="I776">
        <v>18232</v>
      </c>
      <c r="J776" t="s">
        <v>22</v>
      </c>
      <c r="K776" t="s">
        <v>17</v>
      </c>
      <c r="L776">
        <f>SUM(Clean_Data[[#This Row],[Units_Sold]]*Clean_Data[[#This Row],[Unit_Price]])</f>
        <v>140000</v>
      </c>
      <c r="M776">
        <f>Clean_Data[[#This Row],[Units_Sold]]*Clean_Data[[#This Row],[Cost_Price]]</f>
        <v>91160</v>
      </c>
      <c r="N776">
        <f>Clean_Data[[#This Row],[Total_Sales]]-Clean_Data[[#This Row],[Total_Cost]]</f>
        <v>48840</v>
      </c>
      <c r="O776" s="2">
        <f>Clean_Data[[#This Row],[Profit]]/Clean_Data[[#This Row],[Total_Sales]]</f>
        <v>0.34885714285714287</v>
      </c>
      <c r="P776" t="str">
        <f>_xlfn.XLOOKUP(Clean_Data[[#This Row],[Product_Code]],Product_Catalog!A:A,Product_Catalog!C:C)</f>
        <v>Electronics</v>
      </c>
      <c r="Q776">
        <f>IF(Clean_Data[[#This Row],[Order_Date]]="","",YEAR(Clean_Data[[#This Row],[Order_Date]]))</f>
        <v>2026</v>
      </c>
      <c r="R776" t="str">
        <f>TEXT(Clean_Data[[#This Row],[Order_Date]],"mmm")</f>
        <v>Mar</v>
      </c>
      <c r="S776" t="str">
        <f>TEXT(Clean_Data[[#This Row],[Order_Date]],"mmm-yy")</f>
        <v>Mar-26</v>
      </c>
      <c r="V776"/>
    </row>
    <row r="777" spans="1:22" x14ac:dyDescent="0.25">
      <c r="A777" t="s">
        <v>848</v>
      </c>
      <c r="B777" s="1">
        <v>45808</v>
      </c>
      <c r="C777" t="s">
        <v>48</v>
      </c>
      <c r="D777" t="s">
        <v>33</v>
      </c>
      <c r="E777" t="s">
        <v>41</v>
      </c>
      <c r="F777" t="s">
        <v>42</v>
      </c>
      <c r="G777">
        <v>18</v>
      </c>
      <c r="H777">
        <v>28000</v>
      </c>
      <c r="I777">
        <v>17004</v>
      </c>
      <c r="J777" t="s">
        <v>29</v>
      </c>
      <c r="K777" t="s">
        <v>17</v>
      </c>
      <c r="L777">
        <f>SUM(Clean_Data[[#This Row],[Units_Sold]]*Clean_Data[[#This Row],[Unit_Price]])</f>
        <v>504000</v>
      </c>
      <c r="M777">
        <f>Clean_Data[[#This Row],[Units_Sold]]*Clean_Data[[#This Row],[Cost_Price]]</f>
        <v>306072</v>
      </c>
      <c r="N777">
        <f>Clean_Data[[#This Row],[Total_Sales]]-Clean_Data[[#This Row],[Total_Cost]]</f>
        <v>197928</v>
      </c>
      <c r="O777" s="2">
        <f>Clean_Data[[#This Row],[Profit]]/Clean_Data[[#This Row],[Total_Sales]]</f>
        <v>0.39271428571428574</v>
      </c>
      <c r="P777" t="str">
        <f>_xlfn.XLOOKUP(Clean_Data[[#This Row],[Product_Code]],Product_Catalog!A:A,Product_Catalog!C:C)</f>
        <v>Electronics</v>
      </c>
      <c r="Q777">
        <f>IF(Clean_Data[[#This Row],[Order_Date]]="","",YEAR(Clean_Data[[#This Row],[Order_Date]]))</f>
        <v>2025</v>
      </c>
      <c r="R777" t="str">
        <f>TEXT(Clean_Data[[#This Row],[Order_Date]],"mmm")</f>
        <v>May</v>
      </c>
      <c r="S777" t="str">
        <f>TEXT(Clean_Data[[#This Row],[Order_Date]],"mmm-yy")</f>
        <v>May-25</v>
      </c>
      <c r="V777"/>
    </row>
    <row r="778" spans="1:22" x14ac:dyDescent="0.25">
      <c r="A778" t="s">
        <v>849</v>
      </c>
      <c r="B778" s="1">
        <v>45792</v>
      </c>
      <c r="C778" t="s">
        <v>53</v>
      </c>
      <c r="D778" t="s">
        <v>40</v>
      </c>
      <c r="E778" t="s">
        <v>55</v>
      </c>
      <c r="F778" t="s">
        <v>34</v>
      </c>
      <c r="G778">
        <v>11</v>
      </c>
      <c r="H778">
        <v>35000</v>
      </c>
      <c r="I778">
        <v>25982</v>
      </c>
      <c r="J778" t="s">
        <v>29</v>
      </c>
      <c r="K778" t="s">
        <v>23</v>
      </c>
      <c r="L778">
        <f>SUM(Clean_Data[[#This Row],[Units_Sold]]*Clean_Data[[#This Row],[Unit_Price]])</f>
        <v>385000</v>
      </c>
      <c r="M778">
        <f>Clean_Data[[#This Row],[Units_Sold]]*Clean_Data[[#This Row],[Cost_Price]]</f>
        <v>285802</v>
      </c>
      <c r="N778">
        <f>Clean_Data[[#This Row],[Total_Sales]]-Clean_Data[[#This Row],[Total_Cost]]</f>
        <v>99198</v>
      </c>
      <c r="O778" s="2">
        <f>Clean_Data[[#This Row],[Profit]]/Clean_Data[[#This Row],[Total_Sales]]</f>
        <v>0.25765714285714286</v>
      </c>
      <c r="P778" t="str">
        <f>_xlfn.XLOOKUP(Clean_Data[[#This Row],[Product_Code]],Product_Catalog!A:A,Product_Catalog!C:C)</f>
        <v>Furniture</v>
      </c>
      <c r="Q778">
        <f>IF(Clean_Data[[#This Row],[Order_Date]]="","",YEAR(Clean_Data[[#This Row],[Order_Date]]))</f>
        <v>2025</v>
      </c>
      <c r="R778" t="str">
        <f>TEXT(Clean_Data[[#This Row],[Order_Date]],"mmm")</f>
        <v>May</v>
      </c>
      <c r="S778" t="str">
        <f>TEXT(Clean_Data[[#This Row],[Order_Date]],"mmm-yy")</f>
        <v>May-25</v>
      </c>
      <c r="V778"/>
    </row>
    <row r="779" spans="1:22" x14ac:dyDescent="0.25">
      <c r="A779" t="s">
        <v>850</v>
      </c>
      <c r="B779" s="1">
        <v>45770</v>
      </c>
      <c r="C779" t="s">
        <v>25</v>
      </c>
      <c r="D779" t="s">
        <v>13</v>
      </c>
      <c r="E779" t="s">
        <v>37</v>
      </c>
      <c r="F779" t="s">
        <v>38</v>
      </c>
      <c r="G779">
        <v>17</v>
      </c>
      <c r="H779">
        <v>55000</v>
      </c>
      <c r="I779">
        <v>37053</v>
      </c>
      <c r="J779" t="s">
        <v>29</v>
      </c>
      <c r="K779" t="s">
        <v>17</v>
      </c>
      <c r="L779">
        <f>SUM(Clean_Data[[#This Row],[Units_Sold]]*Clean_Data[[#This Row],[Unit_Price]])</f>
        <v>935000</v>
      </c>
      <c r="M779">
        <f>Clean_Data[[#This Row],[Units_Sold]]*Clean_Data[[#This Row],[Cost_Price]]</f>
        <v>629901</v>
      </c>
      <c r="N779">
        <f>Clean_Data[[#This Row],[Total_Sales]]-Clean_Data[[#This Row],[Total_Cost]]</f>
        <v>305099</v>
      </c>
      <c r="O779" s="2">
        <f>Clean_Data[[#This Row],[Profit]]/Clean_Data[[#This Row],[Total_Sales]]</f>
        <v>0.32630909090909088</v>
      </c>
      <c r="P779" t="str">
        <f>_xlfn.XLOOKUP(Clean_Data[[#This Row],[Product_Code]],Product_Catalog!A:A,Product_Catalog!C:C)</f>
        <v>Electronics</v>
      </c>
      <c r="Q779">
        <f>IF(Clean_Data[[#This Row],[Order_Date]]="","",YEAR(Clean_Data[[#This Row],[Order_Date]]))</f>
        <v>2025</v>
      </c>
      <c r="R779" t="str">
        <f>TEXT(Clean_Data[[#This Row],[Order_Date]],"mmm")</f>
        <v>Apr</v>
      </c>
      <c r="S779" t="str">
        <f>TEXT(Clean_Data[[#This Row],[Order_Date]],"mmm-yy")</f>
        <v>Apr-25</v>
      </c>
      <c r="V779"/>
    </row>
    <row r="780" spans="1:22" x14ac:dyDescent="0.25">
      <c r="A780" t="s">
        <v>851</v>
      </c>
      <c r="B780" s="1">
        <v>45694</v>
      </c>
      <c r="C780" t="s">
        <v>12</v>
      </c>
      <c r="D780" t="s">
        <v>33</v>
      </c>
      <c r="E780" t="s">
        <v>66</v>
      </c>
      <c r="F780" t="s">
        <v>67</v>
      </c>
      <c r="G780">
        <v>1</v>
      </c>
      <c r="H780">
        <v>2500</v>
      </c>
      <c r="I780">
        <v>1590</v>
      </c>
      <c r="J780" t="s">
        <v>29</v>
      </c>
      <c r="K780" t="s">
        <v>84</v>
      </c>
      <c r="L780">
        <f>SUM(Clean_Data[[#This Row],[Units_Sold]]*Clean_Data[[#This Row],[Unit_Price]])</f>
        <v>2500</v>
      </c>
      <c r="M780">
        <f>Clean_Data[[#This Row],[Units_Sold]]*Clean_Data[[#This Row],[Cost_Price]]</f>
        <v>1590</v>
      </c>
      <c r="N780">
        <f>Clean_Data[[#This Row],[Total_Sales]]-Clean_Data[[#This Row],[Total_Cost]]</f>
        <v>910</v>
      </c>
      <c r="O780" s="2">
        <f>Clean_Data[[#This Row],[Profit]]/Clean_Data[[#This Row],[Total_Sales]]</f>
        <v>0.36399999999999999</v>
      </c>
      <c r="P780" t="str">
        <f>_xlfn.XLOOKUP(Clean_Data[[#This Row],[Product_Code]],Product_Catalog!A:A,Product_Catalog!C:C)</f>
        <v>Electronics</v>
      </c>
      <c r="Q780">
        <f>IF(Clean_Data[[#This Row],[Order_Date]]="","",YEAR(Clean_Data[[#This Row],[Order_Date]]))</f>
        <v>2025</v>
      </c>
      <c r="R780" t="str">
        <f>TEXT(Clean_Data[[#This Row],[Order_Date]],"mmm")</f>
        <v>Feb</v>
      </c>
      <c r="S780" t="str">
        <f>TEXT(Clean_Data[[#This Row],[Order_Date]],"mmm-yy")</f>
        <v>Feb-25</v>
      </c>
      <c r="V780"/>
    </row>
    <row r="781" spans="1:22" x14ac:dyDescent="0.25">
      <c r="A781" t="s">
        <v>852</v>
      </c>
      <c r="B781" s="1">
        <v>45860</v>
      </c>
      <c r="C781" t="s">
        <v>44</v>
      </c>
      <c r="D781" t="s">
        <v>40</v>
      </c>
      <c r="E781" t="s">
        <v>20</v>
      </c>
      <c r="F781" t="s">
        <v>21</v>
      </c>
      <c r="G781">
        <v>12</v>
      </c>
      <c r="H781">
        <v>8500</v>
      </c>
      <c r="I781">
        <v>5556</v>
      </c>
      <c r="J781" t="s">
        <v>45</v>
      </c>
      <c r="K781" t="s">
        <v>17</v>
      </c>
      <c r="L781">
        <f>SUM(Clean_Data[[#This Row],[Units_Sold]]*Clean_Data[[#This Row],[Unit_Price]])</f>
        <v>102000</v>
      </c>
      <c r="M781">
        <f>Clean_Data[[#This Row],[Units_Sold]]*Clean_Data[[#This Row],[Cost_Price]]</f>
        <v>66672</v>
      </c>
      <c r="N781">
        <f>Clean_Data[[#This Row],[Total_Sales]]-Clean_Data[[#This Row],[Total_Cost]]</f>
        <v>35328</v>
      </c>
      <c r="O781" s="2">
        <f>Clean_Data[[#This Row],[Profit]]/Clean_Data[[#This Row],[Total_Sales]]</f>
        <v>0.34635294117647059</v>
      </c>
      <c r="P781" t="str">
        <f>_xlfn.XLOOKUP(Clean_Data[[#This Row],[Product_Code]],Product_Catalog!A:A,Product_Catalog!C:C)</f>
        <v>Accessories</v>
      </c>
      <c r="Q781">
        <f>IF(Clean_Data[[#This Row],[Order_Date]]="","",YEAR(Clean_Data[[#This Row],[Order_Date]]))</f>
        <v>2025</v>
      </c>
      <c r="R781" t="str">
        <f>TEXT(Clean_Data[[#This Row],[Order_Date]],"mmm")</f>
        <v>Jul</v>
      </c>
      <c r="S781" t="str">
        <f>TEXT(Clean_Data[[#This Row],[Order_Date]],"mmm-yy")</f>
        <v>Jul-25</v>
      </c>
      <c r="V781"/>
    </row>
    <row r="782" spans="1:22" x14ac:dyDescent="0.25">
      <c r="A782" t="s">
        <v>853</v>
      </c>
      <c r="B782" s="1">
        <v>45826</v>
      </c>
      <c r="C782" t="s">
        <v>12</v>
      </c>
      <c r="D782" t="s">
        <v>26</v>
      </c>
      <c r="E782" t="s">
        <v>37</v>
      </c>
      <c r="F782" t="s">
        <v>38</v>
      </c>
      <c r="G782">
        <v>2</v>
      </c>
      <c r="H782">
        <v>55000</v>
      </c>
      <c r="I782">
        <v>33952</v>
      </c>
      <c r="J782" t="s">
        <v>29</v>
      </c>
      <c r="K782" t="s">
        <v>17</v>
      </c>
      <c r="L782">
        <f>SUM(Clean_Data[[#This Row],[Units_Sold]]*Clean_Data[[#This Row],[Unit_Price]])</f>
        <v>110000</v>
      </c>
      <c r="M782">
        <f>Clean_Data[[#This Row],[Units_Sold]]*Clean_Data[[#This Row],[Cost_Price]]</f>
        <v>67904</v>
      </c>
      <c r="N782">
        <f>Clean_Data[[#This Row],[Total_Sales]]-Clean_Data[[#This Row],[Total_Cost]]</f>
        <v>42096</v>
      </c>
      <c r="O782" s="2">
        <f>Clean_Data[[#This Row],[Profit]]/Clean_Data[[#This Row],[Total_Sales]]</f>
        <v>0.38269090909090908</v>
      </c>
      <c r="P782" t="str">
        <f>_xlfn.XLOOKUP(Clean_Data[[#This Row],[Product_Code]],Product_Catalog!A:A,Product_Catalog!C:C)</f>
        <v>Electronics</v>
      </c>
      <c r="Q782">
        <f>IF(Clean_Data[[#This Row],[Order_Date]]="","",YEAR(Clean_Data[[#This Row],[Order_Date]]))</f>
        <v>2025</v>
      </c>
      <c r="R782" t="str">
        <f>TEXT(Clean_Data[[#This Row],[Order_Date]],"mmm")</f>
        <v>Jun</v>
      </c>
      <c r="S782" t="str">
        <f>TEXT(Clean_Data[[#This Row],[Order_Date]],"mmm-yy")</f>
        <v>Jun-25</v>
      </c>
      <c r="V782"/>
    </row>
    <row r="783" spans="1:22" x14ac:dyDescent="0.25">
      <c r="A783" t="s">
        <v>854</v>
      </c>
      <c r="B783" s="1">
        <v>45767</v>
      </c>
      <c r="C783" t="s">
        <v>12</v>
      </c>
      <c r="D783" t="s">
        <v>13</v>
      </c>
      <c r="E783" t="s">
        <v>66</v>
      </c>
      <c r="F783" t="s">
        <v>67</v>
      </c>
      <c r="G783">
        <v>5</v>
      </c>
      <c r="H783">
        <v>2500</v>
      </c>
      <c r="I783">
        <v>1581</v>
      </c>
      <c r="J783" t="s">
        <v>16</v>
      </c>
      <c r="K783" t="s">
        <v>17</v>
      </c>
      <c r="L783">
        <f>SUM(Clean_Data[[#This Row],[Units_Sold]]*Clean_Data[[#This Row],[Unit_Price]])</f>
        <v>12500</v>
      </c>
      <c r="M783">
        <f>Clean_Data[[#This Row],[Units_Sold]]*Clean_Data[[#This Row],[Cost_Price]]</f>
        <v>7905</v>
      </c>
      <c r="N783">
        <f>Clean_Data[[#This Row],[Total_Sales]]-Clean_Data[[#This Row],[Total_Cost]]</f>
        <v>4595</v>
      </c>
      <c r="O783" s="2">
        <f>Clean_Data[[#This Row],[Profit]]/Clean_Data[[#This Row],[Total_Sales]]</f>
        <v>0.36759999999999998</v>
      </c>
      <c r="P783" t="str">
        <f>_xlfn.XLOOKUP(Clean_Data[[#This Row],[Product_Code]],Product_Catalog!A:A,Product_Catalog!C:C)</f>
        <v>Electronics</v>
      </c>
      <c r="Q783">
        <f>IF(Clean_Data[[#This Row],[Order_Date]]="","",YEAR(Clean_Data[[#This Row],[Order_Date]]))</f>
        <v>2025</v>
      </c>
      <c r="R783" t="str">
        <f>TEXT(Clean_Data[[#This Row],[Order_Date]],"mmm")</f>
        <v>Apr</v>
      </c>
      <c r="S783" t="str">
        <f>TEXT(Clean_Data[[#This Row],[Order_Date]],"mmm-yy")</f>
        <v>Apr-25</v>
      </c>
      <c r="V783"/>
    </row>
    <row r="784" spans="1:22" x14ac:dyDescent="0.25">
      <c r="A784" t="s">
        <v>855</v>
      </c>
      <c r="B784" s="1">
        <v>45669</v>
      </c>
      <c r="C784" t="s">
        <v>53</v>
      </c>
      <c r="D784" t="s">
        <v>13</v>
      </c>
      <c r="E784" t="s">
        <v>66</v>
      </c>
      <c r="F784" t="s">
        <v>67</v>
      </c>
      <c r="G784">
        <v>2</v>
      </c>
      <c r="H784">
        <v>2500</v>
      </c>
      <c r="I784">
        <v>1957</v>
      </c>
      <c r="J784" t="s">
        <v>45</v>
      </c>
      <c r="K784" t="s">
        <v>23</v>
      </c>
      <c r="L784">
        <f>SUM(Clean_Data[[#This Row],[Units_Sold]]*Clean_Data[[#This Row],[Unit_Price]])</f>
        <v>5000</v>
      </c>
      <c r="M784">
        <f>Clean_Data[[#This Row],[Units_Sold]]*Clean_Data[[#This Row],[Cost_Price]]</f>
        <v>3914</v>
      </c>
      <c r="N784">
        <f>Clean_Data[[#This Row],[Total_Sales]]-Clean_Data[[#This Row],[Total_Cost]]</f>
        <v>1086</v>
      </c>
      <c r="O784" s="2">
        <f>Clean_Data[[#This Row],[Profit]]/Clean_Data[[#This Row],[Total_Sales]]</f>
        <v>0.2172</v>
      </c>
      <c r="P784" t="str">
        <f>_xlfn.XLOOKUP(Clean_Data[[#This Row],[Product_Code]],Product_Catalog!A:A,Product_Catalog!C:C)</f>
        <v>Electronics</v>
      </c>
      <c r="Q784">
        <f>IF(Clean_Data[[#This Row],[Order_Date]]="","",YEAR(Clean_Data[[#This Row],[Order_Date]]))</f>
        <v>2025</v>
      </c>
      <c r="R784" t="str">
        <f>TEXT(Clean_Data[[#This Row],[Order_Date]],"mmm")</f>
        <v>Jan</v>
      </c>
      <c r="S784" t="str">
        <f>TEXT(Clean_Data[[#This Row],[Order_Date]],"mmm-yy")</f>
        <v>Jan-25</v>
      </c>
      <c r="V784"/>
    </row>
    <row r="785" spans="1:22" x14ac:dyDescent="0.25">
      <c r="A785" t="s">
        <v>856</v>
      </c>
      <c r="B785" s="1">
        <v>45914</v>
      </c>
      <c r="C785" t="s">
        <v>73</v>
      </c>
      <c r="D785" t="s">
        <v>13</v>
      </c>
      <c r="E785" t="s">
        <v>66</v>
      </c>
      <c r="F785" t="s">
        <v>67</v>
      </c>
      <c r="G785">
        <v>17</v>
      </c>
      <c r="H785">
        <v>2500</v>
      </c>
      <c r="I785">
        <v>1745</v>
      </c>
      <c r="J785" t="s">
        <v>29</v>
      </c>
      <c r="K785" t="s">
        <v>17</v>
      </c>
      <c r="L785">
        <f>SUM(Clean_Data[[#This Row],[Units_Sold]]*Clean_Data[[#This Row],[Unit_Price]])</f>
        <v>42500</v>
      </c>
      <c r="M785">
        <f>Clean_Data[[#This Row],[Units_Sold]]*Clean_Data[[#This Row],[Cost_Price]]</f>
        <v>29665</v>
      </c>
      <c r="N785">
        <f>Clean_Data[[#This Row],[Total_Sales]]-Clean_Data[[#This Row],[Total_Cost]]</f>
        <v>12835</v>
      </c>
      <c r="O785" s="2">
        <f>Clean_Data[[#This Row],[Profit]]/Clean_Data[[#This Row],[Total_Sales]]</f>
        <v>0.30199999999999999</v>
      </c>
      <c r="P785" t="str">
        <f>_xlfn.XLOOKUP(Clean_Data[[#This Row],[Product_Code]],Product_Catalog!A:A,Product_Catalog!C:C)</f>
        <v>Electronics</v>
      </c>
      <c r="Q785">
        <f>IF(Clean_Data[[#This Row],[Order_Date]]="","",YEAR(Clean_Data[[#This Row],[Order_Date]]))</f>
        <v>2025</v>
      </c>
      <c r="R785" t="str">
        <f>TEXT(Clean_Data[[#This Row],[Order_Date]],"mmm")</f>
        <v>Sep</v>
      </c>
      <c r="S785" t="str">
        <f>TEXT(Clean_Data[[#This Row],[Order_Date]],"mmm-yy")</f>
        <v>Sep-25</v>
      </c>
      <c r="V785"/>
    </row>
    <row r="786" spans="1:22" x14ac:dyDescent="0.25">
      <c r="A786" t="s">
        <v>857</v>
      </c>
      <c r="B786" s="1">
        <v>46091</v>
      </c>
      <c r="C786" t="s">
        <v>62</v>
      </c>
      <c r="D786" t="s">
        <v>40</v>
      </c>
      <c r="E786" t="s">
        <v>20</v>
      </c>
      <c r="F786" t="s">
        <v>21</v>
      </c>
      <c r="G786">
        <v>6</v>
      </c>
      <c r="H786">
        <v>8500</v>
      </c>
      <c r="I786">
        <v>5363</v>
      </c>
      <c r="J786" t="s">
        <v>45</v>
      </c>
      <c r="K786" t="s">
        <v>23</v>
      </c>
      <c r="L786">
        <f>SUM(Clean_Data[[#This Row],[Units_Sold]]*Clean_Data[[#This Row],[Unit_Price]])</f>
        <v>51000</v>
      </c>
      <c r="M786">
        <f>Clean_Data[[#This Row],[Units_Sold]]*Clean_Data[[#This Row],[Cost_Price]]</f>
        <v>32178</v>
      </c>
      <c r="N786">
        <f>Clean_Data[[#This Row],[Total_Sales]]-Clean_Data[[#This Row],[Total_Cost]]</f>
        <v>18822</v>
      </c>
      <c r="O786" s="2">
        <f>Clean_Data[[#This Row],[Profit]]/Clean_Data[[#This Row],[Total_Sales]]</f>
        <v>0.36905882352941177</v>
      </c>
      <c r="P786" t="str">
        <f>_xlfn.XLOOKUP(Clean_Data[[#This Row],[Product_Code]],Product_Catalog!A:A,Product_Catalog!C:C)</f>
        <v>Accessories</v>
      </c>
      <c r="Q786">
        <f>IF(Clean_Data[[#This Row],[Order_Date]]="","",YEAR(Clean_Data[[#This Row],[Order_Date]]))</f>
        <v>2026</v>
      </c>
      <c r="R786" t="str">
        <f>TEXT(Clean_Data[[#This Row],[Order_Date]],"mmm")</f>
        <v>Mar</v>
      </c>
      <c r="S786" t="str">
        <f>TEXT(Clean_Data[[#This Row],[Order_Date]],"mmm-yy")</f>
        <v>Mar-26</v>
      </c>
      <c r="V786"/>
    </row>
    <row r="787" spans="1:22" x14ac:dyDescent="0.25">
      <c r="A787" t="s">
        <v>858</v>
      </c>
      <c r="B787" s="1">
        <v>46238</v>
      </c>
      <c r="C787" t="s">
        <v>44</v>
      </c>
      <c r="D787" t="s">
        <v>40</v>
      </c>
      <c r="E787" t="s">
        <v>66</v>
      </c>
      <c r="F787" t="s">
        <v>67</v>
      </c>
      <c r="G787">
        <v>12</v>
      </c>
      <c r="H787">
        <v>2500</v>
      </c>
      <c r="I787">
        <v>1662</v>
      </c>
      <c r="J787" t="s">
        <v>29</v>
      </c>
      <c r="K787" t="s">
        <v>23</v>
      </c>
      <c r="L787">
        <f>SUM(Clean_Data[[#This Row],[Units_Sold]]*Clean_Data[[#This Row],[Unit_Price]])</f>
        <v>30000</v>
      </c>
      <c r="M787">
        <f>Clean_Data[[#This Row],[Units_Sold]]*Clean_Data[[#This Row],[Cost_Price]]</f>
        <v>19944</v>
      </c>
      <c r="N787">
        <f>Clean_Data[[#This Row],[Total_Sales]]-Clean_Data[[#This Row],[Total_Cost]]</f>
        <v>10056</v>
      </c>
      <c r="O787" s="2">
        <f>Clean_Data[[#This Row],[Profit]]/Clean_Data[[#This Row],[Total_Sales]]</f>
        <v>0.3352</v>
      </c>
      <c r="P787" t="str">
        <f>_xlfn.XLOOKUP(Clean_Data[[#This Row],[Product_Code]],Product_Catalog!A:A,Product_Catalog!C:C)</f>
        <v>Electronics</v>
      </c>
      <c r="Q787">
        <f>IF(Clean_Data[[#This Row],[Order_Date]]="","",YEAR(Clean_Data[[#This Row],[Order_Date]]))</f>
        <v>2026</v>
      </c>
      <c r="R787" t="str">
        <f>TEXT(Clean_Data[[#This Row],[Order_Date]],"mmm")</f>
        <v>Aug</v>
      </c>
      <c r="S787" t="str">
        <f>TEXT(Clean_Data[[#This Row],[Order_Date]],"mmm-yy")</f>
        <v>Aug-26</v>
      </c>
      <c r="V787"/>
    </row>
    <row r="788" spans="1:22" x14ac:dyDescent="0.25">
      <c r="A788" t="s">
        <v>859</v>
      </c>
      <c r="B788" s="1">
        <v>45759</v>
      </c>
      <c r="C788" t="s">
        <v>73</v>
      </c>
      <c r="D788" t="s">
        <v>13</v>
      </c>
      <c r="E788" t="s">
        <v>37</v>
      </c>
      <c r="F788" t="s">
        <v>38</v>
      </c>
      <c r="G788">
        <v>14</v>
      </c>
      <c r="H788">
        <v>55000</v>
      </c>
      <c r="I788">
        <v>39414</v>
      </c>
      <c r="J788" t="s">
        <v>22</v>
      </c>
      <c r="K788" t="s">
        <v>17</v>
      </c>
      <c r="L788">
        <f>SUM(Clean_Data[[#This Row],[Units_Sold]]*Clean_Data[[#This Row],[Unit_Price]])</f>
        <v>770000</v>
      </c>
      <c r="M788">
        <f>Clean_Data[[#This Row],[Units_Sold]]*Clean_Data[[#This Row],[Cost_Price]]</f>
        <v>551796</v>
      </c>
      <c r="N788">
        <f>Clean_Data[[#This Row],[Total_Sales]]-Clean_Data[[#This Row],[Total_Cost]]</f>
        <v>218204</v>
      </c>
      <c r="O788" s="2">
        <f>Clean_Data[[#This Row],[Profit]]/Clean_Data[[#This Row],[Total_Sales]]</f>
        <v>0.28338181818181818</v>
      </c>
      <c r="P788" t="str">
        <f>_xlfn.XLOOKUP(Clean_Data[[#This Row],[Product_Code]],Product_Catalog!A:A,Product_Catalog!C:C)</f>
        <v>Electronics</v>
      </c>
      <c r="Q788">
        <f>IF(Clean_Data[[#This Row],[Order_Date]]="","",YEAR(Clean_Data[[#This Row],[Order_Date]]))</f>
        <v>2025</v>
      </c>
      <c r="R788" t="str">
        <f>TEXT(Clean_Data[[#This Row],[Order_Date]],"mmm")</f>
        <v>Apr</v>
      </c>
      <c r="S788" t="str">
        <f>TEXT(Clean_Data[[#This Row],[Order_Date]],"mmm-yy")</f>
        <v>Apr-25</v>
      </c>
      <c r="V788"/>
    </row>
    <row r="789" spans="1:22" x14ac:dyDescent="0.25">
      <c r="A789" t="s">
        <v>860</v>
      </c>
      <c r="B789" s="1">
        <v>46219</v>
      </c>
      <c r="C789" t="s">
        <v>44</v>
      </c>
      <c r="D789" t="s">
        <v>40</v>
      </c>
      <c r="E789" t="s">
        <v>41</v>
      </c>
      <c r="F789" t="s">
        <v>42</v>
      </c>
      <c r="G789">
        <v>18</v>
      </c>
      <c r="H789">
        <v>28000</v>
      </c>
      <c r="I789">
        <v>19919</v>
      </c>
      <c r="J789" t="s">
        <v>45</v>
      </c>
      <c r="K789" t="s">
        <v>23</v>
      </c>
      <c r="L789">
        <f>SUM(Clean_Data[[#This Row],[Units_Sold]]*Clean_Data[[#This Row],[Unit_Price]])</f>
        <v>504000</v>
      </c>
      <c r="M789">
        <f>Clean_Data[[#This Row],[Units_Sold]]*Clean_Data[[#This Row],[Cost_Price]]</f>
        <v>358542</v>
      </c>
      <c r="N789">
        <f>Clean_Data[[#This Row],[Total_Sales]]-Clean_Data[[#This Row],[Total_Cost]]</f>
        <v>145458</v>
      </c>
      <c r="O789" s="2">
        <f>Clean_Data[[#This Row],[Profit]]/Clean_Data[[#This Row],[Total_Sales]]</f>
        <v>0.28860714285714284</v>
      </c>
      <c r="P789" t="str">
        <f>_xlfn.XLOOKUP(Clean_Data[[#This Row],[Product_Code]],Product_Catalog!A:A,Product_Catalog!C:C)</f>
        <v>Electronics</v>
      </c>
      <c r="Q789">
        <f>IF(Clean_Data[[#This Row],[Order_Date]]="","",YEAR(Clean_Data[[#This Row],[Order_Date]]))</f>
        <v>2026</v>
      </c>
      <c r="R789" t="str">
        <f>TEXT(Clean_Data[[#This Row],[Order_Date]],"mmm")</f>
        <v>Jul</v>
      </c>
      <c r="S789" t="str">
        <f>TEXT(Clean_Data[[#This Row],[Order_Date]],"mmm-yy")</f>
        <v>Jul-26</v>
      </c>
      <c r="V789"/>
    </row>
    <row r="790" spans="1:22" x14ac:dyDescent="0.25">
      <c r="A790" t="s">
        <v>861</v>
      </c>
      <c r="B790" s="1">
        <v>45741</v>
      </c>
      <c r="C790" t="s">
        <v>25</v>
      </c>
      <c r="D790" t="s">
        <v>26</v>
      </c>
      <c r="E790" t="s">
        <v>66</v>
      </c>
      <c r="F790" t="s">
        <v>67</v>
      </c>
      <c r="G790">
        <v>5</v>
      </c>
      <c r="H790">
        <v>2500</v>
      </c>
      <c r="I790">
        <v>1787</v>
      </c>
      <c r="J790" t="s">
        <v>29</v>
      </c>
      <c r="K790" t="s">
        <v>23</v>
      </c>
      <c r="L790">
        <f>SUM(Clean_Data[[#This Row],[Units_Sold]]*Clean_Data[[#This Row],[Unit_Price]])</f>
        <v>12500</v>
      </c>
      <c r="M790">
        <f>Clean_Data[[#This Row],[Units_Sold]]*Clean_Data[[#This Row],[Cost_Price]]</f>
        <v>8935</v>
      </c>
      <c r="N790">
        <f>Clean_Data[[#This Row],[Total_Sales]]-Clean_Data[[#This Row],[Total_Cost]]</f>
        <v>3565</v>
      </c>
      <c r="O790" s="2">
        <f>Clean_Data[[#This Row],[Profit]]/Clean_Data[[#This Row],[Total_Sales]]</f>
        <v>0.28520000000000001</v>
      </c>
      <c r="P790" t="str">
        <f>_xlfn.XLOOKUP(Clean_Data[[#This Row],[Product_Code]],Product_Catalog!A:A,Product_Catalog!C:C)</f>
        <v>Electronics</v>
      </c>
      <c r="Q790">
        <f>IF(Clean_Data[[#This Row],[Order_Date]]="","",YEAR(Clean_Data[[#This Row],[Order_Date]]))</f>
        <v>2025</v>
      </c>
      <c r="R790" t="str">
        <f>TEXT(Clean_Data[[#This Row],[Order_Date]],"mmm")</f>
        <v>Mar</v>
      </c>
      <c r="S790" t="str">
        <f>TEXT(Clean_Data[[#This Row],[Order_Date]],"mmm-yy")</f>
        <v>Mar-25</v>
      </c>
      <c r="V790"/>
    </row>
    <row r="791" spans="1:22" x14ac:dyDescent="0.25">
      <c r="A791" t="s">
        <v>862</v>
      </c>
      <c r="B791" s="1">
        <v>46071</v>
      </c>
      <c r="C791" t="s">
        <v>25</v>
      </c>
      <c r="D791" t="s">
        <v>13</v>
      </c>
      <c r="E791" t="s">
        <v>63</v>
      </c>
      <c r="F791" t="s">
        <v>59</v>
      </c>
      <c r="G791">
        <v>9</v>
      </c>
      <c r="H791">
        <v>4500</v>
      </c>
      <c r="I791">
        <v>2850</v>
      </c>
      <c r="J791" t="s">
        <v>22</v>
      </c>
      <c r="K791" t="s">
        <v>17</v>
      </c>
      <c r="L791">
        <f>SUM(Clean_Data[[#This Row],[Units_Sold]]*Clean_Data[[#This Row],[Unit_Price]])</f>
        <v>40500</v>
      </c>
      <c r="M791">
        <f>Clean_Data[[#This Row],[Units_Sold]]*Clean_Data[[#This Row],[Cost_Price]]</f>
        <v>25650</v>
      </c>
      <c r="N791">
        <f>Clean_Data[[#This Row],[Total_Sales]]-Clean_Data[[#This Row],[Total_Cost]]</f>
        <v>14850</v>
      </c>
      <c r="O791" s="2">
        <f>Clean_Data[[#This Row],[Profit]]/Clean_Data[[#This Row],[Total_Sales]]</f>
        <v>0.36666666666666664</v>
      </c>
      <c r="P791" t="str">
        <f>_xlfn.XLOOKUP(Clean_Data[[#This Row],[Product_Code]],Product_Catalog!A:A,Product_Catalog!C:C)</f>
        <v>Electronics</v>
      </c>
      <c r="Q791">
        <f>IF(Clean_Data[[#This Row],[Order_Date]]="","",YEAR(Clean_Data[[#This Row],[Order_Date]]))</f>
        <v>2026</v>
      </c>
      <c r="R791" t="str">
        <f>TEXT(Clean_Data[[#This Row],[Order_Date]],"mmm")</f>
        <v>Feb</v>
      </c>
      <c r="S791" t="str">
        <f>TEXT(Clean_Data[[#This Row],[Order_Date]],"mmm-yy")</f>
        <v>Feb-26</v>
      </c>
      <c r="V791"/>
    </row>
    <row r="792" spans="1:22" x14ac:dyDescent="0.25">
      <c r="A792" t="s">
        <v>863</v>
      </c>
      <c r="B792" s="1">
        <v>45691</v>
      </c>
      <c r="C792" t="s">
        <v>12</v>
      </c>
      <c r="D792" t="s">
        <v>36</v>
      </c>
      <c r="E792" t="s">
        <v>20</v>
      </c>
      <c r="F792" t="s">
        <v>21</v>
      </c>
      <c r="G792">
        <v>4</v>
      </c>
      <c r="H792">
        <v>8500</v>
      </c>
      <c r="I792">
        <v>6049</v>
      </c>
      <c r="J792" t="s">
        <v>22</v>
      </c>
      <c r="K792" t="s">
        <v>17</v>
      </c>
      <c r="L792">
        <f>SUM(Clean_Data[[#This Row],[Units_Sold]]*Clean_Data[[#This Row],[Unit_Price]])</f>
        <v>34000</v>
      </c>
      <c r="M792">
        <f>Clean_Data[[#This Row],[Units_Sold]]*Clean_Data[[#This Row],[Cost_Price]]</f>
        <v>24196</v>
      </c>
      <c r="N792">
        <f>Clean_Data[[#This Row],[Total_Sales]]-Clean_Data[[#This Row],[Total_Cost]]</f>
        <v>9804</v>
      </c>
      <c r="O792" s="2">
        <f>Clean_Data[[#This Row],[Profit]]/Clean_Data[[#This Row],[Total_Sales]]</f>
        <v>0.28835294117647059</v>
      </c>
      <c r="P792" t="str">
        <f>_xlfn.XLOOKUP(Clean_Data[[#This Row],[Product_Code]],Product_Catalog!A:A,Product_Catalog!C:C)</f>
        <v>Accessories</v>
      </c>
      <c r="Q792">
        <f>IF(Clean_Data[[#This Row],[Order_Date]]="","",YEAR(Clean_Data[[#This Row],[Order_Date]]))</f>
        <v>2025</v>
      </c>
      <c r="R792" t="str">
        <f>TEXT(Clean_Data[[#This Row],[Order_Date]],"mmm")</f>
        <v>Feb</v>
      </c>
      <c r="S792" t="str">
        <f>TEXT(Clean_Data[[#This Row],[Order_Date]],"mmm-yy")</f>
        <v>Feb-25</v>
      </c>
      <c r="V792"/>
    </row>
    <row r="793" spans="1:22" x14ac:dyDescent="0.25">
      <c r="A793" t="s">
        <v>864</v>
      </c>
      <c r="B793" s="1">
        <v>46142</v>
      </c>
      <c r="C793" t="s">
        <v>44</v>
      </c>
      <c r="D793" t="s">
        <v>36</v>
      </c>
      <c r="E793" t="s">
        <v>63</v>
      </c>
      <c r="F793" t="s">
        <v>59</v>
      </c>
      <c r="G793">
        <v>17</v>
      </c>
      <c r="H793">
        <v>4500</v>
      </c>
      <c r="I793">
        <v>2867</v>
      </c>
      <c r="J793" t="s">
        <v>45</v>
      </c>
      <c r="K793" t="s">
        <v>23</v>
      </c>
      <c r="L793">
        <f>SUM(Clean_Data[[#This Row],[Units_Sold]]*Clean_Data[[#This Row],[Unit_Price]])</f>
        <v>76500</v>
      </c>
      <c r="M793">
        <f>Clean_Data[[#This Row],[Units_Sold]]*Clean_Data[[#This Row],[Cost_Price]]</f>
        <v>48739</v>
      </c>
      <c r="N793">
        <f>Clean_Data[[#This Row],[Total_Sales]]-Clean_Data[[#This Row],[Total_Cost]]</f>
        <v>27761</v>
      </c>
      <c r="O793" s="2">
        <f>Clean_Data[[#This Row],[Profit]]/Clean_Data[[#This Row],[Total_Sales]]</f>
        <v>0.36288888888888887</v>
      </c>
      <c r="P793" t="str">
        <f>_xlfn.XLOOKUP(Clean_Data[[#This Row],[Product_Code]],Product_Catalog!A:A,Product_Catalog!C:C)</f>
        <v>Electronics</v>
      </c>
      <c r="Q793">
        <f>IF(Clean_Data[[#This Row],[Order_Date]]="","",YEAR(Clean_Data[[#This Row],[Order_Date]]))</f>
        <v>2026</v>
      </c>
      <c r="R793" t="str">
        <f>TEXT(Clean_Data[[#This Row],[Order_Date]],"mmm")</f>
        <v>Apr</v>
      </c>
      <c r="S793" t="str">
        <f>TEXT(Clean_Data[[#This Row],[Order_Date]],"mmm-yy")</f>
        <v>Apr-26</v>
      </c>
      <c r="V793"/>
    </row>
    <row r="794" spans="1:22" x14ac:dyDescent="0.25">
      <c r="A794" t="s">
        <v>865</v>
      </c>
      <c r="B794" s="1">
        <v>46032</v>
      </c>
      <c r="C794" t="s">
        <v>48</v>
      </c>
      <c r="D794" t="s">
        <v>33</v>
      </c>
      <c r="E794" t="s">
        <v>41</v>
      </c>
      <c r="F794" t="s">
        <v>42</v>
      </c>
      <c r="G794">
        <v>11</v>
      </c>
      <c r="H794">
        <v>28000</v>
      </c>
      <c r="I794">
        <v>18823</v>
      </c>
      <c r="J794" t="s">
        <v>29</v>
      </c>
      <c r="K794" t="s">
        <v>46</v>
      </c>
      <c r="L794">
        <f>SUM(Clean_Data[[#This Row],[Units_Sold]]*Clean_Data[[#This Row],[Unit_Price]])</f>
        <v>308000</v>
      </c>
      <c r="M794">
        <f>Clean_Data[[#This Row],[Units_Sold]]*Clean_Data[[#This Row],[Cost_Price]]</f>
        <v>207053</v>
      </c>
      <c r="N794">
        <f>Clean_Data[[#This Row],[Total_Sales]]-Clean_Data[[#This Row],[Total_Cost]]</f>
        <v>100947</v>
      </c>
      <c r="O794" s="2">
        <f>Clean_Data[[#This Row],[Profit]]/Clean_Data[[#This Row],[Total_Sales]]</f>
        <v>0.32774999999999999</v>
      </c>
      <c r="P794" t="str">
        <f>_xlfn.XLOOKUP(Clean_Data[[#This Row],[Product_Code]],Product_Catalog!A:A,Product_Catalog!C:C)</f>
        <v>Electronics</v>
      </c>
      <c r="Q794">
        <f>IF(Clean_Data[[#This Row],[Order_Date]]="","",YEAR(Clean_Data[[#This Row],[Order_Date]]))</f>
        <v>2026</v>
      </c>
      <c r="R794" t="str">
        <f>TEXT(Clean_Data[[#This Row],[Order_Date]],"mmm")</f>
        <v>Jan</v>
      </c>
      <c r="S794" t="str">
        <f>TEXT(Clean_Data[[#This Row],[Order_Date]],"mmm-yy")</f>
        <v>Jan-26</v>
      </c>
      <c r="V794"/>
    </row>
    <row r="795" spans="1:22" x14ac:dyDescent="0.25">
      <c r="A795" t="s">
        <v>866</v>
      </c>
      <c r="B795" s="1">
        <v>46214</v>
      </c>
      <c r="C795" t="s">
        <v>53</v>
      </c>
      <c r="D795" t="s">
        <v>36</v>
      </c>
      <c r="E795" t="s">
        <v>55</v>
      </c>
      <c r="F795" t="s">
        <v>34</v>
      </c>
      <c r="G795">
        <v>14</v>
      </c>
      <c r="H795">
        <v>35000</v>
      </c>
      <c r="I795">
        <v>24318</v>
      </c>
      <c r="J795" t="s">
        <v>45</v>
      </c>
      <c r="K795" t="s">
        <v>23</v>
      </c>
      <c r="L795">
        <f>SUM(Clean_Data[[#This Row],[Units_Sold]]*Clean_Data[[#This Row],[Unit_Price]])</f>
        <v>490000</v>
      </c>
      <c r="M795">
        <f>Clean_Data[[#This Row],[Units_Sold]]*Clean_Data[[#This Row],[Cost_Price]]</f>
        <v>340452</v>
      </c>
      <c r="N795">
        <f>Clean_Data[[#This Row],[Total_Sales]]-Clean_Data[[#This Row],[Total_Cost]]</f>
        <v>149548</v>
      </c>
      <c r="O795" s="2">
        <f>Clean_Data[[#This Row],[Profit]]/Clean_Data[[#This Row],[Total_Sales]]</f>
        <v>0.30520000000000003</v>
      </c>
      <c r="P795" t="str">
        <f>_xlfn.XLOOKUP(Clean_Data[[#This Row],[Product_Code]],Product_Catalog!A:A,Product_Catalog!C:C)</f>
        <v>Furniture</v>
      </c>
      <c r="Q795">
        <f>IF(Clean_Data[[#This Row],[Order_Date]]="","",YEAR(Clean_Data[[#This Row],[Order_Date]]))</f>
        <v>2026</v>
      </c>
      <c r="R795" t="str">
        <f>TEXT(Clean_Data[[#This Row],[Order_Date]],"mmm")</f>
        <v>Jul</v>
      </c>
      <c r="S795" t="str">
        <f>TEXT(Clean_Data[[#This Row],[Order_Date]],"mmm-yy")</f>
        <v>Jul-26</v>
      </c>
      <c r="V795"/>
    </row>
    <row r="796" spans="1:22" x14ac:dyDescent="0.25">
      <c r="A796" t="s">
        <v>867</v>
      </c>
      <c r="B796" s="1">
        <v>45675</v>
      </c>
      <c r="C796" t="s">
        <v>31</v>
      </c>
      <c r="D796" t="s">
        <v>33</v>
      </c>
      <c r="E796" t="s">
        <v>27</v>
      </c>
      <c r="F796" t="s">
        <v>28</v>
      </c>
      <c r="G796">
        <v>10</v>
      </c>
      <c r="H796">
        <v>14000</v>
      </c>
      <c r="I796">
        <v>9760</v>
      </c>
      <c r="J796" t="s">
        <v>29</v>
      </c>
      <c r="K796" t="s">
        <v>17</v>
      </c>
      <c r="L796">
        <f>SUM(Clean_Data[[#This Row],[Units_Sold]]*Clean_Data[[#This Row],[Unit_Price]])</f>
        <v>140000</v>
      </c>
      <c r="M796">
        <f>Clean_Data[[#This Row],[Units_Sold]]*Clean_Data[[#This Row],[Cost_Price]]</f>
        <v>97600</v>
      </c>
      <c r="N796">
        <f>Clean_Data[[#This Row],[Total_Sales]]-Clean_Data[[#This Row],[Total_Cost]]</f>
        <v>42400</v>
      </c>
      <c r="O796" s="2">
        <f>Clean_Data[[#This Row],[Profit]]/Clean_Data[[#This Row],[Total_Sales]]</f>
        <v>0.30285714285714288</v>
      </c>
      <c r="P796" t="str">
        <f>_xlfn.XLOOKUP(Clean_Data[[#This Row],[Product_Code]],Product_Catalog!A:A,Product_Catalog!C:C)</f>
        <v>Furniture</v>
      </c>
      <c r="Q796">
        <f>IF(Clean_Data[[#This Row],[Order_Date]]="","",YEAR(Clean_Data[[#This Row],[Order_Date]]))</f>
        <v>2025</v>
      </c>
      <c r="R796" t="str">
        <f>TEXT(Clean_Data[[#This Row],[Order_Date]],"mmm")</f>
        <v>Jan</v>
      </c>
      <c r="S796" t="str">
        <f>TEXT(Clean_Data[[#This Row],[Order_Date]],"mmm-yy")</f>
        <v>Jan-25</v>
      </c>
      <c r="V796"/>
    </row>
    <row r="797" spans="1:22" x14ac:dyDescent="0.25">
      <c r="A797" t="s">
        <v>868</v>
      </c>
      <c r="B797" s="1">
        <v>45925</v>
      </c>
      <c r="C797" t="s">
        <v>62</v>
      </c>
      <c r="D797" t="s">
        <v>33</v>
      </c>
      <c r="E797" t="s">
        <v>49</v>
      </c>
      <c r="F797" t="s">
        <v>50</v>
      </c>
      <c r="G797">
        <v>16</v>
      </c>
      <c r="H797">
        <v>75000</v>
      </c>
      <c r="I797">
        <v>51910</v>
      </c>
      <c r="J797" t="s">
        <v>22</v>
      </c>
      <c r="K797" t="s">
        <v>17</v>
      </c>
      <c r="L797">
        <f>SUM(Clean_Data[[#This Row],[Units_Sold]]*Clean_Data[[#This Row],[Unit_Price]])</f>
        <v>1200000</v>
      </c>
      <c r="M797">
        <f>Clean_Data[[#This Row],[Units_Sold]]*Clean_Data[[#This Row],[Cost_Price]]</f>
        <v>830560</v>
      </c>
      <c r="N797">
        <f>Clean_Data[[#This Row],[Total_Sales]]-Clean_Data[[#This Row],[Total_Cost]]</f>
        <v>369440</v>
      </c>
      <c r="O797" s="2">
        <f>Clean_Data[[#This Row],[Profit]]/Clean_Data[[#This Row],[Total_Sales]]</f>
        <v>0.30786666666666668</v>
      </c>
      <c r="P797" t="str">
        <f>_xlfn.XLOOKUP(Clean_Data[[#This Row],[Product_Code]],Product_Catalog!A:A,Product_Catalog!C:C)</f>
        <v>Electronics</v>
      </c>
      <c r="Q797">
        <f>IF(Clean_Data[[#This Row],[Order_Date]]="","",YEAR(Clean_Data[[#This Row],[Order_Date]]))</f>
        <v>2025</v>
      </c>
      <c r="R797" t="str">
        <f>TEXT(Clean_Data[[#This Row],[Order_Date]],"mmm")</f>
        <v>Sep</v>
      </c>
      <c r="S797" t="str">
        <f>TEXT(Clean_Data[[#This Row],[Order_Date]],"mmm-yy")</f>
        <v>Sep-25</v>
      </c>
      <c r="V797"/>
    </row>
    <row r="798" spans="1:22" x14ac:dyDescent="0.25">
      <c r="A798" t="s">
        <v>869</v>
      </c>
      <c r="B798" s="1">
        <v>45906</v>
      </c>
      <c r="C798" t="s">
        <v>62</v>
      </c>
      <c r="D798" t="s">
        <v>13</v>
      </c>
      <c r="E798" t="s">
        <v>20</v>
      </c>
      <c r="F798" t="s">
        <v>21</v>
      </c>
      <c r="G798">
        <v>13</v>
      </c>
      <c r="H798">
        <v>8500</v>
      </c>
      <c r="I798">
        <v>5830</v>
      </c>
      <c r="J798" t="s">
        <v>22</v>
      </c>
      <c r="K798" t="s">
        <v>23</v>
      </c>
      <c r="L798">
        <f>SUM(Clean_Data[[#This Row],[Units_Sold]]*Clean_Data[[#This Row],[Unit_Price]])</f>
        <v>110500</v>
      </c>
      <c r="M798">
        <f>Clean_Data[[#This Row],[Units_Sold]]*Clean_Data[[#This Row],[Cost_Price]]</f>
        <v>75790</v>
      </c>
      <c r="N798">
        <f>Clean_Data[[#This Row],[Total_Sales]]-Clean_Data[[#This Row],[Total_Cost]]</f>
        <v>34710</v>
      </c>
      <c r="O798" s="2">
        <f>Clean_Data[[#This Row],[Profit]]/Clean_Data[[#This Row],[Total_Sales]]</f>
        <v>0.31411764705882356</v>
      </c>
      <c r="P798" t="str">
        <f>_xlfn.XLOOKUP(Clean_Data[[#This Row],[Product_Code]],Product_Catalog!A:A,Product_Catalog!C:C)</f>
        <v>Accessories</v>
      </c>
      <c r="Q798">
        <f>IF(Clean_Data[[#This Row],[Order_Date]]="","",YEAR(Clean_Data[[#This Row],[Order_Date]]))</f>
        <v>2025</v>
      </c>
      <c r="R798" t="str">
        <f>TEXT(Clean_Data[[#This Row],[Order_Date]],"mmm")</f>
        <v>Sep</v>
      </c>
      <c r="S798" t="str">
        <f>TEXT(Clean_Data[[#This Row],[Order_Date]],"mmm-yy")</f>
        <v>Sep-25</v>
      </c>
      <c r="V798"/>
    </row>
    <row r="799" spans="1:22" x14ac:dyDescent="0.25">
      <c r="A799" t="s">
        <v>870</v>
      </c>
      <c r="B799" s="1">
        <v>45754</v>
      </c>
      <c r="C799" t="s">
        <v>25</v>
      </c>
      <c r="D799" t="s">
        <v>40</v>
      </c>
      <c r="E799" t="s">
        <v>66</v>
      </c>
      <c r="F799" t="s">
        <v>67</v>
      </c>
      <c r="G799">
        <v>18</v>
      </c>
      <c r="H799">
        <v>2500</v>
      </c>
      <c r="I799">
        <v>1942</v>
      </c>
      <c r="J799" t="s">
        <v>22</v>
      </c>
      <c r="K799" t="s">
        <v>23</v>
      </c>
      <c r="L799">
        <f>SUM(Clean_Data[[#This Row],[Units_Sold]]*Clean_Data[[#This Row],[Unit_Price]])</f>
        <v>45000</v>
      </c>
      <c r="M799">
        <f>Clean_Data[[#This Row],[Units_Sold]]*Clean_Data[[#This Row],[Cost_Price]]</f>
        <v>34956</v>
      </c>
      <c r="N799">
        <f>Clean_Data[[#This Row],[Total_Sales]]-Clean_Data[[#This Row],[Total_Cost]]</f>
        <v>10044</v>
      </c>
      <c r="O799" s="2">
        <f>Clean_Data[[#This Row],[Profit]]/Clean_Data[[#This Row],[Total_Sales]]</f>
        <v>0.22320000000000001</v>
      </c>
      <c r="P799" t="str">
        <f>_xlfn.XLOOKUP(Clean_Data[[#This Row],[Product_Code]],Product_Catalog!A:A,Product_Catalog!C:C)</f>
        <v>Electronics</v>
      </c>
      <c r="Q799">
        <f>IF(Clean_Data[[#This Row],[Order_Date]]="","",YEAR(Clean_Data[[#This Row],[Order_Date]]))</f>
        <v>2025</v>
      </c>
      <c r="R799" t="str">
        <f>TEXT(Clean_Data[[#This Row],[Order_Date]],"mmm")</f>
        <v>Apr</v>
      </c>
      <c r="S799" t="str">
        <f>TEXT(Clean_Data[[#This Row],[Order_Date]],"mmm-yy")</f>
        <v>Apr-25</v>
      </c>
      <c r="V799"/>
    </row>
    <row r="800" spans="1:22" x14ac:dyDescent="0.25">
      <c r="A800" t="s">
        <v>871</v>
      </c>
      <c r="B800" s="1">
        <v>45670</v>
      </c>
      <c r="C800" t="s">
        <v>12</v>
      </c>
      <c r="D800" t="s">
        <v>33</v>
      </c>
      <c r="E800" t="s">
        <v>66</v>
      </c>
      <c r="F800" t="s">
        <v>67</v>
      </c>
      <c r="G800">
        <v>12</v>
      </c>
      <c r="H800">
        <v>2500</v>
      </c>
      <c r="I800">
        <v>1968</v>
      </c>
      <c r="J800" t="s">
        <v>22</v>
      </c>
      <c r="K800" t="s">
        <v>46</v>
      </c>
      <c r="L800">
        <f>SUM(Clean_Data[[#This Row],[Units_Sold]]*Clean_Data[[#This Row],[Unit_Price]])</f>
        <v>30000</v>
      </c>
      <c r="M800">
        <f>Clean_Data[[#This Row],[Units_Sold]]*Clean_Data[[#This Row],[Cost_Price]]</f>
        <v>23616</v>
      </c>
      <c r="N800">
        <f>Clean_Data[[#This Row],[Total_Sales]]-Clean_Data[[#This Row],[Total_Cost]]</f>
        <v>6384</v>
      </c>
      <c r="O800" s="2">
        <f>Clean_Data[[#This Row],[Profit]]/Clean_Data[[#This Row],[Total_Sales]]</f>
        <v>0.21279999999999999</v>
      </c>
      <c r="P800" t="str">
        <f>_xlfn.XLOOKUP(Clean_Data[[#This Row],[Product_Code]],Product_Catalog!A:A,Product_Catalog!C:C)</f>
        <v>Electronics</v>
      </c>
      <c r="Q800">
        <f>IF(Clean_Data[[#This Row],[Order_Date]]="","",YEAR(Clean_Data[[#This Row],[Order_Date]]))</f>
        <v>2025</v>
      </c>
      <c r="R800" t="str">
        <f>TEXT(Clean_Data[[#This Row],[Order_Date]],"mmm")</f>
        <v>Jan</v>
      </c>
      <c r="S800" t="str">
        <f>TEXT(Clean_Data[[#This Row],[Order_Date]],"mmm-yy")</f>
        <v>Jan-25</v>
      </c>
      <c r="V800"/>
    </row>
    <row r="801" spans="1:22" x14ac:dyDescent="0.25">
      <c r="A801" t="s">
        <v>872</v>
      </c>
      <c r="B801" s="1">
        <v>45720</v>
      </c>
      <c r="C801" t="s">
        <v>48</v>
      </c>
      <c r="D801" t="s">
        <v>33</v>
      </c>
      <c r="E801" t="s">
        <v>49</v>
      </c>
      <c r="F801" t="s">
        <v>50</v>
      </c>
      <c r="G801">
        <v>13</v>
      </c>
      <c r="H801">
        <v>75000</v>
      </c>
      <c r="I801">
        <v>48561</v>
      </c>
      <c r="J801" t="s">
        <v>22</v>
      </c>
      <c r="K801" t="s">
        <v>46</v>
      </c>
      <c r="L801">
        <f>SUM(Clean_Data[[#This Row],[Units_Sold]]*Clean_Data[[#This Row],[Unit_Price]])</f>
        <v>975000</v>
      </c>
      <c r="M801">
        <f>Clean_Data[[#This Row],[Units_Sold]]*Clean_Data[[#This Row],[Cost_Price]]</f>
        <v>631293</v>
      </c>
      <c r="N801">
        <f>Clean_Data[[#This Row],[Total_Sales]]-Clean_Data[[#This Row],[Total_Cost]]</f>
        <v>343707</v>
      </c>
      <c r="O801" s="2">
        <f>Clean_Data[[#This Row],[Profit]]/Clean_Data[[#This Row],[Total_Sales]]</f>
        <v>0.35252</v>
      </c>
      <c r="P801" t="str">
        <f>_xlfn.XLOOKUP(Clean_Data[[#This Row],[Product_Code]],Product_Catalog!A:A,Product_Catalog!C:C)</f>
        <v>Electronics</v>
      </c>
      <c r="Q801">
        <f>IF(Clean_Data[[#This Row],[Order_Date]]="","",YEAR(Clean_Data[[#This Row],[Order_Date]]))</f>
        <v>2025</v>
      </c>
      <c r="R801" t="str">
        <f>TEXT(Clean_Data[[#This Row],[Order_Date]],"mmm")</f>
        <v>Mar</v>
      </c>
      <c r="S801" t="str">
        <f>TEXT(Clean_Data[[#This Row],[Order_Date]],"mmm-yy")</f>
        <v>Mar-25</v>
      </c>
      <c r="V801"/>
    </row>
    <row r="802" spans="1:22" x14ac:dyDescent="0.25">
      <c r="A802" t="s">
        <v>873</v>
      </c>
      <c r="B802" s="1">
        <v>45875</v>
      </c>
      <c r="C802" t="s">
        <v>19</v>
      </c>
      <c r="D802" t="s">
        <v>40</v>
      </c>
      <c r="E802" t="s">
        <v>41</v>
      </c>
      <c r="F802" t="s">
        <v>42</v>
      </c>
      <c r="G802">
        <v>10</v>
      </c>
      <c r="H802">
        <v>28000</v>
      </c>
      <c r="I802">
        <v>18171</v>
      </c>
      <c r="J802" t="s">
        <v>16</v>
      </c>
      <c r="K802" t="s">
        <v>17</v>
      </c>
      <c r="L802">
        <f>SUM(Clean_Data[[#This Row],[Units_Sold]]*Clean_Data[[#This Row],[Unit_Price]])</f>
        <v>280000</v>
      </c>
      <c r="M802">
        <f>Clean_Data[[#This Row],[Units_Sold]]*Clean_Data[[#This Row],[Cost_Price]]</f>
        <v>181710</v>
      </c>
      <c r="N802">
        <f>Clean_Data[[#This Row],[Total_Sales]]-Clean_Data[[#This Row],[Total_Cost]]</f>
        <v>98290</v>
      </c>
      <c r="O802" s="2">
        <f>Clean_Data[[#This Row],[Profit]]/Clean_Data[[#This Row],[Total_Sales]]</f>
        <v>0.35103571428571428</v>
      </c>
      <c r="P802" t="str">
        <f>_xlfn.XLOOKUP(Clean_Data[[#This Row],[Product_Code]],Product_Catalog!A:A,Product_Catalog!C:C)</f>
        <v>Electronics</v>
      </c>
      <c r="Q802">
        <f>IF(Clean_Data[[#This Row],[Order_Date]]="","",YEAR(Clean_Data[[#This Row],[Order_Date]]))</f>
        <v>2025</v>
      </c>
      <c r="R802" t="str">
        <f>TEXT(Clean_Data[[#This Row],[Order_Date]],"mmm")</f>
        <v>Aug</v>
      </c>
      <c r="S802" t="str">
        <f>TEXT(Clean_Data[[#This Row],[Order_Date]],"mmm-yy")</f>
        <v>Aug-25</v>
      </c>
      <c r="V802"/>
    </row>
    <row r="803" spans="1:22" x14ac:dyDescent="0.25">
      <c r="A803" t="s">
        <v>874</v>
      </c>
      <c r="B803" s="1">
        <v>45752</v>
      </c>
      <c r="C803" t="s">
        <v>48</v>
      </c>
      <c r="D803" t="s">
        <v>33</v>
      </c>
      <c r="E803" t="s">
        <v>55</v>
      </c>
      <c r="F803" t="s">
        <v>34</v>
      </c>
      <c r="G803">
        <v>13</v>
      </c>
      <c r="H803">
        <v>35000</v>
      </c>
      <c r="I803">
        <v>24285</v>
      </c>
      <c r="J803" t="s">
        <v>22</v>
      </c>
      <c r="K803" t="s">
        <v>23</v>
      </c>
      <c r="L803">
        <f>SUM(Clean_Data[[#This Row],[Units_Sold]]*Clean_Data[[#This Row],[Unit_Price]])</f>
        <v>455000</v>
      </c>
      <c r="M803">
        <f>Clean_Data[[#This Row],[Units_Sold]]*Clean_Data[[#This Row],[Cost_Price]]</f>
        <v>315705</v>
      </c>
      <c r="N803">
        <f>Clean_Data[[#This Row],[Total_Sales]]-Clean_Data[[#This Row],[Total_Cost]]</f>
        <v>139295</v>
      </c>
      <c r="O803" s="2">
        <f>Clean_Data[[#This Row],[Profit]]/Clean_Data[[#This Row],[Total_Sales]]</f>
        <v>0.30614285714285716</v>
      </c>
      <c r="P803" t="str">
        <f>_xlfn.XLOOKUP(Clean_Data[[#This Row],[Product_Code]],Product_Catalog!A:A,Product_Catalog!C:C)</f>
        <v>Furniture</v>
      </c>
      <c r="Q803">
        <f>IF(Clean_Data[[#This Row],[Order_Date]]="","",YEAR(Clean_Data[[#This Row],[Order_Date]]))</f>
        <v>2025</v>
      </c>
      <c r="R803" t="str">
        <f>TEXT(Clean_Data[[#This Row],[Order_Date]],"mmm")</f>
        <v>Apr</v>
      </c>
      <c r="S803" t="str">
        <f>TEXT(Clean_Data[[#This Row],[Order_Date]],"mmm-yy")</f>
        <v>Apr-25</v>
      </c>
      <c r="V803"/>
    </row>
    <row r="804" spans="1:22" x14ac:dyDescent="0.25">
      <c r="A804" t="s">
        <v>875</v>
      </c>
      <c r="B804" s="1">
        <v>45786</v>
      </c>
      <c r="C804" t="s">
        <v>19</v>
      </c>
      <c r="D804" t="s">
        <v>40</v>
      </c>
      <c r="E804" t="s">
        <v>66</v>
      </c>
      <c r="F804" t="s">
        <v>67</v>
      </c>
      <c r="G804">
        <v>17</v>
      </c>
      <c r="H804">
        <v>2500</v>
      </c>
      <c r="I804">
        <v>1819</v>
      </c>
      <c r="J804" t="s">
        <v>22</v>
      </c>
      <c r="K804" t="s">
        <v>23</v>
      </c>
      <c r="L804">
        <f>SUM(Clean_Data[[#This Row],[Units_Sold]]*Clean_Data[[#This Row],[Unit_Price]])</f>
        <v>42500</v>
      </c>
      <c r="M804">
        <f>Clean_Data[[#This Row],[Units_Sold]]*Clean_Data[[#This Row],[Cost_Price]]</f>
        <v>30923</v>
      </c>
      <c r="N804">
        <f>Clean_Data[[#This Row],[Total_Sales]]-Clean_Data[[#This Row],[Total_Cost]]</f>
        <v>11577</v>
      </c>
      <c r="O804" s="2">
        <f>Clean_Data[[#This Row],[Profit]]/Clean_Data[[#This Row],[Total_Sales]]</f>
        <v>0.27239999999999998</v>
      </c>
      <c r="P804" t="str">
        <f>_xlfn.XLOOKUP(Clean_Data[[#This Row],[Product_Code]],Product_Catalog!A:A,Product_Catalog!C:C)</f>
        <v>Electronics</v>
      </c>
      <c r="Q804">
        <f>IF(Clean_Data[[#This Row],[Order_Date]]="","",YEAR(Clean_Data[[#This Row],[Order_Date]]))</f>
        <v>2025</v>
      </c>
      <c r="R804" t="str">
        <f>TEXT(Clean_Data[[#This Row],[Order_Date]],"mmm")</f>
        <v>May</v>
      </c>
      <c r="S804" t="str">
        <f>TEXT(Clean_Data[[#This Row],[Order_Date]],"mmm-yy")</f>
        <v>May-25</v>
      </c>
      <c r="V804"/>
    </row>
    <row r="805" spans="1:22" x14ac:dyDescent="0.25">
      <c r="A805" t="s">
        <v>876</v>
      </c>
      <c r="B805" s="1">
        <v>46004</v>
      </c>
      <c r="C805" t="s">
        <v>25</v>
      </c>
      <c r="D805" t="s">
        <v>33</v>
      </c>
      <c r="E805" t="s">
        <v>49</v>
      </c>
      <c r="F805" t="s">
        <v>50</v>
      </c>
      <c r="G805">
        <v>6</v>
      </c>
      <c r="H805">
        <v>75000</v>
      </c>
      <c r="I805">
        <v>49774</v>
      </c>
      <c r="J805" t="s">
        <v>29</v>
      </c>
      <c r="K805" t="s">
        <v>46</v>
      </c>
      <c r="L805">
        <f>SUM(Clean_Data[[#This Row],[Units_Sold]]*Clean_Data[[#This Row],[Unit_Price]])</f>
        <v>450000</v>
      </c>
      <c r="M805">
        <f>Clean_Data[[#This Row],[Units_Sold]]*Clean_Data[[#This Row],[Cost_Price]]</f>
        <v>298644</v>
      </c>
      <c r="N805">
        <f>Clean_Data[[#This Row],[Total_Sales]]-Clean_Data[[#This Row],[Total_Cost]]</f>
        <v>151356</v>
      </c>
      <c r="O805" s="2">
        <f>Clean_Data[[#This Row],[Profit]]/Clean_Data[[#This Row],[Total_Sales]]</f>
        <v>0.33634666666666668</v>
      </c>
      <c r="P805" t="str">
        <f>_xlfn.XLOOKUP(Clean_Data[[#This Row],[Product_Code]],Product_Catalog!A:A,Product_Catalog!C:C)</f>
        <v>Electronics</v>
      </c>
      <c r="Q805">
        <f>IF(Clean_Data[[#This Row],[Order_Date]]="","",YEAR(Clean_Data[[#This Row],[Order_Date]]))</f>
        <v>2025</v>
      </c>
      <c r="R805" t="str">
        <f>TEXT(Clean_Data[[#This Row],[Order_Date]],"mmm")</f>
        <v>Dec</v>
      </c>
      <c r="S805" t="str">
        <f>TEXT(Clean_Data[[#This Row],[Order_Date]],"mmm-yy")</f>
        <v>Dec-25</v>
      </c>
      <c r="V805"/>
    </row>
    <row r="806" spans="1:22" x14ac:dyDescent="0.25">
      <c r="A806" t="s">
        <v>877</v>
      </c>
      <c r="B806" s="1">
        <v>46215</v>
      </c>
      <c r="C806" t="s">
        <v>62</v>
      </c>
      <c r="D806" t="s">
        <v>40</v>
      </c>
      <c r="E806" t="s">
        <v>20</v>
      </c>
      <c r="F806" t="s">
        <v>21</v>
      </c>
      <c r="G806">
        <v>12</v>
      </c>
      <c r="H806">
        <v>8500</v>
      </c>
      <c r="I806">
        <v>5304</v>
      </c>
      <c r="J806" t="s">
        <v>16</v>
      </c>
      <c r="K806" t="s">
        <v>23</v>
      </c>
      <c r="L806">
        <f>SUM(Clean_Data[[#This Row],[Units_Sold]]*Clean_Data[[#This Row],[Unit_Price]])</f>
        <v>102000</v>
      </c>
      <c r="M806">
        <f>Clean_Data[[#This Row],[Units_Sold]]*Clean_Data[[#This Row],[Cost_Price]]</f>
        <v>63648</v>
      </c>
      <c r="N806">
        <f>Clean_Data[[#This Row],[Total_Sales]]-Clean_Data[[#This Row],[Total_Cost]]</f>
        <v>38352</v>
      </c>
      <c r="O806" s="2">
        <f>Clean_Data[[#This Row],[Profit]]/Clean_Data[[#This Row],[Total_Sales]]</f>
        <v>0.376</v>
      </c>
      <c r="P806" t="str">
        <f>_xlfn.XLOOKUP(Clean_Data[[#This Row],[Product_Code]],Product_Catalog!A:A,Product_Catalog!C:C)</f>
        <v>Accessories</v>
      </c>
      <c r="Q806">
        <f>IF(Clean_Data[[#This Row],[Order_Date]]="","",YEAR(Clean_Data[[#This Row],[Order_Date]]))</f>
        <v>2026</v>
      </c>
      <c r="R806" t="str">
        <f>TEXT(Clean_Data[[#This Row],[Order_Date]],"mmm")</f>
        <v>Jul</v>
      </c>
      <c r="S806" t="str">
        <f>TEXT(Clean_Data[[#This Row],[Order_Date]],"mmm-yy")</f>
        <v>Jul-26</v>
      </c>
      <c r="V806"/>
    </row>
    <row r="807" spans="1:22" x14ac:dyDescent="0.25">
      <c r="A807" t="s">
        <v>878</v>
      </c>
      <c r="B807" s="1">
        <v>45790</v>
      </c>
      <c r="C807" t="s">
        <v>12</v>
      </c>
      <c r="D807" t="s">
        <v>26</v>
      </c>
      <c r="E807" t="s">
        <v>63</v>
      </c>
      <c r="F807" t="s">
        <v>59</v>
      </c>
      <c r="G807">
        <v>4</v>
      </c>
      <c r="H807">
        <v>4500</v>
      </c>
      <c r="I807">
        <v>2779</v>
      </c>
      <c r="J807" t="s">
        <v>29</v>
      </c>
      <c r="K807" t="s">
        <v>23</v>
      </c>
      <c r="L807">
        <f>SUM(Clean_Data[[#This Row],[Units_Sold]]*Clean_Data[[#This Row],[Unit_Price]])</f>
        <v>18000</v>
      </c>
      <c r="M807">
        <f>Clean_Data[[#This Row],[Units_Sold]]*Clean_Data[[#This Row],[Cost_Price]]</f>
        <v>11116</v>
      </c>
      <c r="N807">
        <f>Clean_Data[[#This Row],[Total_Sales]]-Clean_Data[[#This Row],[Total_Cost]]</f>
        <v>6884</v>
      </c>
      <c r="O807" s="2">
        <f>Clean_Data[[#This Row],[Profit]]/Clean_Data[[#This Row],[Total_Sales]]</f>
        <v>0.38244444444444442</v>
      </c>
      <c r="P807" t="str">
        <f>_xlfn.XLOOKUP(Clean_Data[[#This Row],[Product_Code]],Product_Catalog!A:A,Product_Catalog!C:C)</f>
        <v>Electronics</v>
      </c>
      <c r="Q807">
        <f>IF(Clean_Data[[#This Row],[Order_Date]]="","",YEAR(Clean_Data[[#This Row],[Order_Date]]))</f>
        <v>2025</v>
      </c>
      <c r="R807" t="str">
        <f>TEXT(Clean_Data[[#This Row],[Order_Date]],"mmm")</f>
        <v>May</v>
      </c>
      <c r="S807" t="str">
        <f>TEXT(Clean_Data[[#This Row],[Order_Date]],"mmm-yy")</f>
        <v>May-25</v>
      </c>
      <c r="V807"/>
    </row>
    <row r="808" spans="1:22" x14ac:dyDescent="0.25">
      <c r="A808" t="s">
        <v>879</v>
      </c>
      <c r="B808" s="1">
        <v>45837</v>
      </c>
      <c r="C808" t="s">
        <v>44</v>
      </c>
      <c r="D808" t="s">
        <v>33</v>
      </c>
      <c r="E808" t="s">
        <v>63</v>
      </c>
      <c r="F808" t="s">
        <v>59</v>
      </c>
      <c r="G808">
        <v>9</v>
      </c>
      <c r="H808">
        <v>4500</v>
      </c>
      <c r="I808">
        <v>3050</v>
      </c>
      <c r="J808" t="s">
        <v>45</v>
      </c>
      <c r="K808" t="s">
        <v>17</v>
      </c>
      <c r="L808">
        <f>SUM(Clean_Data[[#This Row],[Units_Sold]]*Clean_Data[[#This Row],[Unit_Price]])</f>
        <v>40500</v>
      </c>
      <c r="M808">
        <f>Clean_Data[[#This Row],[Units_Sold]]*Clean_Data[[#This Row],[Cost_Price]]</f>
        <v>27450</v>
      </c>
      <c r="N808">
        <f>Clean_Data[[#This Row],[Total_Sales]]-Clean_Data[[#This Row],[Total_Cost]]</f>
        <v>13050</v>
      </c>
      <c r="O808" s="2">
        <f>Clean_Data[[#This Row],[Profit]]/Clean_Data[[#This Row],[Total_Sales]]</f>
        <v>0.32222222222222224</v>
      </c>
      <c r="P808" t="str">
        <f>_xlfn.XLOOKUP(Clean_Data[[#This Row],[Product_Code]],Product_Catalog!A:A,Product_Catalog!C:C)</f>
        <v>Electronics</v>
      </c>
      <c r="Q808">
        <f>IF(Clean_Data[[#This Row],[Order_Date]]="","",YEAR(Clean_Data[[#This Row],[Order_Date]]))</f>
        <v>2025</v>
      </c>
      <c r="R808" t="str">
        <f>TEXT(Clean_Data[[#This Row],[Order_Date]],"mmm")</f>
        <v>Jun</v>
      </c>
      <c r="S808" t="str">
        <f>TEXT(Clean_Data[[#This Row],[Order_Date]],"mmm-yy")</f>
        <v>Jun-25</v>
      </c>
      <c r="V808"/>
    </row>
    <row r="809" spans="1:22" x14ac:dyDescent="0.25">
      <c r="A809" t="s">
        <v>880</v>
      </c>
      <c r="B809" s="1">
        <v>45811</v>
      </c>
      <c r="C809" t="s">
        <v>44</v>
      </c>
      <c r="D809" t="s">
        <v>33</v>
      </c>
      <c r="E809" t="s">
        <v>49</v>
      </c>
      <c r="F809" t="s">
        <v>50</v>
      </c>
      <c r="G809">
        <v>16</v>
      </c>
      <c r="H809">
        <v>75000</v>
      </c>
      <c r="I809">
        <v>59993</v>
      </c>
      <c r="J809" t="s">
        <v>22</v>
      </c>
      <c r="K809" t="s">
        <v>17</v>
      </c>
      <c r="L809">
        <f>SUM(Clean_Data[[#This Row],[Units_Sold]]*Clean_Data[[#This Row],[Unit_Price]])</f>
        <v>1200000</v>
      </c>
      <c r="M809">
        <f>Clean_Data[[#This Row],[Units_Sold]]*Clean_Data[[#This Row],[Cost_Price]]</f>
        <v>959888</v>
      </c>
      <c r="N809">
        <f>Clean_Data[[#This Row],[Total_Sales]]-Clean_Data[[#This Row],[Total_Cost]]</f>
        <v>240112</v>
      </c>
      <c r="O809" s="2">
        <f>Clean_Data[[#This Row],[Profit]]/Clean_Data[[#This Row],[Total_Sales]]</f>
        <v>0.20009333333333335</v>
      </c>
      <c r="P809" t="str">
        <f>_xlfn.XLOOKUP(Clean_Data[[#This Row],[Product_Code]],Product_Catalog!A:A,Product_Catalog!C:C)</f>
        <v>Electronics</v>
      </c>
      <c r="Q809">
        <f>IF(Clean_Data[[#This Row],[Order_Date]]="","",YEAR(Clean_Data[[#This Row],[Order_Date]]))</f>
        <v>2025</v>
      </c>
      <c r="R809" t="str">
        <f>TEXT(Clean_Data[[#This Row],[Order_Date]],"mmm")</f>
        <v>Jun</v>
      </c>
      <c r="S809" t="str">
        <f>TEXT(Clean_Data[[#This Row],[Order_Date]],"mmm-yy")</f>
        <v>Jun-25</v>
      </c>
      <c r="V809"/>
    </row>
    <row r="810" spans="1:22" x14ac:dyDescent="0.25">
      <c r="A810" t="s">
        <v>882</v>
      </c>
      <c r="B810" s="1">
        <v>45660</v>
      </c>
      <c r="C810" t="s">
        <v>12</v>
      </c>
      <c r="D810" t="s">
        <v>40</v>
      </c>
      <c r="E810" t="s">
        <v>49</v>
      </c>
      <c r="F810" t="s">
        <v>50</v>
      </c>
      <c r="G810">
        <v>6</v>
      </c>
      <c r="H810">
        <v>75000</v>
      </c>
      <c r="I810">
        <v>50360</v>
      </c>
      <c r="J810" t="s">
        <v>29</v>
      </c>
      <c r="K810" t="s">
        <v>46</v>
      </c>
      <c r="L810">
        <f>SUM(Clean_Data[[#This Row],[Units_Sold]]*Clean_Data[[#This Row],[Unit_Price]])</f>
        <v>450000</v>
      </c>
      <c r="M810">
        <f>Clean_Data[[#This Row],[Units_Sold]]*Clean_Data[[#This Row],[Cost_Price]]</f>
        <v>302160</v>
      </c>
      <c r="N810">
        <f>Clean_Data[[#This Row],[Total_Sales]]-Clean_Data[[#This Row],[Total_Cost]]</f>
        <v>147840</v>
      </c>
      <c r="O810" s="2">
        <f>Clean_Data[[#This Row],[Profit]]/Clean_Data[[#This Row],[Total_Sales]]</f>
        <v>0.32853333333333334</v>
      </c>
      <c r="P810" t="str">
        <f>_xlfn.XLOOKUP(Clean_Data[[#This Row],[Product_Code]],Product_Catalog!A:A,Product_Catalog!C:C)</f>
        <v>Electronics</v>
      </c>
      <c r="Q810">
        <f>IF(Clean_Data[[#This Row],[Order_Date]]="","",YEAR(Clean_Data[[#This Row],[Order_Date]]))</f>
        <v>2025</v>
      </c>
      <c r="R810" t="str">
        <f>TEXT(Clean_Data[[#This Row],[Order_Date]],"mmm")</f>
        <v>Jan</v>
      </c>
      <c r="S810" t="str">
        <f>TEXT(Clean_Data[[#This Row],[Order_Date]],"mmm-yy")</f>
        <v>Jan-25</v>
      </c>
      <c r="V810"/>
    </row>
    <row r="811" spans="1:22" x14ac:dyDescent="0.25">
      <c r="A811" t="s">
        <v>883</v>
      </c>
      <c r="B811" s="1">
        <v>45786</v>
      </c>
      <c r="C811" t="s">
        <v>48</v>
      </c>
      <c r="D811" t="s">
        <v>26</v>
      </c>
      <c r="E811" t="s">
        <v>55</v>
      </c>
      <c r="F811" t="s">
        <v>34</v>
      </c>
      <c r="G811">
        <v>13</v>
      </c>
      <c r="H811">
        <v>35000</v>
      </c>
      <c r="I811">
        <v>24156</v>
      </c>
      <c r="J811" t="s">
        <v>22</v>
      </c>
      <c r="K811" t="s">
        <v>17</v>
      </c>
      <c r="L811">
        <f>SUM(Clean_Data[[#This Row],[Units_Sold]]*Clean_Data[[#This Row],[Unit_Price]])</f>
        <v>455000</v>
      </c>
      <c r="M811">
        <f>Clean_Data[[#This Row],[Units_Sold]]*Clean_Data[[#This Row],[Cost_Price]]</f>
        <v>314028</v>
      </c>
      <c r="N811">
        <f>Clean_Data[[#This Row],[Total_Sales]]-Clean_Data[[#This Row],[Total_Cost]]</f>
        <v>140972</v>
      </c>
      <c r="O811" s="2">
        <f>Clean_Data[[#This Row],[Profit]]/Clean_Data[[#This Row],[Total_Sales]]</f>
        <v>0.30982857142857145</v>
      </c>
      <c r="P811" t="str">
        <f>_xlfn.XLOOKUP(Clean_Data[[#This Row],[Product_Code]],Product_Catalog!A:A,Product_Catalog!C:C)</f>
        <v>Furniture</v>
      </c>
      <c r="Q811">
        <f>IF(Clean_Data[[#This Row],[Order_Date]]="","",YEAR(Clean_Data[[#This Row],[Order_Date]]))</f>
        <v>2025</v>
      </c>
      <c r="R811" t="str">
        <f>TEXT(Clean_Data[[#This Row],[Order_Date]],"mmm")</f>
        <v>May</v>
      </c>
      <c r="S811" t="str">
        <f>TEXT(Clean_Data[[#This Row],[Order_Date]],"mmm-yy")</f>
        <v>May-25</v>
      </c>
      <c r="V811"/>
    </row>
    <row r="812" spans="1:22" x14ac:dyDescent="0.25">
      <c r="A812" t="s">
        <v>884</v>
      </c>
      <c r="B812" s="1">
        <v>45676</v>
      </c>
      <c r="C812" t="s">
        <v>62</v>
      </c>
      <c r="D812" t="s">
        <v>13</v>
      </c>
      <c r="E812" t="s">
        <v>37</v>
      </c>
      <c r="F812" t="s">
        <v>38</v>
      </c>
      <c r="G812">
        <v>5</v>
      </c>
      <c r="H812">
        <v>55000</v>
      </c>
      <c r="I812">
        <v>33185</v>
      </c>
      <c r="J812" t="s">
        <v>29</v>
      </c>
      <c r="K812" t="s">
        <v>17</v>
      </c>
      <c r="L812">
        <f>SUM(Clean_Data[[#This Row],[Units_Sold]]*Clean_Data[[#This Row],[Unit_Price]])</f>
        <v>275000</v>
      </c>
      <c r="M812">
        <f>Clean_Data[[#This Row],[Units_Sold]]*Clean_Data[[#This Row],[Cost_Price]]</f>
        <v>165925</v>
      </c>
      <c r="N812">
        <f>Clean_Data[[#This Row],[Total_Sales]]-Clean_Data[[#This Row],[Total_Cost]]</f>
        <v>109075</v>
      </c>
      <c r="O812" s="2">
        <f>Clean_Data[[#This Row],[Profit]]/Clean_Data[[#This Row],[Total_Sales]]</f>
        <v>0.39663636363636362</v>
      </c>
      <c r="P812" t="str">
        <f>_xlfn.XLOOKUP(Clean_Data[[#This Row],[Product_Code]],Product_Catalog!A:A,Product_Catalog!C:C)</f>
        <v>Electronics</v>
      </c>
      <c r="Q812">
        <f>IF(Clean_Data[[#This Row],[Order_Date]]="","",YEAR(Clean_Data[[#This Row],[Order_Date]]))</f>
        <v>2025</v>
      </c>
      <c r="R812" t="str">
        <f>TEXT(Clean_Data[[#This Row],[Order_Date]],"mmm")</f>
        <v>Jan</v>
      </c>
      <c r="S812" t="str">
        <f>TEXT(Clean_Data[[#This Row],[Order_Date]],"mmm-yy")</f>
        <v>Jan-25</v>
      </c>
      <c r="V812"/>
    </row>
    <row r="813" spans="1:22" x14ac:dyDescent="0.25">
      <c r="A813" t="s">
        <v>885</v>
      </c>
      <c r="B813" s="1">
        <v>45880</v>
      </c>
      <c r="C813" t="s">
        <v>44</v>
      </c>
      <c r="D813" t="s">
        <v>26</v>
      </c>
      <c r="E813" t="s">
        <v>66</v>
      </c>
      <c r="F813" t="s">
        <v>67</v>
      </c>
      <c r="G813">
        <v>14</v>
      </c>
      <c r="H813">
        <v>2500</v>
      </c>
      <c r="I813">
        <v>1581</v>
      </c>
      <c r="J813" t="s">
        <v>45</v>
      </c>
      <c r="K813" t="s">
        <v>17</v>
      </c>
      <c r="L813">
        <f>SUM(Clean_Data[[#This Row],[Units_Sold]]*Clean_Data[[#This Row],[Unit_Price]])</f>
        <v>35000</v>
      </c>
      <c r="M813">
        <f>Clean_Data[[#This Row],[Units_Sold]]*Clean_Data[[#This Row],[Cost_Price]]</f>
        <v>22134</v>
      </c>
      <c r="N813">
        <f>Clean_Data[[#This Row],[Total_Sales]]-Clean_Data[[#This Row],[Total_Cost]]</f>
        <v>12866</v>
      </c>
      <c r="O813" s="2">
        <f>Clean_Data[[#This Row],[Profit]]/Clean_Data[[#This Row],[Total_Sales]]</f>
        <v>0.36759999999999998</v>
      </c>
      <c r="P813" t="str">
        <f>_xlfn.XLOOKUP(Clean_Data[[#This Row],[Product_Code]],Product_Catalog!A:A,Product_Catalog!C:C)</f>
        <v>Electronics</v>
      </c>
      <c r="Q813">
        <f>IF(Clean_Data[[#This Row],[Order_Date]]="","",YEAR(Clean_Data[[#This Row],[Order_Date]]))</f>
        <v>2025</v>
      </c>
      <c r="R813" t="str">
        <f>TEXT(Clean_Data[[#This Row],[Order_Date]],"mmm")</f>
        <v>Aug</v>
      </c>
      <c r="S813" t="str">
        <f>TEXT(Clean_Data[[#This Row],[Order_Date]],"mmm-yy")</f>
        <v>Aug-25</v>
      </c>
      <c r="V813"/>
    </row>
    <row r="814" spans="1:22" x14ac:dyDescent="0.25">
      <c r="A814" t="s">
        <v>886</v>
      </c>
      <c r="B814" s="1">
        <v>46252</v>
      </c>
      <c r="C814" t="s">
        <v>53</v>
      </c>
      <c r="D814" t="s">
        <v>13</v>
      </c>
      <c r="E814" t="s">
        <v>37</v>
      </c>
      <c r="F814" t="s">
        <v>38</v>
      </c>
      <c r="G814">
        <v>5</v>
      </c>
      <c r="H814">
        <v>55000</v>
      </c>
      <c r="I814">
        <v>36462</v>
      </c>
      <c r="J814" t="s">
        <v>22</v>
      </c>
      <c r="K814" t="s">
        <v>23</v>
      </c>
      <c r="L814">
        <f>SUM(Clean_Data[[#This Row],[Units_Sold]]*Clean_Data[[#This Row],[Unit_Price]])</f>
        <v>275000</v>
      </c>
      <c r="M814">
        <f>Clean_Data[[#This Row],[Units_Sold]]*Clean_Data[[#This Row],[Cost_Price]]</f>
        <v>182310</v>
      </c>
      <c r="N814">
        <f>Clean_Data[[#This Row],[Total_Sales]]-Clean_Data[[#This Row],[Total_Cost]]</f>
        <v>92690</v>
      </c>
      <c r="O814" s="2">
        <f>Clean_Data[[#This Row],[Profit]]/Clean_Data[[#This Row],[Total_Sales]]</f>
        <v>0.33705454545454544</v>
      </c>
      <c r="P814" t="str">
        <f>_xlfn.XLOOKUP(Clean_Data[[#This Row],[Product_Code]],Product_Catalog!A:A,Product_Catalog!C:C)</f>
        <v>Electronics</v>
      </c>
      <c r="Q814">
        <f>IF(Clean_Data[[#This Row],[Order_Date]]="","",YEAR(Clean_Data[[#This Row],[Order_Date]]))</f>
        <v>2026</v>
      </c>
      <c r="R814" t="str">
        <f>TEXT(Clean_Data[[#This Row],[Order_Date]],"mmm")</f>
        <v>Aug</v>
      </c>
      <c r="S814" t="str">
        <f>TEXT(Clean_Data[[#This Row],[Order_Date]],"mmm-yy")</f>
        <v>Aug-26</v>
      </c>
      <c r="V814"/>
    </row>
    <row r="815" spans="1:22" x14ac:dyDescent="0.25">
      <c r="A815" t="s">
        <v>887</v>
      </c>
      <c r="B815" s="1">
        <v>46204</v>
      </c>
      <c r="C815" t="s">
        <v>19</v>
      </c>
      <c r="D815" t="s">
        <v>33</v>
      </c>
      <c r="E815" t="s">
        <v>63</v>
      </c>
      <c r="F815" t="s">
        <v>59</v>
      </c>
      <c r="G815">
        <v>4</v>
      </c>
      <c r="H815">
        <v>4500</v>
      </c>
      <c r="I815">
        <v>3542</v>
      </c>
      <c r="J815" t="s">
        <v>29</v>
      </c>
      <c r="K815" t="s">
        <v>23</v>
      </c>
      <c r="L815">
        <f>SUM(Clean_Data[[#This Row],[Units_Sold]]*Clean_Data[[#This Row],[Unit_Price]])</f>
        <v>18000</v>
      </c>
      <c r="M815">
        <f>Clean_Data[[#This Row],[Units_Sold]]*Clean_Data[[#This Row],[Cost_Price]]</f>
        <v>14168</v>
      </c>
      <c r="N815">
        <f>Clean_Data[[#This Row],[Total_Sales]]-Clean_Data[[#This Row],[Total_Cost]]</f>
        <v>3832</v>
      </c>
      <c r="O815" s="2">
        <f>Clean_Data[[#This Row],[Profit]]/Clean_Data[[#This Row],[Total_Sales]]</f>
        <v>0.21288888888888888</v>
      </c>
      <c r="P815" t="str">
        <f>_xlfn.XLOOKUP(Clean_Data[[#This Row],[Product_Code]],Product_Catalog!A:A,Product_Catalog!C:C)</f>
        <v>Electronics</v>
      </c>
      <c r="Q815">
        <f>IF(Clean_Data[[#This Row],[Order_Date]]="","",YEAR(Clean_Data[[#This Row],[Order_Date]]))</f>
        <v>2026</v>
      </c>
      <c r="R815" t="str">
        <f>TEXT(Clean_Data[[#This Row],[Order_Date]],"mmm")</f>
        <v>Jul</v>
      </c>
      <c r="S815" t="str">
        <f>TEXT(Clean_Data[[#This Row],[Order_Date]],"mmm-yy")</f>
        <v>Jul-26</v>
      </c>
      <c r="V815"/>
    </row>
    <row r="816" spans="1:22" x14ac:dyDescent="0.25">
      <c r="A816" t="s">
        <v>888</v>
      </c>
      <c r="B816" s="1">
        <v>46162</v>
      </c>
      <c r="C816" t="s">
        <v>12</v>
      </c>
      <c r="D816" t="s">
        <v>33</v>
      </c>
      <c r="E816" t="s">
        <v>49</v>
      </c>
      <c r="F816" t="s">
        <v>50</v>
      </c>
      <c r="G816">
        <v>8</v>
      </c>
      <c r="H816">
        <v>75000</v>
      </c>
      <c r="I816">
        <v>57569</v>
      </c>
      <c r="J816" t="s">
        <v>22</v>
      </c>
      <c r="K816" t="s">
        <v>46</v>
      </c>
      <c r="L816">
        <f>SUM(Clean_Data[[#This Row],[Units_Sold]]*Clean_Data[[#This Row],[Unit_Price]])</f>
        <v>600000</v>
      </c>
      <c r="M816">
        <f>Clean_Data[[#This Row],[Units_Sold]]*Clean_Data[[#This Row],[Cost_Price]]</f>
        <v>460552</v>
      </c>
      <c r="N816">
        <f>Clean_Data[[#This Row],[Total_Sales]]-Clean_Data[[#This Row],[Total_Cost]]</f>
        <v>139448</v>
      </c>
      <c r="O816" s="2">
        <f>Clean_Data[[#This Row],[Profit]]/Clean_Data[[#This Row],[Total_Sales]]</f>
        <v>0.23241333333333333</v>
      </c>
      <c r="P816" t="str">
        <f>_xlfn.XLOOKUP(Clean_Data[[#This Row],[Product_Code]],Product_Catalog!A:A,Product_Catalog!C:C)</f>
        <v>Electronics</v>
      </c>
      <c r="Q816">
        <f>IF(Clean_Data[[#This Row],[Order_Date]]="","",YEAR(Clean_Data[[#This Row],[Order_Date]]))</f>
        <v>2026</v>
      </c>
      <c r="R816" t="str">
        <f>TEXT(Clean_Data[[#This Row],[Order_Date]],"mmm")</f>
        <v>May</v>
      </c>
      <c r="S816" t="str">
        <f>TEXT(Clean_Data[[#This Row],[Order_Date]],"mmm-yy")</f>
        <v>May-26</v>
      </c>
      <c r="V816"/>
    </row>
    <row r="817" spans="1:22" x14ac:dyDescent="0.25">
      <c r="A817" t="s">
        <v>889</v>
      </c>
      <c r="B817" s="1">
        <v>46241</v>
      </c>
      <c r="C817" t="s">
        <v>31</v>
      </c>
      <c r="D817" t="s">
        <v>13</v>
      </c>
      <c r="E817" t="s">
        <v>63</v>
      </c>
      <c r="F817" t="s">
        <v>59</v>
      </c>
      <c r="G817">
        <v>2</v>
      </c>
      <c r="H817">
        <v>4500</v>
      </c>
      <c r="I817">
        <v>3417</v>
      </c>
      <c r="J817" t="s">
        <v>29</v>
      </c>
      <c r="K817" t="s">
        <v>17</v>
      </c>
      <c r="L817">
        <f>SUM(Clean_Data[[#This Row],[Units_Sold]]*Clean_Data[[#This Row],[Unit_Price]])</f>
        <v>9000</v>
      </c>
      <c r="M817">
        <f>Clean_Data[[#This Row],[Units_Sold]]*Clean_Data[[#This Row],[Cost_Price]]</f>
        <v>6834</v>
      </c>
      <c r="N817">
        <f>Clean_Data[[#This Row],[Total_Sales]]-Clean_Data[[#This Row],[Total_Cost]]</f>
        <v>2166</v>
      </c>
      <c r="O817" s="2">
        <f>Clean_Data[[#This Row],[Profit]]/Clean_Data[[#This Row],[Total_Sales]]</f>
        <v>0.24066666666666667</v>
      </c>
      <c r="P817" t="str">
        <f>_xlfn.XLOOKUP(Clean_Data[[#This Row],[Product_Code]],Product_Catalog!A:A,Product_Catalog!C:C)</f>
        <v>Electronics</v>
      </c>
      <c r="Q817">
        <f>IF(Clean_Data[[#This Row],[Order_Date]]="","",YEAR(Clean_Data[[#This Row],[Order_Date]]))</f>
        <v>2026</v>
      </c>
      <c r="R817" t="str">
        <f>TEXT(Clean_Data[[#This Row],[Order_Date]],"mmm")</f>
        <v>Aug</v>
      </c>
      <c r="S817" t="str">
        <f>TEXT(Clean_Data[[#This Row],[Order_Date]],"mmm-yy")</f>
        <v>Aug-26</v>
      </c>
      <c r="V817"/>
    </row>
    <row r="818" spans="1:22" x14ac:dyDescent="0.25">
      <c r="A818" t="s">
        <v>890</v>
      </c>
      <c r="B818" s="1">
        <v>46111</v>
      </c>
      <c r="C818" t="s">
        <v>48</v>
      </c>
      <c r="D818" t="s">
        <v>26</v>
      </c>
      <c r="E818" t="s">
        <v>14</v>
      </c>
      <c r="F818" t="s">
        <v>15</v>
      </c>
      <c r="G818">
        <v>7</v>
      </c>
      <c r="H818">
        <v>12500</v>
      </c>
      <c r="I818">
        <v>8246</v>
      </c>
      <c r="J818" t="s">
        <v>16</v>
      </c>
      <c r="K818" t="s">
        <v>46</v>
      </c>
      <c r="L818">
        <f>SUM(Clean_Data[[#This Row],[Units_Sold]]*Clean_Data[[#This Row],[Unit_Price]])</f>
        <v>87500</v>
      </c>
      <c r="M818">
        <f>Clean_Data[[#This Row],[Units_Sold]]*Clean_Data[[#This Row],[Cost_Price]]</f>
        <v>57722</v>
      </c>
      <c r="N818">
        <f>Clean_Data[[#This Row],[Total_Sales]]-Clean_Data[[#This Row],[Total_Cost]]</f>
        <v>29778</v>
      </c>
      <c r="O818" s="2">
        <f>Clean_Data[[#This Row],[Profit]]/Clean_Data[[#This Row],[Total_Sales]]</f>
        <v>0.34032000000000001</v>
      </c>
      <c r="P818" t="str">
        <f>_xlfn.XLOOKUP(Clean_Data[[#This Row],[Product_Code]],Product_Catalog!A:A,Product_Catalog!C:C)</f>
        <v>Accessories</v>
      </c>
      <c r="Q818">
        <f>IF(Clean_Data[[#This Row],[Order_Date]]="","",YEAR(Clean_Data[[#This Row],[Order_Date]]))</f>
        <v>2026</v>
      </c>
      <c r="R818" t="str">
        <f>TEXT(Clean_Data[[#This Row],[Order_Date]],"mmm")</f>
        <v>Mar</v>
      </c>
      <c r="S818" t="str">
        <f>TEXT(Clean_Data[[#This Row],[Order_Date]],"mmm-yy")</f>
        <v>Mar-26</v>
      </c>
      <c r="V818"/>
    </row>
    <row r="819" spans="1:22" x14ac:dyDescent="0.25">
      <c r="A819" t="s">
        <v>891</v>
      </c>
      <c r="B819" s="1">
        <v>45983</v>
      </c>
      <c r="C819" t="s">
        <v>19</v>
      </c>
      <c r="D819" t="s">
        <v>26</v>
      </c>
      <c r="E819" t="s">
        <v>14</v>
      </c>
      <c r="F819" t="s">
        <v>15</v>
      </c>
      <c r="G819">
        <v>7</v>
      </c>
      <c r="H819">
        <v>12500</v>
      </c>
      <c r="I819">
        <v>9518</v>
      </c>
      <c r="J819" t="s">
        <v>45</v>
      </c>
      <c r="K819" t="s">
        <v>23</v>
      </c>
      <c r="L819">
        <f>SUM(Clean_Data[[#This Row],[Units_Sold]]*Clean_Data[[#This Row],[Unit_Price]])</f>
        <v>87500</v>
      </c>
      <c r="M819">
        <f>Clean_Data[[#This Row],[Units_Sold]]*Clean_Data[[#This Row],[Cost_Price]]</f>
        <v>66626</v>
      </c>
      <c r="N819">
        <f>Clean_Data[[#This Row],[Total_Sales]]-Clean_Data[[#This Row],[Total_Cost]]</f>
        <v>20874</v>
      </c>
      <c r="O819" s="2">
        <f>Clean_Data[[#This Row],[Profit]]/Clean_Data[[#This Row],[Total_Sales]]</f>
        <v>0.23855999999999999</v>
      </c>
      <c r="P819" t="str">
        <f>_xlfn.XLOOKUP(Clean_Data[[#This Row],[Product_Code]],Product_Catalog!A:A,Product_Catalog!C:C)</f>
        <v>Accessories</v>
      </c>
      <c r="Q819">
        <f>IF(Clean_Data[[#This Row],[Order_Date]]="","",YEAR(Clean_Data[[#This Row],[Order_Date]]))</f>
        <v>2025</v>
      </c>
      <c r="R819" t="str">
        <f>TEXT(Clean_Data[[#This Row],[Order_Date]],"mmm")</f>
        <v>Nov</v>
      </c>
      <c r="S819" t="str">
        <f>TEXT(Clean_Data[[#This Row],[Order_Date]],"mmm-yy")</f>
        <v>Nov-25</v>
      </c>
      <c r="V819"/>
    </row>
    <row r="820" spans="1:22" x14ac:dyDescent="0.25">
      <c r="A820" t="s">
        <v>892</v>
      </c>
      <c r="B820" s="1">
        <v>46082</v>
      </c>
      <c r="C820" t="s">
        <v>62</v>
      </c>
      <c r="D820" t="s">
        <v>40</v>
      </c>
      <c r="E820" t="s">
        <v>20</v>
      </c>
      <c r="F820" t="s">
        <v>21</v>
      </c>
      <c r="G820">
        <v>7</v>
      </c>
      <c r="H820">
        <v>8500</v>
      </c>
      <c r="I820">
        <v>5614</v>
      </c>
      <c r="J820" t="s">
        <v>29</v>
      </c>
      <c r="K820" t="s">
        <v>46</v>
      </c>
      <c r="L820">
        <f>SUM(Clean_Data[[#This Row],[Units_Sold]]*Clean_Data[[#This Row],[Unit_Price]])</f>
        <v>59500</v>
      </c>
      <c r="M820">
        <f>Clean_Data[[#This Row],[Units_Sold]]*Clean_Data[[#This Row],[Cost_Price]]</f>
        <v>39298</v>
      </c>
      <c r="N820">
        <f>Clean_Data[[#This Row],[Total_Sales]]-Clean_Data[[#This Row],[Total_Cost]]</f>
        <v>20202</v>
      </c>
      <c r="O820" s="2">
        <f>Clean_Data[[#This Row],[Profit]]/Clean_Data[[#This Row],[Total_Sales]]</f>
        <v>0.33952941176470586</v>
      </c>
      <c r="P820" t="str">
        <f>_xlfn.XLOOKUP(Clean_Data[[#This Row],[Product_Code]],Product_Catalog!A:A,Product_Catalog!C:C)</f>
        <v>Accessories</v>
      </c>
      <c r="Q820">
        <f>IF(Clean_Data[[#This Row],[Order_Date]]="","",YEAR(Clean_Data[[#This Row],[Order_Date]]))</f>
        <v>2026</v>
      </c>
      <c r="R820" t="str">
        <f>TEXT(Clean_Data[[#This Row],[Order_Date]],"mmm")</f>
        <v>Mar</v>
      </c>
      <c r="S820" t="str">
        <f>TEXT(Clean_Data[[#This Row],[Order_Date]],"mmm-yy")</f>
        <v>Mar-26</v>
      </c>
      <c r="V820"/>
    </row>
    <row r="821" spans="1:22" x14ac:dyDescent="0.25">
      <c r="A821" t="s">
        <v>893</v>
      </c>
      <c r="B821" s="1">
        <v>45680</v>
      </c>
      <c r="C821" t="s">
        <v>25</v>
      </c>
      <c r="D821" t="s">
        <v>40</v>
      </c>
      <c r="E821" t="s">
        <v>63</v>
      </c>
      <c r="F821" t="s">
        <v>59</v>
      </c>
      <c r="G821">
        <v>15</v>
      </c>
      <c r="H821">
        <v>4500</v>
      </c>
      <c r="I821">
        <v>3030</v>
      </c>
      <c r="J821" t="s">
        <v>29</v>
      </c>
      <c r="K821" t="s">
        <v>23</v>
      </c>
      <c r="L821">
        <f>SUM(Clean_Data[[#This Row],[Units_Sold]]*Clean_Data[[#This Row],[Unit_Price]])</f>
        <v>67500</v>
      </c>
      <c r="M821">
        <f>Clean_Data[[#This Row],[Units_Sold]]*Clean_Data[[#This Row],[Cost_Price]]</f>
        <v>45450</v>
      </c>
      <c r="N821">
        <f>Clean_Data[[#This Row],[Total_Sales]]-Clean_Data[[#This Row],[Total_Cost]]</f>
        <v>22050</v>
      </c>
      <c r="O821" s="2">
        <f>Clean_Data[[#This Row],[Profit]]/Clean_Data[[#This Row],[Total_Sales]]</f>
        <v>0.32666666666666666</v>
      </c>
      <c r="P821" t="str">
        <f>_xlfn.XLOOKUP(Clean_Data[[#This Row],[Product_Code]],Product_Catalog!A:A,Product_Catalog!C:C)</f>
        <v>Electronics</v>
      </c>
      <c r="Q821">
        <f>IF(Clean_Data[[#This Row],[Order_Date]]="","",YEAR(Clean_Data[[#This Row],[Order_Date]]))</f>
        <v>2025</v>
      </c>
      <c r="R821" t="str">
        <f>TEXT(Clean_Data[[#This Row],[Order_Date]],"mmm")</f>
        <v>Jan</v>
      </c>
      <c r="S821" t="str">
        <f>TEXT(Clean_Data[[#This Row],[Order_Date]],"mmm-yy")</f>
        <v>Jan-25</v>
      </c>
      <c r="V821"/>
    </row>
    <row r="822" spans="1:22" x14ac:dyDescent="0.25">
      <c r="A822" t="s">
        <v>894</v>
      </c>
      <c r="B822" s="1">
        <v>45675</v>
      </c>
      <c r="C822" t="s">
        <v>73</v>
      </c>
      <c r="D822" t="s">
        <v>40</v>
      </c>
      <c r="E822" t="s">
        <v>37</v>
      </c>
      <c r="F822" t="s">
        <v>38</v>
      </c>
      <c r="G822">
        <v>9</v>
      </c>
      <c r="H822">
        <v>55000</v>
      </c>
      <c r="I822">
        <v>40606</v>
      </c>
      <c r="J822" t="s">
        <v>16</v>
      </c>
      <c r="K822" t="s">
        <v>17</v>
      </c>
      <c r="L822">
        <f>SUM(Clean_Data[[#This Row],[Units_Sold]]*Clean_Data[[#This Row],[Unit_Price]])</f>
        <v>495000</v>
      </c>
      <c r="M822">
        <f>Clean_Data[[#This Row],[Units_Sold]]*Clean_Data[[#This Row],[Cost_Price]]</f>
        <v>365454</v>
      </c>
      <c r="N822">
        <f>Clean_Data[[#This Row],[Total_Sales]]-Clean_Data[[#This Row],[Total_Cost]]</f>
        <v>129546</v>
      </c>
      <c r="O822" s="2">
        <f>Clean_Data[[#This Row],[Profit]]/Clean_Data[[#This Row],[Total_Sales]]</f>
        <v>0.26170909090909089</v>
      </c>
      <c r="P822" t="str">
        <f>_xlfn.XLOOKUP(Clean_Data[[#This Row],[Product_Code]],Product_Catalog!A:A,Product_Catalog!C:C)</f>
        <v>Electronics</v>
      </c>
      <c r="Q822">
        <f>IF(Clean_Data[[#This Row],[Order_Date]]="","",YEAR(Clean_Data[[#This Row],[Order_Date]]))</f>
        <v>2025</v>
      </c>
      <c r="R822" t="str">
        <f>TEXT(Clean_Data[[#This Row],[Order_Date]],"mmm")</f>
        <v>Jan</v>
      </c>
      <c r="S822" t="str">
        <f>TEXT(Clean_Data[[#This Row],[Order_Date]],"mmm-yy")</f>
        <v>Jan-25</v>
      </c>
      <c r="V822"/>
    </row>
    <row r="823" spans="1:22" x14ac:dyDescent="0.25">
      <c r="A823" t="s">
        <v>895</v>
      </c>
      <c r="B823" s="1">
        <v>46036</v>
      </c>
      <c r="C823" t="s">
        <v>62</v>
      </c>
      <c r="D823" t="s">
        <v>40</v>
      </c>
      <c r="E823" t="s">
        <v>55</v>
      </c>
      <c r="F823" t="s">
        <v>34</v>
      </c>
      <c r="G823">
        <v>4</v>
      </c>
      <c r="H823">
        <v>35000</v>
      </c>
      <c r="I823">
        <v>22515</v>
      </c>
      <c r="J823" t="s">
        <v>16</v>
      </c>
      <c r="K823" t="s">
        <v>84</v>
      </c>
      <c r="L823">
        <f>SUM(Clean_Data[[#This Row],[Units_Sold]]*Clean_Data[[#This Row],[Unit_Price]])</f>
        <v>140000</v>
      </c>
      <c r="M823">
        <f>Clean_Data[[#This Row],[Units_Sold]]*Clean_Data[[#This Row],[Cost_Price]]</f>
        <v>90060</v>
      </c>
      <c r="N823">
        <f>Clean_Data[[#This Row],[Total_Sales]]-Clean_Data[[#This Row],[Total_Cost]]</f>
        <v>49940</v>
      </c>
      <c r="O823" s="2">
        <f>Clean_Data[[#This Row],[Profit]]/Clean_Data[[#This Row],[Total_Sales]]</f>
        <v>0.35671428571428571</v>
      </c>
      <c r="P823" t="str">
        <f>_xlfn.XLOOKUP(Clean_Data[[#This Row],[Product_Code]],Product_Catalog!A:A,Product_Catalog!C:C)</f>
        <v>Furniture</v>
      </c>
      <c r="Q823">
        <f>IF(Clean_Data[[#This Row],[Order_Date]]="","",YEAR(Clean_Data[[#This Row],[Order_Date]]))</f>
        <v>2026</v>
      </c>
      <c r="R823" t="str">
        <f>TEXT(Clean_Data[[#This Row],[Order_Date]],"mmm")</f>
        <v>Jan</v>
      </c>
      <c r="S823" t="str">
        <f>TEXT(Clean_Data[[#This Row],[Order_Date]],"mmm-yy")</f>
        <v>Jan-26</v>
      </c>
      <c r="V823"/>
    </row>
    <row r="824" spans="1:22" x14ac:dyDescent="0.25">
      <c r="A824" t="s">
        <v>896</v>
      </c>
      <c r="B824" s="1">
        <v>45997</v>
      </c>
      <c r="C824" t="s">
        <v>44</v>
      </c>
      <c r="D824" t="s">
        <v>36</v>
      </c>
      <c r="E824" t="s">
        <v>66</v>
      </c>
      <c r="F824" t="s">
        <v>67</v>
      </c>
      <c r="G824">
        <v>7</v>
      </c>
      <c r="H824">
        <v>2500</v>
      </c>
      <c r="I824">
        <v>1729</v>
      </c>
      <c r="J824" t="s">
        <v>29</v>
      </c>
      <c r="K824" t="s">
        <v>23</v>
      </c>
      <c r="L824">
        <f>SUM(Clean_Data[[#This Row],[Units_Sold]]*Clean_Data[[#This Row],[Unit_Price]])</f>
        <v>17500</v>
      </c>
      <c r="M824">
        <f>Clean_Data[[#This Row],[Units_Sold]]*Clean_Data[[#This Row],[Cost_Price]]</f>
        <v>12103</v>
      </c>
      <c r="N824">
        <f>Clean_Data[[#This Row],[Total_Sales]]-Clean_Data[[#This Row],[Total_Cost]]</f>
        <v>5397</v>
      </c>
      <c r="O824" s="2">
        <f>Clean_Data[[#This Row],[Profit]]/Clean_Data[[#This Row],[Total_Sales]]</f>
        <v>0.30840000000000001</v>
      </c>
      <c r="P824" t="str">
        <f>_xlfn.XLOOKUP(Clean_Data[[#This Row],[Product_Code]],Product_Catalog!A:A,Product_Catalog!C:C)</f>
        <v>Electronics</v>
      </c>
      <c r="Q824">
        <f>IF(Clean_Data[[#This Row],[Order_Date]]="","",YEAR(Clean_Data[[#This Row],[Order_Date]]))</f>
        <v>2025</v>
      </c>
      <c r="R824" t="str">
        <f>TEXT(Clean_Data[[#This Row],[Order_Date]],"mmm")</f>
        <v>Dec</v>
      </c>
      <c r="S824" t="str">
        <f>TEXT(Clean_Data[[#This Row],[Order_Date]],"mmm-yy")</f>
        <v>Dec-25</v>
      </c>
      <c r="V824"/>
    </row>
    <row r="825" spans="1:22" x14ac:dyDescent="0.25">
      <c r="A825" t="s">
        <v>897</v>
      </c>
      <c r="B825" s="1">
        <v>45760</v>
      </c>
      <c r="C825" t="s">
        <v>48</v>
      </c>
      <c r="D825" t="s">
        <v>26</v>
      </c>
      <c r="E825" t="s">
        <v>63</v>
      </c>
      <c r="F825" t="s">
        <v>59</v>
      </c>
      <c r="G825">
        <v>10</v>
      </c>
      <c r="H825">
        <v>4500</v>
      </c>
      <c r="I825">
        <v>3025</v>
      </c>
      <c r="J825" t="s">
        <v>29</v>
      </c>
      <c r="K825" t="s">
        <v>17</v>
      </c>
      <c r="L825">
        <f>SUM(Clean_Data[[#This Row],[Units_Sold]]*Clean_Data[[#This Row],[Unit_Price]])</f>
        <v>45000</v>
      </c>
      <c r="M825">
        <f>Clean_Data[[#This Row],[Units_Sold]]*Clean_Data[[#This Row],[Cost_Price]]</f>
        <v>30250</v>
      </c>
      <c r="N825">
        <f>Clean_Data[[#This Row],[Total_Sales]]-Clean_Data[[#This Row],[Total_Cost]]</f>
        <v>14750</v>
      </c>
      <c r="O825" s="2">
        <f>Clean_Data[[#This Row],[Profit]]/Clean_Data[[#This Row],[Total_Sales]]</f>
        <v>0.32777777777777778</v>
      </c>
      <c r="P825" t="str">
        <f>_xlfn.XLOOKUP(Clean_Data[[#This Row],[Product_Code]],Product_Catalog!A:A,Product_Catalog!C:C)</f>
        <v>Electronics</v>
      </c>
      <c r="Q825">
        <f>IF(Clean_Data[[#This Row],[Order_Date]]="","",YEAR(Clean_Data[[#This Row],[Order_Date]]))</f>
        <v>2025</v>
      </c>
      <c r="R825" t="str">
        <f>TEXT(Clean_Data[[#This Row],[Order_Date]],"mmm")</f>
        <v>Apr</v>
      </c>
      <c r="S825" t="str">
        <f>TEXT(Clean_Data[[#This Row],[Order_Date]],"mmm-yy")</f>
        <v>Apr-25</v>
      </c>
      <c r="V825"/>
    </row>
    <row r="826" spans="1:22" x14ac:dyDescent="0.25">
      <c r="A826" t="s">
        <v>898</v>
      </c>
      <c r="B826" s="1">
        <v>46035</v>
      </c>
      <c r="C826" t="s">
        <v>44</v>
      </c>
      <c r="D826" t="s">
        <v>33</v>
      </c>
      <c r="E826" t="s">
        <v>66</v>
      </c>
      <c r="F826" t="s">
        <v>67</v>
      </c>
      <c r="G826">
        <v>1</v>
      </c>
      <c r="H826">
        <v>2500</v>
      </c>
      <c r="I826">
        <v>1591</v>
      </c>
      <c r="J826" t="s">
        <v>16</v>
      </c>
      <c r="K826" t="s">
        <v>23</v>
      </c>
      <c r="L826">
        <f>SUM(Clean_Data[[#This Row],[Units_Sold]]*Clean_Data[[#This Row],[Unit_Price]])</f>
        <v>2500</v>
      </c>
      <c r="M826">
        <f>Clean_Data[[#This Row],[Units_Sold]]*Clean_Data[[#This Row],[Cost_Price]]</f>
        <v>1591</v>
      </c>
      <c r="N826">
        <f>Clean_Data[[#This Row],[Total_Sales]]-Clean_Data[[#This Row],[Total_Cost]]</f>
        <v>909</v>
      </c>
      <c r="O826" s="2">
        <f>Clean_Data[[#This Row],[Profit]]/Clean_Data[[#This Row],[Total_Sales]]</f>
        <v>0.36359999999999998</v>
      </c>
      <c r="P826" t="str">
        <f>_xlfn.XLOOKUP(Clean_Data[[#This Row],[Product_Code]],Product_Catalog!A:A,Product_Catalog!C:C)</f>
        <v>Electronics</v>
      </c>
      <c r="Q826">
        <f>IF(Clean_Data[[#This Row],[Order_Date]]="","",YEAR(Clean_Data[[#This Row],[Order_Date]]))</f>
        <v>2026</v>
      </c>
      <c r="R826" t="str">
        <f>TEXT(Clean_Data[[#This Row],[Order_Date]],"mmm")</f>
        <v>Jan</v>
      </c>
      <c r="S826" t="str">
        <f>TEXT(Clean_Data[[#This Row],[Order_Date]],"mmm-yy")</f>
        <v>Jan-26</v>
      </c>
      <c r="V826"/>
    </row>
    <row r="827" spans="1:22" x14ac:dyDescent="0.25">
      <c r="A827" t="s">
        <v>899</v>
      </c>
      <c r="B827" s="1">
        <v>46104</v>
      </c>
      <c r="C827" t="s">
        <v>12</v>
      </c>
      <c r="D827" t="s">
        <v>26</v>
      </c>
      <c r="E827" t="s">
        <v>41</v>
      </c>
      <c r="F827" t="s">
        <v>42</v>
      </c>
      <c r="G827">
        <v>16</v>
      </c>
      <c r="H827">
        <v>28000</v>
      </c>
      <c r="I827">
        <v>22305</v>
      </c>
      <c r="J827" t="s">
        <v>16</v>
      </c>
      <c r="K827" t="s">
        <v>23</v>
      </c>
      <c r="L827">
        <f>SUM(Clean_Data[[#This Row],[Units_Sold]]*Clean_Data[[#This Row],[Unit_Price]])</f>
        <v>448000</v>
      </c>
      <c r="M827">
        <f>Clean_Data[[#This Row],[Units_Sold]]*Clean_Data[[#This Row],[Cost_Price]]</f>
        <v>356880</v>
      </c>
      <c r="N827">
        <f>Clean_Data[[#This Row],[Total_Sales]]-Clean_Data[[#This Row],[Total_Cost]]</f>
        <v>91120</v>
      </c>
      <c r="O827" s="2">
        <f>Clean_Data[[#This Row],[Profit]]/Clean_Data[[#This Row],[Total_Sales]]</f>
        <v>0.20339285714285715</v>
      </c>
      <c r="P827" t="str">
        <f>_xlfn.XLOOKUP(Clean_Data[[#This Row],[Product_Code]],Product_Catalog!A:A,Product_Catalog!C:C)</f>
        <v>Electronics</v>
      </c>
      <c r="Q827">
        <f>IF(Clean_Data[[#This Row],[Order_Date]]="","",YEAR(Clean_Data[[#This Row],[Order_Date]]))</f>
        <v>2026</v>
      </c>
      <c r="R827" t="str">
        <f>TEXT(Clean_Data[[#This Row],[Order_Date]],"mmm")</f>
        <v>Mar</v>
      </c>
      <c r="S827" t="str">
        <f>TEXT(Clean_Data[[#This Row],[Order_Date]],"mmm-yy")</f>
        <v>Mar-26</v>
      </c>
      <c r="V827"/>
    </row>
    <row r="828" spans="1:22" x14ac:dyDescent="0.25">
      <c r="A828" t="s">
        <v>900</v>
      </c>
      <c r="B828" s="1">
        <v>45706</v>
      </c>
      <c r="C828" t="s">
        <v>31</v>
      </c>
      <c r="D828" t="s">
        <v>26</v>
      </c>
      <c r="E828" t="s">
        <v>55</v>
      </c>
      <c r="F828" t="s">
        <v>34</v>
      </c>
      <c r="G828">
        <v>7</v>
      </c>
      <c r="H828">
        <v>35000</v>
      </c>
      <c r="I828">
        <v>24799</v>
      </c>
      <c r="J828" t="s">
        <v>22</v>
      </c>
      <c r="K828" t="s">
        <v>17</v>
      </c>
      <c r="L828">
        <f>SUM(Clean_Data[[#This Row],[Units_Sold]]*Clean_Data[[#This Row],[Unit_Price]])</f>
        <v>245000</v>
      </c>
      <c r="M828">
        <f>Clean_Data[[#This Row],[Units_Sold]]*Clean_Data[[#This Row],[Cost_Price]]</f>
        <v>173593</v>
      </c>
      <c r="N828">
        <f>Clean_Data[[#This Row],[Total_Sales]]-Clean_Data[[#This Row],[Total_Cost]]</f>
        <v>71407</v>
      </c>
      <c r="O828" s="2">
        <f>Clean_Data[[#This Row],[Profit]]/Clean_Data[[#This Row],[Total_Sales]]</f>
        <v>0.29145714285714286</v>
      </c>
      <c r="P828" t="str">
        <f>_xlfn.XLOOKUP(Clean_Data[[#This Row],[Product_Code]],Product_Catalog!A:A,Product_Catalog!C:C)</f>
        <v>Furniture</v>
      </c>
      <c r="Q828">
        <f>IF(Clean_Data[[#This Row],[Order_Date]]="","",YEAR(Clean_Data[[#This Row],[Order_Date]]))</f>
        <v>2025</v>
      </c>
      <c r="R828" t="str">
        <f>TEXT(Clean_Data[[#This Row],[Order_Date]],"mmm")</f>
        <v>Feb</v>
      </c>
      <c r="S828" t="str">
        <f>TEXT(Clean_Data[[#This Row],[Order_Date]],"mmm-yy")</f>
        <v>Feb-25</v>
      </c>
      <c r="V828"/>
    </row>
    <row r="829" spans="1:22" x14ac:dyDescent="0.25">
      <c r="A829" t="s">
        <v>901</v>
      </c>
      <c r="B829" s="1">
        <v>46128</v>
      </c>
      <c r="C829" t="s">
        <v>62</v>
      </c>
      <c r="D829" t="s">
        <v>36</v>
      </c>
      <c r="E829" t="s">
        <v>66</v>
      </c>
      <c r="F829" t="s">
        <v>67</v>
      </c>
      <c r="G829">
        <v>19</v>
      </c>
      <c r="H829">
        <v>2500</v>
      </c>
      <c r="I829">
        <v>1908</v>
      </c>
      <c r="J829" t="s">
        <v>29</v>
      </c>
      <c r="K829" t="s">
        <v>46</v>
      </c>
      <c r="L829">
        <f>SUM(Clean_Data[[#This Row],[Units_Sold]]*Clean_Data[[#This Row],[Unit_Price]])</f>
        <v>47500</v>
      </c>
      <c r="M829">
        <f>Clean_Data[[#This Row],[Units_Sold]]*Clean_Data[[#This Row],[Cost_Price]]</f>
        <v>36252</v>
      </c>
      <c r="N829">
        <f>Clean_Data[[#This Row],[Total_Sales]]-Clean_Data[[#This Row],[Total_Cost]]</f>
        <v>11248</v>
      </c>
      <c r="O829" s="2">
        <f>Clean_Data[[#This Row],[Profit]]/Clean_Data[[#This Row],[Total_Sales]]</f>
        <v>0.23680000000000001</v>
      </c>
      <c r="P829" t="str">
        <f>_xlfn.XLOOKUP(Clean_Data[[#This Row],[Product_Code]],Product_Catalog!A:A,Product_Catalog!C:C)</f>
        <v>Electronics</v>
      </c>
      <c r="Q829">
        <f>IF(Clean_Data[[#This Row],[Order_Date]]="","",YEAR(Clean_Data[[#This Row],[Order_Date]]))</f>
        <v>2026</v>
      </c>
      <c r="R829" t="str">
        <f>TEXT(Clean_Data[[#This Row],[Order_Date]],"mmm")</f>
        <v>Apr</v>
      </c>
      <c r="S829" t="str">
        <f>TEXT(Clean_Data[[#This Row],[Order_Date]],"mmm-yy")</f>
        <v>Apr-26</v>
      </c>
      <c r="V829"/>
    </row>
    <row r="830" spans="1:22" x14ac:dyDescent="0.25">
      <c r="A830" t="s">
        <v>902</v>
      </c>
      <c r="B830" s="1">
        <v>45698</v>
      </c>
      <c r="C830" t="s">
        <v>44</v>
      </c>
      <c r="D830" t="s">
        <v>33</v>
      </c>
      <c r="E830" t="s">
        <v>20</v>
      </c>
      <c r="F830" t="s">
        <v>21</v>
      </c>
      <c r="G830">
        <v>10</v>
      </c>
      <c r="H830">
        <v>8500</v>
      </c>
      <c r="I830">
        <v>6146</v>
      </c>
      <c r="J830" t="s">
        <v>29</v>
      </c>
      <c r="K830" t="s">
        <v>23</v>
      </c>
      <c r="L830">
        <f>SUM(Clean_Data[[#This Row],[Units_Sold]]*Clean_Data[[#This Row],[Unit_Price]])</f>
        <v>85000</v>
      </c>
      <c r="M830">
        <f>Clean_Data[[#This Row],[Units_Sold]]*Clean_Data[[#This Row],[Cost_Price]]</f>
        <v>61460</v>
      </c>
      <c r="N830">
        <f>Clean_Data[[#This Row],[Total_Sales]]-Clean_Data[[#This Row],[Total_Cost]]</f>
        <v>23540</v>
      </c>
      <c r="O830" s="2">
        <f>Clean_Data[[#This Row],[Profit]]/Clean_Data[[#This Row],[Total_Sales]]</f>
        <v>0.27694117647058825</v>
      </c>
      <c r="P830" t="str">
        <f>_xlfn.XLOOKUP(Clean_Data[[#This Row],[Product_Code]],Product_Catalog!A:A,Product_Catalog!C:C)</f>
        <v>Accessories</v>
      </c>
      <c r="Q830">
        <f>IF(Clean_Data[[#This Row],[Order_Date]]="","",YEAR(Clean_Data[[#This Row],[Order_Date]]))</f>
        <v>2025</v>
      </c>
      <c r="R830" t="str">
        <f>TEXT(Clean_Data[[#This Row],[Order_Date]],"mmm")</f>
        <v>Feb</v>
      </c>
      <c r="S830" t="str">
        <f>TEXT(Clean_Data[[#This Row],[Order_Date]],"mmm-yy")</f>
        <v>Feb-25</v>
      </c>
      <c r="V830"/>
    </row>
    <row r="831" spans="1:22" x14ac:dyDescent="0.25">
      <c r="A831" t="s">
        <v>903</v>
      </c>
      <c r="B831" s="1">
        <v>45863</v>
      </c>
      <c r="C831" t="s">
        <v>25</v>
      </c>
      <c r="D831" t="s">
        <v>13</v>
      </c>
      <c r="E831" t="s">
        <v>20</v>
      </c>
      <c r="F831" t="s">
        <v>21</v>
      </c>
      <c r="G831">
        <v>12</v>
      </c>
      <c r="H831">
        <v>8500</v>
      </c>
      <c r="I831">
        <v>5838</v>
      </c>
      <c r="J831" t="s">
        <v>16</v>
      </c>
      <c r="K831" t="s">
        <v>23</v>
      </c>
      <c r="L831">
        <f>SUM(Clean_Data[[#This Row],[Units_Sold]]*Clean_Data[[#This Row],[Unit_Price]])</f>
        <v>102000</v>
      </c>
      <c r="M831">
        <f>Clean_Data[[#This Row],[Units_Sold]]*Clean_Data[[#This Row],[Cost_Price]]</f>
        <v>70056</v>
      </c>
      <c r="N831">
        <f>Clean_Data[[#This Row],[Total_Sales]]-Clean_Data[[#This Row],[Total_Cost]]</f>
        <v>31944</v>
      </c>
      <c r="O831" s="2">
        <f>Clean_Data[[#This Row],[Profit]]/Clean_Data[[#This Row],[Total_Sales]]</f>
        <v>0.31317647058823528</v>
      </c>
      <c r="P831" t="str">
        <f>_xlfn.XLOOKUP(Clean_Data[[#This Row],[Product_Code]],Product_Catalog!A:A,Product_Catalog!C:C)</f>
        <v>Accessories</v>
      </c>
      <c r="Q831">
        <f>IF(Clean_Data[[#This Row],[Order_Date]]="","",YEAR(Clean_Data[[#This Row],[Order_Date]]))</f>
        <v>2025</v>
      </c>
      <c r="R831" t="str">
        <f>TEXT(Clean_Data[[#This Row],[Order_Date]],"mmm")</f>
        <v>Jul</v>
      </c>
      <c r="S831" t="str">
        <f>TEXT(Clean_Data[[#This Row],[Order_Date]],"mmm-yy")</f>
        <v>Jul-25</v>
      </c>
      <c r="V831"/>
    </row>
    <row r="832" spans="1:22" x14ac:dyDescent="0.25">
      <c r="A832" t="s">
        <v>904</v>
      </c>
      <c r="B832" s="1">
        <v>45974</v>
      </c>
      <c r="C832" t="s">
        <v>12</v>
      </c>
      <c r="D832" t="s">
        <v>36</v>
      </c>
      <c r="E832" t="s">
        <v>20</v>
      </c>
      <c r="F832" t="s">
        <v>21</v>
      </c>
      <c r="G832">
        <v>4</v>
      </c>
      <c r="H832">
        <v>8500</v>
      </c>
      <c r="I832">
        <v>5542</v>
      </c>
      <c r="J832" t="s">
        <v>22</v>
      </c>
      <c r="K832" t="s">
        <v>23</v>
      </c>
      <c r="L832">
        <f>SUM(Clean_Data[[#This Row],[Units_Sold]]*Clean_Data[[#This Row],[Unit_Price]])</f>
        <v>34000</v>
      </c>
      <c r="M832">
        <f>Clean_Data[[#This Row],[Units_Sold]]*Clean_Data[[#This Row],[Cost_Price]]</f>
        <v>22168</v>
      </c>
      <c r="N832">
        <f>Clean_Data[[#This Row],[Total_Sales]]-Clean_Data[[#This Row],[Total_Cost]]</f>
        <v>11832</v>
      </c>
      <c r="O832" s="2">
        <f>Clean_Data[[#This Row],[Profit]]/Clean_Data[[#This Row],[Total_Sales]]</f>
        <v>0.34799999999999998</v>
      </c>
      <c r="P832" t="str">
        <f>_xlfn.XLOOKUP(Clean_Data[[#This Row],[Product_Code]],Product_Catalog!A:A,Product_Catalog!C:C)</f>
        <v>Accessories</v>
      </c>
      <c r="Q832">
        <f>IF(Clean_Data[[#This Row],[Order_Date]]="","",YEAR(Clean_Data[[#This Row],[Order_Date]]))</f>
        <v>2025</v>
      </c>
      <c r="R832" t="str">
        <f>TEXT(Clean_Data[[#This Row],[Order_Date]],"mmm")</f>
        <v>Nov</v>
      </c>
      <c r="S832" t="str">
        <f>TEXT(Clean_Data[[#This Row],[Order_Date]],"mmm-yy")</f>
        <v>Nov-25</v>
      </c>
      <c r="V832"/>
    </row>
    <row r="833" spans="1:22" x14ac:dyDescent="0.25">
      <c r="A833" t="s">
        <v>905</v>
      </c>
      <c r="B833" s="1">
        <v>46214</v>
      </c>
      <c r="C833" t="s">
        <v>31</v>
      </c>
      <c r="D833" t="s">
        <v>33</v>
      </c>
      <c r="E833" t="s">
        <v>41</v>
      </c>
      <c r="F833" t="s">
        <v>42</v>
      </c>
      <c r="G833">
        <v>9</v>
      </c>
      <c r="H833">
        <v>28000</v>
      </c>
      <c r="I833">
        <v>19474</v>
      </c>
      <c r="J833" t="s">
        <v>29</v>
      </c>
      <c r="K833" t="s">
        <v>23</v>
      </c>
      <c r="L833">
        <f>SUM(Clean_Data[[#This Row],[Units_Sold]]*Clean_Data[[#This Row],[Unit_Price]])</f>
        <v>252000</v>
      </c>
      <c r="M833">
        <f>Clean_Data[[#This Row],[Units_Sold]]*Clean_Data[[#This Row],[Cost_Price]]</f>
        <v>175266</v>
      </c>
      <c r="N833">
        <f>Clean_Data[[#This Row],[Total_Sales]]-Clean_Data[[#This Row],[Total_Cost]]</f>
        <v>76734</v>
      </c>
      <c r="O833" s="2">
        <f>Clean_Data[[#This Row],[Profit]]/Clean_Data[[#This Row],[Total_Sales]]</f>
        <v>0.30449999999999999</v>
      </c>
      <c r="P833" t="str">
        <f>_xlfn.XLOOKUP(Clean_Data[[#This Row],[Product_Code]],Product_Catalog!A:A,Product_Catalog!C:C)</f>
        <v>Electronics</v>
      </c>
      <c r="Q833">
        <f>IF(Clean_Data[[#This Row],[Order_Date]]="","",YEAR(Clean_Data[[#This Row],[Order_Date]]))</f>
        <v>2026</v>
      </c>
      <c r="R833" t="str">
        <f>TEXT(Clean_Data[[#This Row],[Order_Date]],"mmm")</f>
        <v>Jul</v>
      </c>
      <c r="S833" t="str">
        <f>TEXT(Clean_Data[[#This Row],[Order_Date]],"mmm-yy")</f>
        <v>Jul-26</v>
      </c>
      <c r="V833"/>
    </row>
    <row r="834" spans="1:22" x14ac:dyDescent="0.25">
      <c r="A834" t="s">
        <v>906</v>
      </c>
      <c r="B834" s="1">
        <v>45740</v>
      </c>
      <c r="C834" t="s">
        <v>53</v>
      </c>
      <c r="D834" t="s">
        <v>33</v>
      </c>
      <c r="E834" t="s">
        <v>20</v>
      </c>
      <c r="F834" t="s">
        <v>21</v>
      </c>
      <c r="G834">
        <v>2</v>
      </c>
      <c r="H834">
        <v>8500</v>
      </c>
      <c r="I834">
        <v>5847</v>
      </c>
      <c r="J834" t="s">
        <v>29</v>
      </c>
      <c r="K834" t="s">
        <v>23</v>
      </c>
      <c r="L834">
        <f>SUM(Clean_Data[[#This Row],[Units_Sold]]*Clean_Data[[#This Row],[Unit_Price]])</f>
        <v>17000</v>
      </c>
      <c r="M834">
        <f>Clean_Data[[#This Row],[Units_Sold]]*Clean_Data[[#This Row],[Cost_Price]]</f>
        <v>11694</v>
      </c>
      <c r="N834">
        <f>Clean_Data[[#This Row],[Total_Sales]]-Clean_Data[[#This Row],[Total_Cost]]</f>
        <v>5306</v>
      </c>
      <c r="O834" s="2">
        <f>Clean_Data[[#This Row],[Profit]]/Clean_Data[[#This Row],[Total_Sales]]</f>
        <v>0.31211764705882356</v>
      </c>
      <c r="P834" t="str">
        <f>_xlfn.XLOOKUP(Clean_Data[[#This Row],[Product_Code]],Product_Catalog!A:A,Product_Catalog!C:C)</f>
        <v>Accessories</v>
      </c>
      <c r="Q834">
        <f>IF(Clean_Data[[#This Row],[Order_Date]]="","",YEAR(Clean_Data[[#This Row],[Order_Date]]))</f>
        <v>2025</v>
      </c>
      <c r="R834" t="str">
        <f>TEXT(Clean_Data[[#This Row],[Order_Date]],"mmm")</f>
        <v>Mar</v>
      </c>
      <c r="S834" t="str">
        <f>TEXT(Clean_Data[[#This Row],[Order_Date]],"mmm-yy")</f>
        <v>Mar-25</v>
      </c>
      <c r="V834"/>
    </row>
    <row r="835" spans="1:22" x14ac:dyDescent="0.25">
      <c r="A835" t="s">
        <v>907</v>
      </c>
      <c r="B835" s="1">
        <v>45839</v>
      </c>
      <c r="C835" t="s">
        <v>12</v>
      </c>
      <c r="D835" t="s">
        <v>40</v>
      </c>
      <c r="E835" t="s">
        <v>41</v>
      </c>
      <c r="F835" t="s">
        <v>42</v>
      </c>
      <c r="G835">
        <v>7</v>
      </c>
      <c r="H835">
        <v>28000</v>
      </c>
      <c r="I835">
        <v>17634</v>
      </c>
      <c r="J835" t="s">
        <v>29</v>
      </c>
      <c r="K835" t="s">
        <v>46</v>
      </c>
      <c r="L835">
        <f>SUM(Clean_Data[[#This Row],[Units_Sold]]*Clean_Data[[#This Row],[Unit_Price]])</f>
        <v>196000</v>
      </c>
      <c r="M835">
        <f>Clean_Data[[#This Row],[Units_Sold]]*Clean_Data[[#This Row],[Cost_Price]]</f>
        <v>123438</v>
      </c>
      <c r="N835">
        <f>Clean_Data[[#This Row],[Total_Sales]]-Clean_Data[[#This Row],[Total_Cost]]</f>
        <v>72562</v>
      </c>
      <c r="O835" s="2">
        <f>Clean_Data[[#This Row],[Profit]]/Clean_Data[[#This Row],[Total_Sales]]</f>
        <v>0.37021428571428572</v>
      </c>
      <c r="P835" t="str">
        <f>_xlfn.XLOOKUP(Clean_Data[[#This Row],[Product_Code]],Product_Catalog!A:A,Product_Catalog!C:C)</f>
        <v>Electronics</v>
      </c>
      <c r="Q835">
        <f>IF(Clean_Data[[#This Row],[Order_Date]]="","",YEAR(Clean_Data[[#This Row],[Order_Date]]))</f>
        <v>2025</v>
      </c>
      <c r="R835" t="str">
        <f>TEXT(Clean_Data[[#This Row],[Order_Date]],"mmm")</f>
        <v>Jul</v>
      </c>
      <c r="S835" t="str">
        <f>TEXT(Clean_Data[[#This Row],[Order_Date]],"mmm-yy")</f>
        <v>Jul-25</v>
      </c>
      <c r="V835"/>
    </row>
    <row r="836" spans="1:22" x14ac:dyDescent="0.25">
      <c r="A836" t="s">
        <v>908</v>
      </c>
      <c r="B836" s="1">
        <v>46034</v>
      </c>
      <c r="C836" t="s">
        <v>73</v>
      </c>
      <c r="D836" t="s">
        <v>40</v>
      </c>
      <c r="E836" t="s">
        <v>66</v>
      </c>
      <c r="F836" t="s">
        <v>67</v>
      </c>
      <c r="G836">
        <v>9</v>
      </c>
      <c r="H836">
        <v>2500</v>
      </c>
      <c r="I836">
        <v>1624</v>
      </c>
      <c r="J836" t="s">
        <v>29</v>
      </c>
      <c r="K836" t="s">
        <v>23</v>
      </c>
      <c r="L836">
        <f>SUM(Clean_Data[[#This Row],[Units_Sold]]*Clean_Data[[#This Row],[Unit_Price]])</f>
        <v>22500</v>
      </c>
      <c r="M836">
        <f>Clean_Data[[#This Row],[Units_Sold]]*Clean_Data[[#This Row],[Cost_Price]]</f>
        <v>14616</v>
      </c>
      <c r="N836">
        <f>Clean_Data[[#This Row],[Total_Sales]]-Clean_Data[[#This Row],[Total_Cost]]</f>
        <v>7884</v>
      </c>
      <c r="O836" s="2">
        <f>Clean_Data[[#This Row],[Profit]]/Clean_Data[[#This Row],[Total_Sales]]</f>
        <v>0.35039999999999999</v>
      </c>
      <c r="P836" t="str">
        <f>_xlfn.XLOOKUP(Clean_Data[[#This Row],[Product_Code]],Product_Catalog!A:A,Product_Catalog!C:C)</f>
        <v>Electronics</v>
      </c>
      <c r="Q836">
        <f>IF(Clean_Data[[#This Row],[Order_Date]]="","",YEAR(Clean_Data[[#This Row],[Order_Date]]))</f>
        <v>2026</v>
      </c>
      <c r="R836" t="str">
        <f>TEXT(Clean_Data[[#This Row],[Order_Date]],"mmm")</f>
        <v>Jan</v>
      </c>
      <c r="S836" t="str">
        <f>TEXT(Clean_Data[[#This Row],[Order_Date]],"mmm-yy")</f>
        <v>Jan-26</v>
      </c>
      <c r="V836"/>
    </row>
    <row r="837" spans="1:22" x14ac:dyDescent="0.25">
      <c r="A837" t="s">
        <v>909</v>
      </c>
      <c r="B837" s="1">
        <v>46152</v>
      </c>
      <c r="C837" t="s">
        <v>62</v>
      </c>
      <c r="D837" t="s">
        <v>40</v>
      </c>
      <c r="E837" t="s">
        <v>14</v>
      </c>
      <c r="F837" t="s">
        <v>15</v>
      </c>
      <c r="G837">
        <v>6</v>
      </c>
      <c r="H837">
        <v>12500</v>
      </c>
      <c r="I837">
        <v>7605</v>
      </c>
      <c r="J837" t="s">
        <v>22</v>
      </c>
      <c r="K837" t="s">
        <v>23</v>
      </c>
      <c r="L837">
        <f>SUM(Clean_Data[[#This Row],[Units_Sold]]*Clean_Data[[#This Row],[Unit_Price]])</f>
        <v>75000</v>
      </c>
      <c r="M837">
        <f>Clean_Data[[#This Row],[Units_Sold]]*Clean_Data[[#This Row],[Cost_Price]]</f>
        <v>45630</v>
      </c>
      <c r="N837">
        <f>Clean_Data[[#This Row],[Total_Sales]]-Clean_Data[[#This Row],[Total_Cost]]</f>
        <v>29370</v>
      </c>
      <c r="O837" s="2">
        <f>Clean_Data[[#This Row],[Profit]]/Clean_Data[[#This Row],[Total_Sales]]</f>
        <v>0.3916</v>
      </c>
      <c r="P837" t="str">
        <f>_xlfn.XLOOKUP(Clean_Data[[#This Row],[Product_Code]],Product_Catalog!A:A,Product_Catalog!C:C)</f>
        <v>Accessories</v>
      </c>
      <c r="Q837">
        <f>IF(Clean_Data[[#This Row],[Order_Date]]="","",YEAR(Clean_Data[[#This Row],[Order_Date]]))</f>
        <v>2026</v>
      </c>
      <c r="R837" t="str">
        <f>TEXT(Clean_Data[[#This Row],[Order_Date]],"mmm")</f>
        <v>May</v>
      </c>
      <c r="S837" t="str">
        <f>TEXT(Clean_Data[[#This Row],[Order_Date]],"mmm-yy")</f>
        <v>May-26</v>
      </c>
      <c r="V837"/>
    </row>
    <row r="838" spans="1:22" x14ac:dyDescent="0.25">
      <c r="A838" t="s">
        <v>910</v>
      </c>
      <c r="B838" s="1">
        <v>45814</v>
      </c>
      <c r="C838" t="s">
        <v>25</v>
      </c>
      <c r="D838" t="s">
        <v>26</v>
      </c>
      <c r="E838" t="s">
        <v>63</v>
      </c>
      <c r="F838" t="s">
        <v>59</v>
      </c>
      <c r="G838">
        <v>8</v>
      </c>
      <c r="H838">
        <v>4500</v>
      </c>
      <c r="I838">
        <v>2931</v>
      </c>
      <c r="J838" t="s">
        <v>29</v>
      </c>
      <c r="K838" t="s">
        <v>17</v>
      </c>
      <c r="L838">
        <f>SUM(Clean_Data[[#This Row],[Units_Sold]]*Clean_Data[[#This Row],[Unit_Price]])</f>
        <v>36000</v>
      </c>
      <c r="M838">
        <f>Clean_Data[[#This Row],[Units_Sold]]*Clean_Data[[#This Row],[Cost_Price]]</f>
        <v>23448</v>
      </c>
      <c r="N838">
        <f>Clean_Data[[#This Row],[Total_Sales]]-Clean_Data[[#This Row],[Total_Cost]]</f>
        <v>12552</v>
      </c>
      <c r="O838" s="2">
        <f>Clean_Data[[#This Row],[Profit]]/Clean_Data[[#This Row],[Total_Sales]]</f>
        <v>0.34866666666666668</v>
      </c>
      <c r="P838" t="str">
        <f>_xlfn.XLOOKUP(Clean_Data[[#This Row],[Product_Code]],Product_Catalog!A:A,Product_Catalog!C:C)</f>
        <v>Electronics</v>
      </c>
      <c r="Q838">
        <f>IF(Clean_Data[[#This Row],[Order_Date]]="","",YEAR(Clean_Data[[#This Row],[Order_Date]]))</f>
        <v>2025</v>
      </c>
      <c r="R838" t="str">
        <f>TEXT(Clean_Data[[#This Row],[Order_Date]],"mmm")</f>
        <v>Jun</v>
      </c>
      <c r="S838" t="str">
        <f>TEXT(Clean_Data[[#This Row],[Order_Date]],"mmm-yy")</f>
        <v>Jun-25</v>
      </c>
      <c r="V838"/>
    </row>
    <row r="839" spans="1:22" x14ac:dyDescent="0.25">
      <c r="A839" t="s">
        <v>911</v>
      </c>
      <c r="B839" s="1">
        <v>45817</v>
      </c>
      <c r="C839" t="s">
        <v>31</v>
      </c>
      <c r="D839" t="s">
        <v>40</v>
      </c>
      <c r="E839" t="s">
        <v>41</v>
      </c>
      <c r="F839" t="s">
        <v>42</v>
      </c>
      <c r="G839">
        <v>1</v>
      </c>
      <c r="H839">
        <v>28000</v>
      </c>
      <c r="I839">
        <v>17226</v>
      </c>
      <c r="J839" t="s">
        <v>22</v>
      </c>
      <c r="K839" t="s">
        <v>17</v>
      </c>
      <c r="L839">
        <f>SUM(Clean_Data[[#This Row],[Units_Sold]]*Clean_Data[[#This Row],[Unit_Price]])</f>
        <v>28000</v>
      </c>
      <c r="M839">
        <f>Clean_Data[[#This Row],[Units_Sold]]*Clean_Data[[#This Row],[Cost_Price]]</f>
        <v>17226</v>
      </c>
      <c r="N839">
        <f>Clean_Data[[#This Row],[Total_Sales]]-Clean_Data[[#This Row],[Total_Cost]]</f>
        <v>10774</v>
      </c>
      <c r="O839" s="2">
        <f>Clean_Data[[#This Row],[Profit]]/Clean_Data[[#This Row],[Total_Sales]]</f>
        <v>0.38478571428571429</v>
      </c>
      <c r="P839" t="str">
        <f>_xlfn.XLOOKUP(Clean_Data[[#This Row],[Product_Code]],Product_Catalog!A:A,Product_Catalog!C:C)</f>
        <v>Electronics</v>
      </c>
      <c r="Q839">
        <f>IF(Clean_Data[[#This Row],[Order_Date]]="","",YEAR(Clean_Data[[#This Row],[Order_Date]]))</f>
        <v>2025</v>
      </c>
      <c r="R839" t="str">
        <f>TEXT(Clean_Data[[#This Row],[Order_Date]],"mmm")</f>
        <v>Jun</v>
      </c>
      <c r="S839" t="str">
        <f>TEXT(Clean_Data[[#This Row],[Order_Date]],"mmm-yy")</f>
        <v>Jun-25</v>
      </c>
      <c r="V839"/>
    </row>
    <row r="840" spans="1:22" x14ac:dyDescent="0.25">
      <c r="A840" t="s">
        <v>912</v>
      </c>
      <c r="B840" s="1">
        <v>45732</v>
      </c>
      <c r="C840" t="s">
        <v>31</v>
      </c>
      <c r="D840" t="s">
        <v>40</v>
      </c>
      <c r="E840" t="s">
        <v>37</v>
      </c>
      <c r="F840" t="s">
        <v>38</v>
      </c>
      <c r="G840">
        <v>11</v>
      </c>
      <c r="H840">
        <v>55000</v>
      </c>
      <c r="I840">
        <v>40691</v>
      </c>
      <c r="J840" t="s">
        <v>22</v>
      </c>
      <c r="K840" t="s">
        <v>23</v>
      </c>
      <c r="L840">
        <f>SUM(Clean_Data[[#This Row],[Units_Sold]]*Clean_Data[[#This Row],[Unit_Price]])</f>
        <v>605000</v>
      </c>
      <c r="M840">
        <f>Clean_Data[[#This Row],[Units_Sold]]*Clean_Data[[#This Row],[Cost_Price]]</f>
        <v>447601</v>
      </c>
      <c r="N840">
        <f>Clean_Data[[#This Row],[Total_Sales]]-Clean_Data[[#This Row],[Total_Cost]]</f>
        <v>157399</v>
      </c>
      <c r="O840" s="2">
        <f>Clean_Data[[#This Row],[Profit]]/Clean_Data[[#This Row],[Total_Sales]]</f>
        <v>0.26016363636363637</v>
      </c>
      <c r="P840" t="str">
        <f>_xlfn.XLOOKUP(Clean_Data[[#This Row],[Product_Code]],Product_Catalog!A:A,Product_Catalog!C:C)</f>
        <v>Electronics</v>
      </c>
      <c r="Q840">
        <f>IF(Clean_Data[[#This Row],[Order_Date]]="","",YEAR(Clean_Data[[#This Row],[Order_Date]]))</f>
        <v>2025</v>
      </c>
      <c r="R840" t="str">
        <f>TEXT(Clean_Data[[#This Row],[Order_Date]],"mmm")</f>
        <v>Mar</v>
      </c>
      <c r="S840" t="str">
        <f>TEXT(Clean_Data[[#This Row],[Order_Date]],"mmm-yy")</f>
        <v>Mar-25</v>
      </c>
      <c r="V840"/>
    </row>
    <row r="841" spans="1:22" x14ac:dyDescent="0.25">
      <c r="A841" t="s">
        <v>913</v>
      </c>
      <c r="B841" s="1">
        <v>45974</v>
      </c>
      <c r="C841" t="s">
        <v>62</v>
      </c>
      <c r="D841" t="s">
        <v>33</v>
      </c>
      <c r="E841" t="s">
        <v>20</v>
      </c>
      <c r="F841" t="s">
        <v>21</v>
      </c>
      <c r="G841">
        <v>11</v>
      </c>
      <c r="H841">
        <v>8500</v>
      </c>
      <c r="I841">
        <v>6436</v>
      </c>
      <c r="J841" t="s">
        <v>16</v>
      </c>
      <c r="K841" t="s">
        <v>46</v>
      </c>
      <c r="L841">
        <f>SUM(Clean_Data[[#This Row],[Units_Sold]]*Clean_Data[[#This Row],[Unit_Price]])</f>
        <v>93500</v>
      </c>
      <c r="M841">
        <f>Clean_Data[[#This Row],[Units_Sold]]*Clean_Data[[#This Row],[Cost_Price]]</f>
        <v>70796</v>
      </c>
      <c r="N841">
        <f>Clean_Data[[#This Row],[Total_Sales]]-Clean_Data[[#This Row],[Total_Cost]]</f>
        <v>22704</v>
      </c>
      <c r="O841" s="2">
        <f>Clean_Data[[#This Row],[Profit]]/Clean_Data[[#This Row],[Total_Sales]]</f>
        <v>0.24282352941176472</v>
      </c>
      <c r="P841" t="str">
        <f>_xlfn.XLOOKUP(Clean_Data[[#This Row],[Product_Code]],Product_Catalog!A:A,Product_Catalog!C:C)</f>
        <v>Accessories</v>
      </c>
      <c r="Q841">
        <f>IF(Clean_Data[[#This Row],[Order_Date]]="","",YEAR(Clean_Data[[#This Row],[Order_Date]]))</f>
        <v>2025</v>
      </c>
      <c r="R841" t="str">
        <f>TEXT(Clean_Data[[#This Row],[Order_Date]],"mmm")</f>
        <v>Nov</v>
      </c>
      <c r="S841" t="str">
        <f>TEXT(Clean_Data[[#This Row],[Order_Date]],"mmm-yy")</f>
        <v>Nov-25</v>
      </c>
      <c r="V841"/>
    </row>
    <row r="842" spans="1:22" x14ac:dyDescent="0.25">
      <c r="A842" t="s">
        <v>914</v>
      </c>
      <c r="B842" s="1">
        <v>45834</v>
      </c>
      <c r="C842" t="s">
        <v>12</v>
      </c>
      <c r="D842" t="s">
        <v>36</v>
      </c>
      <c r="E842" t="s">
        <v>20</v>
      </c>
      <c r="F842" t="s">
        <v>21</v>
      </c>
      <c r="G842">
        <v>13</v>
      </c>
      <c r="H842">
        <v>8500</v>
      </c>
      <c r="I842">
        <v>5374</v>
      </c>
      <c r="J842" t="s">
        <v>45</v>
      </c>
      <c r="K842" t="s">
        <v>17</v>
      </c>
      <c r="L842">
        <f>SUM(Clean_Data[[#This Row],[Units_Sold]]*Clean_Data[[#This Row],[Unit_Price]])</f>
        <v>110500</v>
      </c>
      <c r="M842">
        <f>Clean_Data[[#This Row],[Units_Sold]]*Clean_Data[[#This Row],[Cost_Price]]</f>
        <v>69862</v>
      </c>
      <c r="N842">
        <f>Clean_Data[[#This Row],[Total_Sales]]-Clean_Data[[#This Row],[Total_Cost]]</f>
        <v>40638</v>
      </c>
      <c r="O842" s="2">
        <f>Clean_Data[[#This Row],[Profit]]/Clean_Data[[#This Row],[Total_Sales]]</f>
        <v>0.36776470588235294</v>
      </c>
      <c r="P842" t="str">
        <f>_xlfn.XLOOKUP(Clean_Data[[#This Row],[Product_Code]],Product_Catalog!A:A,Product_Catalog!C:C)</f>
        <v>Accessories</v>
      </c>
      <c r="Q842">
        <f>IF(Clean_Data[[#This Row],[Order_Date]]="","",YEAR(Clean_Data[[#This Row],[Order_Date]]))</f>
        <v>2025</v>
      </c>
      <c r="R842" t="str">
        <f>TEXT(Clean_Data[[#This Row],[Order_Date]],"mmm")</f>
        <v>Jun</v>
      </c>
      <c r="S842" t="str">
        <f>TEXT(Clean_Data[[#This Row],[Order_Date]],"mmm-yy")</f>
        <v>Jun-25</v>
      </c>
      <c r="V842"/>
    </row>
    <row r="843" spans="1:22" x14ac:dyDescent="0.25">
      <c r="A843" t="s">
        <v>916</v>
      </c>
      <c r="B843" s="1">
        <v>45905</v>
      </c>
      <c r="C843" t="s">
        <v>48</v>
      </c>
      <c r="D843" t="s">
        <v>26</v>
      </c>
      <c r="E843" t="s">
        <v>63</v>
      </c>
      <c r="F843" t="s">
        <v>59</v>
      </c>
      <c r="G843">
        <v>11</v>
      </c>
      <c r="H843">
        <v>4500</v>
      </c>
      <c r="I843">
        <v>3430</v>
      </c>
      <c r="J843" t="s">
        <v>29</v>
      </c>
      <c r="K843" t="s">
        <v>46</v>
      </c>
      <c r="L843">
        <f>SUM(Clean_Data[[#This Row],[Units_Sold]]*Clean_Data[[#This Row],[Unit_Price]])</f>
        <v>49500</v>
      </c>
      <c r="M843">
        <f>Clean_Data[[#This Row],[Units_Sold]]*Clean_Data[[#This Row],[Cost_Price]]</f>
        <v>37730</v>
      </c>
      <c r="N843">
        <f>Clean_Data[[#This Row],[Total_Sales]]-Clean_Data[[#This Row],[Total_Cost]]</f>
        <v>11770</v>
      </c>
      <c r="O843" s="2">
        <f>Clean_Data[[#This Row],[Profit]]/Clean_Data[[#This Row],[Total_Sales]]</f>
        <v>0.23777777777777778</v>
      </c>
      <c r="P843" t="str">
        <f>_xlfn.XLOOKUP(Clean_Data[[#This Row],[Product_Code]],Product_Catalog!A:A,Product_Catalog!C:C)</f>
        <v>Electronics</v>
      </c>
      <c r="Q843">
        <f>IF(Clean_Data[[#This Row],[Order_Date]]="","",YEAR(Clean_Data[[#This Row],[Order_Date]]))</f>
        <v>2025</v>
      </c>
      <c r="R843" t="str">
        <f>TEXT(Clean_Data[[#This Row],[Order_Date]],"mmm")</f>
        <v>Sep</v>
      </c>
      <c r="S843" t="str">
        <f>TEXT(Clean_Data[[#This Row],[Order_Date]],"mmm-yy")</f>
        <v>Sep-25</v>
      </c>
      <c r="V843"/>
    </row>
    <row r="844" spans="1:22" x14ac:dyDescent="0.25">
      <c r="A844" t="s">
        <v>917</v>
      </c>
      <c r="B844" s="1">
        <v>45729</v>
      </c>
      <c r="C844" t="s">
        <v>62</v>
      </c>
      <c r="D844" t="s">
        <v>13</v>
      </c>
      <c r="E844" t="s">
        <v>55</v>
      </c>
      <c r="F844" t="s">
        <v>34</v>
      </c>
      <c r="G844">
        <v>1</v>
      </c>
      <c r="H844">
        <v>35000</v>
      </c>
      <c r="I844">
        <v>26811</v>
      </c>
      <c r="J844" t="s">
        <v>29</v>
      </c>
      <c r="K844" t="s">
        <v>17</v>
      </c>
      <c r="L844">
        <f>SUM(Clean_Data[[#This Row],[Units_Sold]]*Clean_Data[[#This Row],[Unit_Price]])</f>
        <v>35000</v>
      </c>
      <c r="M844">
        <f>Clean_Data[[#This Row],[Units_Sold]]*Clean_Data[[#This Row],[Cost_Price]]</f>
        <v>26811</v>
      </c>
      <c r="N844">
        <f>Clean_Data[[#This Row],[Total_Sales]]-Clean_Data[[#This Row],[Total_Cost]]</f>
        <v>8189</v>
      </c>
      <c r="O844" s="2">
        <f>Clean_Data[[#This Row],[Profit]]/Clean_Data[[#This Row],[Total_Sales]]</f>
        <v>0.23397142857142858</v>
      </c>
      <c r="P844" t="str">
        <f>_xlfn.XLOOKUP(Clean_Data[[#This Row],[Product_Code]],Product_Catalog!A:A,Product_Catalog!C:C)</f>
        <v>Furniture</v>
      </c>
      <c r="Q844">
        <f>IF(Clean_Data[[#This Row],[Order_Date]]="","",YEAR(Clean_Data[[#This Row],[Order_Date]]))</f>
        <v>2025</v>
      </c>
      <c r="R844" t="str">
        <f>TEXT(Clean_Data[[#This Row],[Order_Date]],"mmm")</f>
        <v>Mar</v>
      </c>
      <c r="S844" t="str">
        <f>TEXT(Clean_Data[[#This Row],[Order_Date]],"mmm-yy")</f>
        <v>Mar-25</v>
      </c>
      <c r="V844"/>
    </row>
    <row r="845" spans="1:22" x14ac:dyDescent="0.25">
      <c r="A845" t="s">
        <v>918</v>
      </c>
      <c r="B845" s="1">
        <v>46119</v>
      </c>
      <c r="C845" t="s">
        <v>44</v>
      </c>
      <c r="D845" t="s">
        <v>40</v>
      </c>
      <c r="E845" t="s">
        <v>55</v>
      </c>
      <c r="F845" t="s">
        <v>34</v>
      </c>
      <c r="G845">
        <v>7</v>
      </c>
      <c r="H845">
        <v>35000</v>
      </c>
      <c r="I845">
        <v>24675</v>
      </c>
      <c r="J845" t="s">
        <v>16</v>
      </c>
      <c r="K845" t="s">
        <v>23</v>
      </c>
      <c r="L845">
        <f>SUM(Clean_Data[[#This Row],[Units_Sold]]*Clean_Data[[#This Row],[Unit_Price]])</f>
        <v>245000</v>
      </c>
      <c r="M845">
        <f>Clean_Data[[#This Row],[Units_Sold]]*Clean_Data[[#This Row],[Cost_Price]]</f>
        <v>172725</v>
      </c>
      <c r="N845">
        <f>Clean_Data[[#This Row],[Total_Sales]]-Clean_Data[[#This Row],[Total_Cost]]</f>
        <v>72275</v>
      </c>
      <c r="O845" s="2">
        <f>Clean_Data[[#This Row],[Profit]]/Clean_Data[[#This Row],[Total_Sales]]</f>
        <v>0.29499999999999998</v>
      </c>
      <c r="P845" t="str">
        <f>_xlfn.XLOOKUP(Clean_Data[[#This Row],[Product_Code]],Product_Catalog!A:A,Product_Catalog!C:C)</f>
        <v>Furniture</v>
      </c>
      <c r="Q845">
        <f>IF(Clean_Data[[#This Row],[Order_Date]]="","",YEAR(Clean_Data[[#This Row],[Order_Date]]))</f>
        <v>2026</v>
      </c>
      <c r="R845" t="str">
        <f>TEXT(Clean_Data[[#This Row],[Order_Date]],"mmm")</f>
        <v>Apr</v>
      </c>
      <c r="S845" t="str">
        <f>TEXT(Clean_Data[[#This Row],[Order_Date]],"mmm-yy")</f>
        <v>Apr-26</v>
      </c>
      <c r="V845"/>
    </row>
    <row r="846" spans="1:22" x14ac:dyDescent="0.25">
      <c r="A846" t="s">
        <v>919</v>
      </c>
      <c r="B846" s="1">
        <v>45678</v>
      </c>
      <c r="C846" t="s">
        <v>53</v>
      </c>
      <c r="D846" t="s">
        <v>40</v>
      </c>
      <c r="E846" t="s">
        <v>41</v>
      </c>
      <c r="F846" t="s">
        <v>42</v>
      </c>
      <c r="G846">
        <v>17</v>
      </c>
      <c r="H846">
        <v>28000</v>
      </c>
      <c r="I846">
        <v>21017</v>
      </c>
      <c r="J846" t="s">
        <v>16</v>
      </c>
      <c r="K846" t="s">
        <v>23</v>
      </c>
      <c r="L846">
        <f>SUM(Clean_Data[[#This Row],[Units_Sold]]*Clean_Data[[#This Row],[Unit_Price]])</f>
        <v>476000</v>
      </c>
      <c r="M846">
        <f>Clean_Data[[#This Row],[Units_Sold]]*Clean_Data[[#This Row],[Cost_Price]]</f>
        <v>357289</v>
      </c>
      <c r="N846">
        <f>Clean_Data[[#This Row],[Total_Sales]]-Clean_Data[[#This Row],[Total_Cost]]</f>
        <v>118711</v>
      </c>
      <c r="O846" s="2">
        <f>Clean_Data[[#This Row],[Profit]]/Clean_Data[[#This Row],[Total_Sales]]</f>
        <v>0.24939285714285714</v>
      </c>
      <c r="P846" t="str">
        <f>_xlfn.XLOOKUP(Clean_Data[[#This Row],[Product_Code]],Product_Catalog!A:A,Product_Catalog!C:C)</f>
        <v>Electronics</v>
      </c>
      <c r="Q846">
        <f>IF(Clean_Data[[#This Row],[Order_Date]]="","",YEAR(Clean_Data[[#This Row],[Order_Date]]))</f>
        <v>2025</v>
      </c>
      <c r="R846" t="str">
        <f>TEXT(Clean_Data[[#This Row],[Order_Date]],"mmm")</f>
        <v>Jan</v>
      </c>
      <c r="S846" t="str">
        <f>TEXT(Clean_Data[[#This Row],[Order_Date]],"mmm-yy")</f>
        <v>Jan-25</v>
      </c>
      <c r="V846"/>
    </row>
    <row r="847" spans="1:22" x14ac:dyDescent="0.25">
      <c r="A847" t="s">
        <v>920</v>
      </c>
      <c r="B847" s="1">
        <v>45708</v>
      </c>
      <c r="C847" t="s">
        <v>62</v>
      </c>
      <c r="D847" t="s">
        <v>40</v>
      </c>
      <c r="E847" t="s">
        <v>37</v>
      </c>
      <c r="F847" t="s">
        <v>38</v>
      </c>
      <c r="G847">
        <v>7</v>
      </c>
      <c r="H847">
        <v>55000</v>
      </c>
      <c r="I847">
        <v>37160</v>
      </c>
      <c r="J847" t="s">
        <v>29</v>
      </c>
      <c r="K847" t="s">
        <v>17</v>
      </c>
      <c r="L847">
        <f>SUM(Clean_Data[[#This Row],[Units_Sold]]*Clean_Data[[#This Row],[Unit_Price]])</f>
        <v>385000</v>
      </c>
      <c r="M847">
        <f>Clean_Data[[#This Row],[Units_Sold]]*Clean_Data[[#This Row],[Cost_Price]]</f>
        <v>260120</v>
      </c>
      <c r="N847">
        <f>Clean_Data[[#This Row],[Total_Sales]]-Clean_Data[[#This Row],[Total_Cost]]</f>
        <v>124880</v>
      </c>
      <c r="O847" s="2">
        <f>Clean_Data[[#This Row],[Profit]]/Clean_Data[[#This Row],[Total_Sales]]</f>
        <v>0.32436363636363635</v>
      </c>
      <c r="P847" t="str">
        <f>_xlfn.XLOOKUP(Clean_Data[[#This Row],[Product_Code]],Product_Catalog!A:A,Product_Catalog!C:C)</f>
        <v>Electronics</v>
      </c>
      <c r="Q847">
        <f>IF(Clean_Data[[#This Row],[Order_Date]]="","",YEAR(Clean_Data[[#This Row],[Order_Date]]))</f>
        <v>2025</v>
      </c>
      <c r="R847" t="str">
        <f>TEXT(Clean_Data[[#This Row],[Order_Date]],"mmm")</f>
        <v>Feb</v>
      </c>
      <c r="S847" t="str">
        <f>TEXT(Clean_Data[[#This Row],[Order_Date]],"mmm-yy")</f>
        <v>Feb-25</v>
      </c>
      <c r="V847"/>
    </row>
    <row r="848" spans="1:22" x14ac:dyDescent="0.25">
      <c r="A848" t="s">
        <v>921</v>
      </c>
      <c r="B848" s="1">
        <v>46220</v>
      </c>
      <c r="C848" t="s">
        <v>62</v>
      </c>
      <c r="D848" t="s">
        <v>36</v>
      </c>
      <c r="E848" t="s">
        <v>41</v>
      </c>
      <c r="F848" t="s">
        <v>42</v>
      </c>
      <c r="G848">
        <v>16</v>
      </c>
      <c r="H848">
        <v>28000</v>
      </c>
      <c r="I848">
        <v>19651</v>
      </c>
      <c r="J848" t="s">
        <v>16</v>
      </c>
      <c r="K848" t="s">
        <v>46</v>
      </c>
      <c r="L848">
        <f>SUM(Clean_Data[[#This Row],[Units_Sold]]*Clean_Data[[#This Row],[Unit_Price]])</f>
        <v>448000</v>
      </c>
      <c r="M848">
        <f>Clean_Data[[#This Row],[Units_Sold]]*Clean_Data[[#This Row],[Cost_Price]]</f>
        <v>314416</v>
      </c>
      <c r="N848">
        <f>Clean_Data[[#This Row],[Total_Sales]]-Clean_Data[[#This Row],[Total_Cost]]</f>
        <v>133584</v>
      </c>
      <c r="O848" s="2">
        <f>Clean_Data[[#This Row],[Profit]]/Clean_Data[[#This Row],[Total_Sales]]</f>
        <v>0.2981785714285714</v>
      </c>
      <c r="P848" t="str">
        <f>_xlfn.XLOOKUP(Clean_Data[[#This Row],[Product_Code]],Product_Catalog!A:A,Product_Catalog!C:C)</f>
        <v>Electronics</v>
      </c>
      <c r="Q848">
        <f>IF(Clean_Data[[#This Row],[Order_Date]]="","",YEAR(Clean_Data[[#This Row],[Order_Date]]))</f>
        <v>2026</v>
      </c>
      <c r="R848" t="str">
        <f>TEXT(Clean_Data[[#This Row],[Order_Date]],"mmm")</f>
        <v>Jul</v>
      </c>
      <c r="S848" t="str">
        <f>TEXT(Clean_Data[[#This Row],[Order_Date]],"mmm-yy")</f>
        <v>Jul-26</v>
      </c>
      <c r="V848"/>
    </row>
    <row r="849" spans="1:22" x14ac:dyDescent="0.25">
      <c r="A849" t="s">
        <v>922</v>
      </c>
      <c r="B849" s="1">
        <v>46161</v>
      </c>
      <c r="C849" t="s">
        <v>53</v>
      </c>
      <c r="D849" t="s">
        <v>13</v>
      </c>
      <c r="E849" t="s">
        <v>63</v>
      </c>
      <c r="F849" t="s">
        <v>59</v>
      </c>
      <c r="G849">
        <v>6</v>
      </c>
      <c r="H849">
        <v>4500</v>
      </c>
      <c r="I849">
        <v>3503</v>
      </c>
      <c r="J849" t="s">
        <v>16</v>
      </c>
      <c r="K849" t="s">
        <v>17</v>
      </c>
      <c r="L849">
        <f>SUM(Clean_Data[[#This Row],[Units_Sold]]*Clean_Data[[#This Row],[Unit_Price]])</f>
        <v>27000</v>
      </c>
      <c r="M849">
        <f>Clean_Data[[#This Row],[Units_Sold]]*Clean_Data[[#This Row],[Cost_Price]]</f>
        <v>21018</v>
      </c>
      <c r="N849">
        <f>Clean_Data[[#This Row],[Total_Sales]]-Clean_Data[[#This Row],[Total_Cost]]</f>
        <v>5982</v>
      </c>
      <c r="O849" s="2">
        <f>Clean_Data[[#This Row],[Profit]]/Clean_Data[[#This Row],[Total_Sales]]</f>
        <v>0.22155555555555556</v>
      </c>
      <c r="P849" t="str">
        <f>_xlfn.XLOOKUP(Clean_Data[[#This Row],[Product_Code]],Product_Catalog!A:A,Product_Catalog!C:C)</f>
        <v>Electronics</v>
      </c>
      <c r="Q849">
        <f>IF(Clean_Data[[#This Row],[Order_Date]]="","",YEAR(Clean_Data[[#This Row],[Order_Date]]))</f>
        <v>2026</v>
      </c>
      <c r="R849" t="str">
        <f>TEXT(Clean_Data[[#This Row],[Order_Date]],"mmm")</f>
        <v>May</v>
      </c>
      <c r="S849" t="str">
        <f>TEXT(Clean_Data[[#This Row],[Order_Date]],"mmm-yy")</f>
        <v>May-26</v>
      </c>
      <c r="V849"/>
    </row>
    <row r="850" spans="1:22" x14ac:dyDescent="0.25">
      <c r="A850" t="s">
        <v>923</v>
      </c>
      <c r="B850" s="1">
        <v>46172</v>
      </c>
      <c r="C850" t="s">
        <v>53</v>
      </c>
      <c r="D850" t="s">
        <v>33</v>
      </c>
      <c r="E850" t="s">
        <v>55</v>
      </c>
      <c r="F850" t="s">
        <v>34</v>
      </c>
      <c r="G850">
        <v>6</v>
      </c>
      <c r="H850">
        <v>35000</v>
      </c>
      <c r="I850">
        <v>27758</v>
      </c>
      <c r="J850" t="s">
        <v>16</v>
      </c>
      <c r="K850" t="s">
        <v>46</v>
      </c>
      <c r="L850">
        <f>SUM(Clean_Data[[#This Row],[Units_Sold]]*Clean_Data[[#This Row],[Unit_Price]])</f>
        <v>210000</v>
      </c>
      <c r="M850">
        <f>Clean_Data[[#This Row],[Units_Sold]]*Clean_Data[[#This Row],[Cost_Price]]</f>
        <v>166548</v>
      </c>
      <c r="N850">
        <f>Clean_Data[[#This Row],[Total_Sales]]-Clean_Data[[#This Row],[Total_Cost]]</f>
        <v>43452</v>
      </c>
      <c r="O850" s="2">
        <f>Clean_Data[[#This Row],[Profit]]/Clean_Data[[#This Row],[Total_Sales]]</f>
        <v>0.20691428571428572</v>
      </c>
      <c r="P850" t="str">
        <f>_xlfn.XLOOKUP(Clean_Data[[#This Row],[Product_Code]],Product_Catalog!A:A,Product_Catalog!C:C)</f>
        <v>Furniture</v>
      </c>
      <c r="Q850">
        <f>IF(Clean_Data[[#This Row],[Order_Date]]="","",YEAR(Clean_Data[[#This Row],[Order_Date]]))</f>
        <v>2026</v>
      </c>
      <c r="R850" t="str">
        <f>TEXT(Clean_Data[[#This Row],[Order_Date]],"mmm")</f>
        <v>May</v>
      </c>
      <c r="S850" t="str">
        <f>TEXT(Clean_Data[[#This Row],[Order_Date]],"mmm-yy")</f>
        <v>May-26</v>
      </c>
      <c r="V850"/>
    </row>
    <row r="851" spans="1:22" x14ac:dyDescent="0.25">
      <c r="A851" t="s">
        <v>924</v>
      </c>
      <c r="B851" s="1">
        <v>45912</v>
      </c>
      <c r="C851" t="s">
        <v>19</v>
      </c>
      <c r="D851" t="s">
        <v>26</v>
      </c>
      <c r="E851" t="s">
        <v>66</v>
      </c>
      <c r="F851" t="s">
        <v>67</v>
      </c>
      <c r="G851">
        <v>7</v>
      </c>
      <c r="H851">
        <v>2500</v>
      </c>
      <c r="I851">
        <v>1721</v>
      </c>
      <c r="J851" t="s">
        <v>29</v>
      </c>
      <c r="K851" t="s">
        <v>17</v>
      </c>
      <c r="L851">
        <f>SUM(Clean_Data[[#This Row],[Units_Sold]]*Clean_Data[[#This Row],[Unit_Price]])</f>
        <v>17500</v>
      </c>
      <c r="M851">
        <f>Clean_Data[[#This Row],[Units_Sold]]*Clean_Data[[#This Row],[Cost_Price]]</f>
        <v>12047</v>
      </c>
      <c r="N851">
        <f>Clean_Data[[#This Row],[Total_Sales]]-Clean_Data[[#This Row],[Total_Cost]]</f>
        <v>5453</v>
      </c>
      <c r="O851" s="2">
        <f>Clean_Data[[#This Row],[Profit]]/Clean_Data[[#This Row],[Total_Sales]]</f>
        <v>0.31159999999999999</v>
      </c>
      <c r="P851" t="str">
        <f>_xlfn.XLOOKUP(Clean_Data[[#This Row],[Product_Code]],Product_Catalog!A:A,Product_Catalog!C:C)</f>
        <v>Electronics</v>
      </c>
      <c r="Q851">
        <f>IF(Clean_Data[[#This Row],[Order_Date]]="","",YEAR(Clean_Data[[#This Row],[Order_Date]]))</f>
        <v>2025</v>
      </c>
      <c r="R851" t="str">
        <f>TEXT(Clean_Data[[#This Row],[Order_Date]],"mmm")</f>
        <v>Sep</v>
      </c>
      <c r="S851" t="str">
        <f>TEXT(Clean_Data[[#This Row],[Order_Date]],"mmm-yy")</f>
        <v>Sep-25</v>
      </c>
      <c r="V851"/>
    </row>
    <row r="852" spans="1:22" x14ac:dyDescent="0.25">
      <c r="A852" t="s">
        <v>925</v>
      </c>
      <c r="B852" s="1">
        <v>45703</v>
      </c>
      <c r="C852" t="s">
        <v>48</v>
      </c>
      <c r="D852" t="s">
        <v>26</v>
      </c>
      <c r="E852" t="s">
        <v>27</v>
      </c>
      <c r="F852" t="s">
        <v>28</v>
      </c>
      <c r="G852">
        <v>7</v>
      </c>
      <c r="H852">
        <v>14000</v>
      </c>
      <c r="I852">
        <v>11069</v>
      </c>
      <c r="J852" t="s">
        <v>16</v>
      </c>
      <c r="K852" t="s">
        <v>46</v>
      </c>
      <c r="L852">
        <f>SUM(Clean_Data[[#This Row],[Units_Sold]]*Clean_Data[[#This Row],[Unit_Price]])</f>
        <v>98000</v>
      </c>
      <c r="M852">
        <f>Clean_Data[[#This Row],[Units_Sold]]*Clean_Data[[#This Row],[Cost_Price]]</f>
        <v>77483</v>
      </c>
      <c r="N852">
        <f>Clean_Data[[#This Row],[Total_Sales]]-Clean_Data[[#This Row],[Total_Cost]]</f>
        <v>20517</v>
      </c>
      <c r="O852" s="2">
        <f>Clean_Data[[#This Row],[Profit]]/Clean_Data[[#This Row],[Total_Sales]]</f>
        <v>0.20935714285714285</v>
      </c>
      <c r="P852" t="str">
        <f>_xlfn.XLOOKUP(Clean_Data[[#This Row],[Product_Code]],Product_Catalog!A:A,Product_Catalog!C:C)</f>
        <v>Furniture</v>
      </c>
      <c r="Q852">
        <f>IF(Clean_Data[[#This Row],[Order_Date]]="","",YEAR(Clean_Data[[#This Row],[Order_Date]]))</f>
        <v>2025</v>
      </c>
      <c r="R852" t="str">
        <f>TEXT(Clean_Data[[#This Row],[Order_Date]],"mmm")</f>
        <v>Feb</v>
      </c>
      <c r="S852" t="str">
        <f>TEXT(Clean_Data[[#This Row],[Order_Date]],"mmm-yy")</f>
        <v>Feb-25</v>
      </c>
      <c r="V852"/>
    </row>
    <row r="853" spans="1:22" x14ac:dyDescent="0.25">
      <c r="A853" t="s">
        <v>926</v>
      </c>
      <c r="B853" s="1">
        <v>45938</v>
      </c>
      <c r="C853" t="s">
        <v>31</v>
      </c>
      <c r="D853" t="s">
        <v>40</v>
      </c>
      <c r="E853" t="s">
        <v>41</v>
      </c>
      <c r="F853" t="s">
        <v>42</v>
      </c>
      <c r="G853">
        <v>8</v>
      </c>
      <c r="H853">
        <v>28000</v>
      </c>
      <c r="I853">
        <v>17219</v>
      </c>
      <c r="J853" t="s">
        <v>22</v>
      </c>
      <c r="K853" t="s">
        <v>17</v>
      </c>
      <c r="L853">
        <f>SUM(Clean_Data[[#This Row],[Units_Sold]]*Clean_Data[[#This Row],[Unit_Price]])</f>
        <v>224000</v>
      </c>
      <c r="M853">
        <f>Clean_Data[[#This Row],[Units_Sold]]*Clean_Data[[#This Row],[Cost_Price]]</f>
        <v>137752</v>
      </c>
      <c r="N853">
        <f>Clean_Data[[#This Row],[Total_Sales]]-Clean_Data[[#This Row],[Total_Cost]]</f>
        <v>86248</v>
      </c>
      <c r="O853" s="2">
        <f>Clean_Data[[#This Row],[Profit]]/Clean_Data[[#This Row],[Total_Sales]]</f>
        <v>0.38503571428571426</v>
      </c>
      <c r="P853" t="str">
        <f>_xlfn.XLOOKUP(Clean_Data[[#This Row],[Product_Code]],Product_Catalog!A:A,Product_Catalog!C:C)</f>
        <v>Electronics</v>
      </c>
      <c r="Q853">
        <f>IF(Clean_Data[[#This Row],[Order_Date]]="","",YEAR(Clean_Data[[#This Row],[Order_Date]]))</f>
        <v>2025</v>
      </c>
      <c r="R853" t="str">
        <f>TEXT(Clean_Data[[#This Row],[Order_Date]],"mmm")</f>
        <v>Oct</v>
      </c>
      <c r="S853" t="str">
        <f>TEXT(Clean_Data[[#This Row],[Order_Date]],"mmm-yy")</f>
        <v>Oct-25</v>
      </c>
      <c r="V853"/>
    </row>
    <row r="854" spans="1:22" x14ac:dyDescent="0.25">
      <c r="A854" t="s">
        <v>927</v>
      </c>
      <c r="B854" s="1">
        <v>45742</v>
      </c>
      <c r="C854" t="s">
        <v>19</v>
      </c>
      <c r="D854" t="s">
        <v>33</v>
      </c>
      <c r="E854" t="s">
        <v>20</v>
      </c>
      <c r="F854" t="s">
        <v>21</v>
      </c>
      <c r="G854">
        <v>15</v>
      </c>
      <c r="H854">
        <v>8500</v>
      </c>
      <c r="I854">
        <v>6371</v>
      </c>
      <c r="J854" t="s">
        <v>29</v>
      </c>
      <c r="K854" t="s">
        <v>46</v>
      </c>
      <c r="L854">
        <f>SUM(Clean_Data[[#This Row],[Units_Sold]]*Clean_Data[[#This Row],[Unit_Price]])</f>
        <v>127500</v>
      </c>
      <c r="M854">
        <f>Clean_Data[[#This Row],[Units_Sold]]*Clean_Data[[#This Row],[Cost_Price]]</f>
        <v>95565</v>
      </c>
      <c r="N854">
        <f>Clean_Data[[#This Row],[Total_Sales]]-Clean_Data[[#This Row],[Total_Cost]]</f>
        <v>31935</v>
      </c>
      <c r="O854" s="2">
        <f>Clean_Data[[#This Row],[Profit]]/Clean_Data[[#This Row],[Total_Sales]]</f>
        <v>0.25047058823529411</v>
      </c>
      <c r="P854" t="str">
        <f>_xlfn.XLOOKUP(Clean_Data[[#This Row],[Product_Code]],Product_Catalog!A:A,Product_Catalog!C:C)</f>
        <v>Accessories</v>
      </c>
      <c r="Q854">
        <f>IF(Clean_Data[[#This Row],[Order_Date]]="","",YEAR(Clean_Data[[#This Row],[Order_Date]]))</f>
        <v>2025</v>
      </c>
      <c r="R854" t="str">
        <f>TEXT(Clean_Data[[#This Row],[Order_Date]],"mmm")</f>
        <v>Mar</v>
      </c>
      <c r="S854" t="str">
        <f>TEXT(Clean_Data[[#This Row],[Order_Date]],"mmm-yy")</f>
        <v>Mar-25</v>
      </c>
      <c r="V854"/>
    </row>
    <row r="855" spans="1:22" x14ac:dyDescent="0.25">
      <c r="A855" t="s">
        <v>928</v>
      </c>
      <c r="B855" s="1">
        <v>45883</v>
      </c>
      <c r="C855" t="s">
        <v>73</v>
      </c>
      <c r="D855" t="s">
        <v>40</v>
      </c>
      <c r="E855" t="s">
        <v>66</v>
      </c>
      <c r="F855" t="s">
        <v>67</v>
      </c>
      <c r="G855">
        <v>8</v>
      </c>
      <c r="H855">
        <v>2500</v>
      </c>
      <c r="I855">
        <v>1876</v>
      </c>
      <c r="J855" t="s">
        <v>45</v>
      </c>
      <c r="K855" t="s">
        <v>23</v>
      </c>
      <c r="L855">
        <f>SUM(Clean_Data[[#This Row],[Units_Sold]]*Clean_Data[[#This Row],[Unit_Price]])</f>
        <v>20000</v>
      </c>
      <c r="M855">
        <f>Clean_Data[[#This Row],[Units_Sold]]*Clean_Data[[#This Row],[Cost_Price]]</f>
        <v>15008</v>
      </c>
      <c r="N855">
        <f>Clean_Data[[#This Row],[Total_Sales]]-Clean_Data[[#This Row],[Total_Cost]]</f>
        <v>4992</v>
      </c>
      <c r="O855" s="2">
        <f>Clean_Data[[#This Row],[Profit]]/Clean_Data[[#This Row],[Total_Sales]]</f>
        <v>0.24959999999999999</v>
      </c>
      <c r="P855" t="str">
        <f>_xlfn.XLOOKUP(Clean_Data[[#This Row],[Product_Code]],Product_Catalog!A:A,Product_Catalog!C:C)</f>
        <v>Electronics</v>
      </c>
      <c r="Q855">
        <f>IF(Clean_Data[[#This Row],[Order_Date]]="","",YEAR(Clean_Data[[#This Row],[Order_Date]]))</f>
        <v>2025</v>
      </c>
      <c r="R855" t="str">
        <f>TEXT(Clean_Data[[#This Row],[Order_Date]],"mmm")</f>
        <v>Aug</v>
      </c>
      <c r="S855" t="str">
        <f>TEXT(Clean_Data[[#This Row],[Order_Date]],"mmm-yy")</f>
        <v>Aug-25</v>
      </c>
      <c r="V855"/>
    </row>
    <row r="856" spans="1:22" x14ac:dyDescent="0.25">
      <c r="A856" t="s">
        <v>929</v>
      </c>
      <c r="B856" s="1">
        <v>45861</v>
      </c>
      <c r="C856" t="s">
        <v>62</v>
      </c>
      <c r="D856" t="s">
        <v>26</v>
      </c>
      <c r="E856" t="s">
        <v>41</v>
      </c>
      <c r="F856" t="s">
        <v>42</v>
      </c>
      <c r="G856">
        <v>14</v>
      </c>
      <c r="H856">
        <v>28000</v>
      </c>
      <c r="I856">
        <v>22028</v>
      </c>
      <c r="J856" t="s">
        <v>16</v>
      </c>
      <c r="K856" t="s">
        <v>17</v>
      </c>
      <c r="L856">
        <f>SUM(Clean_Data[[#This Row],[Units_Sold]]*Clean_Data[[#This Row],[Unit_Price]])</f>
        <v>392000</v>
      </c>
      <c r="M856">
        <f>Clean_Data[[#This Row],[Units_Sold]]*Clean_Data[[#This Row],[Cost_Price]]</f>
        <v>308392</v>
      </c>
      <c r="N856">
        <f>Clean_Data[[#This Row],[Total_Sales]]-Clean_Data[[#This Row],[Total_Cost]]</f>
        <v>83608</v>
      </c>
      <c r="O856" s="2">
        <f>Clean_Data[[#This Row],[Profit]]/Clean_Data[[#This Row],[Total_Sales]]</f>
        <v>0.21328571428571427</v>
      </c>
      <c r="P856" t="str">
        <f>_xlfn.XLOOKUP(Clean_Data[[#This Row],[Product_Code]],Product_Catalog!A:A,Product_Catalog!C:C)</f>
        <v>Electronics</v>
      </c>
      <c r="Q856">
        <f>IF(Clean_Data[[#This Row],[Order_Date]]="","",YEAR(Clean_Data[[#This Row],[Order_Date]]))</f>
        <v>2025</v>
      </c>
      <c r="R856" t="str">
        <f>TEXT(Clean_Data[[#This Row],[Order_Date]],"mmm")</f>
        <v>Jul</v>
      </c>
      <c r="S856" t="str">
        <f>TEXT(Clean_Data[[#This Row],[Order_Date]],"mmm-yy")</f>
        <v>Jul-25</v>
      </c>
      <c r="V856"/>
    </row>
    <row r="857" spans="1:22" x14ac:dyDescent="0.25">
      <c r="A857" t="s">
        <v>930</v>
      </c>
      <c r="B857" s="1">
        <v>46020</v>
      </c>
      <c r="C857" t="s">
        <v>31</v>
      </c>
      <c r="D857" t="s">
        <v>40</v>
      </c>
      <c r="E857" t="s">
        <v>41</v>
      </c>
      <c r="F857" t="s">
        <v>42</v>
      </c>
      <c r="G857">
        <v>4</v>
      </c>
      <c r="H857">
        <v>28000</v>
      </c>
      <c r="I857">
        <v>21840</v>
      </c>
      <c r="J857" t="s">
        <v>29</v>
      </c>
      <c r="K857" t="s">
        <v>17</v>
      </c>
      <c r="L857">
        <f>SUM(Clean_Data[[#This Row],[Units_Sold]]*Clean_Data[[#This Row],[Unit_Price]])</f>
        <v>112000</v>
      </c>
      <c r="M857">
        <f>Clean_Data[[#This Row],[Units_Sold]]*Clean_Data[[#This Row],[Cost_Price]]</f>
        <v>87360</v>
      </c>
      <c r="N857">
        <f>Clean_Data[[#This Row],[Total_Sales]]-Clean_Data[[#This Row],[Total_Cost]]</f>
        <v>24640</v>
      </c>
      <c r="O857" s="2">
        <f>Clean_Data[[#This Row],[Profit]]/Clean_Data[[#This Row],[Total_Sales]]</f>
        <v>0.22</v>
      </c>
      <c r="P857" t="str">
        <f>_xlfn.XLOOKUP(Clean_Data[[#This Row],[Product_Code]],Product_Catalog!A:A,Product_Catalog!C:C)</f>
        <v>Electronics</v>
      </c>
      <c r="Q857">
        <f>IF(Clean_Data[[#This Row],[Order_Date]]="","",YEAR(Clean_Data[[#This Row],[Order_Date]]))</f>
        <v>2025</v>
      </c>
      <c r="R857" t="str">
        <f>TEXT(Clean_Data[[#This Row],[Order_Date]],"mmm")</f>
        <v>Dec</v>
      </c>
      <c r="S857" t="str">
        <f>TEXT(Clean_Data[[#This Row],[Order_Date]],"mmm-yy")</f>
        <v>Dec-25</v>
      </c>
      <c r="V857"/>
    </row>
    <row r="858" spans="1:22" x14ac:dyDescent="0.25">
      <c r="A858" t="s">
        <v>931</v>
      </c>
      <c r="B858" s="1">
        <v>46181</v>
      </c>
      <c r="C858" t="s">
        <v>44</v>
      </c>
      <c r="D858" t="s">
        <v>33</v>
      </c>
      <c r="E858" t="s">
        <v>20</v>
      </c>
      <c r="F858" t="s">
        <v>21</v>
      </c>
      <c r="G858">
        <v>11</v>
      </c>
      <c r="H858">
        <v>8500</v>
      </c>
      <c r="I858">
        <v>6248</v>
      </c>
      <c r="J858" t="s">
        <v>22</v>
      </c>
      <c r="K858" t="s">
        <v>46</v>
      </c>
      <c r="L858">
        <f>SUM(Clean_Data[[#This Row],[Units_Sold]]*Clean_Data[[#This Row],[Unit_Price]])</f>
        <v>93500</v>
      </c>
      <c r="M858">
        <f>Clean_Data[[#This Row],[Units_Sold]]*Clean_Data[[#This Row],[Cost_Price]]</f>
        <v>68728</v>
      </c>
      <c r="N858">
        <f>Clean_Data[[#This Row],[Total_Sales]]-Clean_Data[[#This Row],[Total_Cost]]</f>
        <v>24772</v>
      </c>
      <c r="O858" s="2">
        <f>Clean_Data[[#This Row],[Profit]]/Clean_Data[[#This Row],[Total_Sales]]</f>
        <v>0.26494117647058824</v>
      </c>
      <c r="P858" t="str">
        <f>_xlfn.XLOOKUP(Clean_Data[[#This Row],[Product_Code]],Product_Catalog!A:A,Product_Catalog!C:C)</f>
        <v>Accessories</v>
      </c>
      <c r="Q858">
        <f>IF(Clean_Data[[#This Row],[Order_Date]]="","",YEAR(Clean_Data[[#This Row],[Order_Date]]))</f>
        <v>2026</v>
      </c>
      <c r="R858" t="str">
        <f>TEXT(Clean_Data[[#This Row],[Order_Date]],"mmm")</f>
        <v>Jun</v>
      </c>
      <c r="S858" t="str">
        <f>TEXT(Clean_Data[[#This Row],[Order_Date]],"mmm-yy")</f>
        <v>Jun-26</v>
      </c>
      <c r="V858"/>
    </row>
    <row r="859" spans="1:22" x14ac:dyDescent="0.25">
      <c r="A859" t="s">
        <v>932</v>
      </c>
      <c r="B859" s="1">
        <v>46038</v>
      </c>
      <c r="C859" t="s">
        <v>62</v>
      </c>
      <c r="D859" t="s">
        <v>26</v>
      </c>
      <c r="E859" t="s">
        <v>37</v>
      </c>
      <c r="F859" t="s">
        <v>38</v>
      </c>
      <c r="G859">
        <v>1</v>
      </c>
      <c r="H859">
        <v>55000</v>
      </c>
      <c r="I859">
        <v>39787</v>
      </c>
      <c r="J859" t="s">
        <v>16</v>
      </c>
      <c r="K859" t="s">
        <v>17</v>
      </c>
      <c r="L859">
        <f>SUM(Clean_Data[[#This Row],[Units_Sold]]*Clean_Data[[#This Row],[Unit_Price]])</f>
        <v>55000</v>
      </c>
      <c r="M859">
        <f>Clean_Data[[#This Row],[Units_Sold]]*Clean_Data[[#This Row],[Cost_Price]]</f>
        <v>39787</v>
      </c>
      <c r="N859">
        <f>Clean_Data[[#This Row],[Total_Sales]]-Clean_Data[[#This Row],[Total_Cost]]</f>
        <v>15213</v>
      </c>
      <c r="O859" s="2">
        <f>Clean_Data[[#This Row],[Profit]]/Clean_Data[[#This Row],[Total_Sales]]</f>
        <v>0.27660000000000001</v>
      </c>
      <c r="P859" t="str">
        <f>_xlfn.XLOOKUP(Clean_Data[[#This Row],[Product_Code]],Product_Catalog!A:A,Product_Catalog!C:C)</f>
        <v>Electronics</v>
      </c>
      <c r="Q859">
        <f>IF(Clean_Data[[#This Row],[Order_Date]]="","",YEAR(Clean_Data[[#This Row],[Order_Date]]))</f>
        <v>2026</v>
      </c>
      <c r="R859" t="str">
        <f>TEXT(Clean_Data[[#This Row],[Order_Date]],"mmm")</f>
        <v>Jan</v>
      </c>
      <c r="S859" t="str">
        <f>TEXT(Clean_Data[[#This Row],[Order_Date]],"mmm-yy")</f>
        <v>Jan-26</v>
      </c>
      <c r="V859"/>
    </row>
    <row r="860" spans="1:22" x14ac:dyDescent="0.25">
      <c r="A860" t="s">
        <v>933</v>
      </c>
      <c r="B860" s="1">
        <v>46010</v>
      </c>
      <c r="C860" t="s">
        <v>73</v>
      </c>
      <c r="D860" t="s">
        <v>13</v>
      </c>
      <c r="E860" t="s">
        <v>37</v>
      </c>
      <c r="F860" t="s">
        <v>38</v>
      </c>
      <c r="G860">
        <v>6</v>
      </c>
      <c r="H860">
        <v>55000</v>
      </c>
      <c r="I860">
        <v>40791</v>
      </c>
      <c r="J860" t="s">
        <v>22</v>
      </c>
      <c r="K860" t="s">
        <v>17</v>
      </c>
      <c r="L860">
        <f>SUM(Clean_Data[[#This Row],[Units_Sold]]*Clean_Data[[#This Row],[Unit_Price]])</f>
        <v>330000</v>
      </c>
      <c r="M860">
        <f>Clean_Data[[#This Row],[Units_Sold]]*Clean_Data[[#This Row],[Cost_Price]]</f>
        <v>244746</v>
      </c>
      <c r="N860">
        <f>Clean_Data[[#This Row],[Total_Sales]]-Clean_Data[[#This Row],[Total_Cost]]</f>
        <v>85254</v>
      </c>
      <c r="O860" s="2">
        <f>Clean_Data[[#This Row],[Profit]]/Clean_Data[[#This Row],[Total_Sales]]</f>
        <v>0.25834545454545454</v>
      </c>
      <c r="P860" t="str">
        <f>_xlfn.XLOOKUP(Clean_Data[[#This Row],[Product_Code]],Product_Catalog!A:A,Product_Catalog!C:C)</f>
        <v>Electronics</v>
      </c>
      <c r="Q860">
        <f>IF(Clean_Data[[#This Row],[Order_Date]]="","",YEAR(Clean_Data[[#This Row],[Order_Date]]))</f>
        <v>2025</v>
      </c>
      <c r="R860" t="str">
        <f>TEXT(Clean_Data[[#This Row],[Order_Date]],"mmm")</f>
        <v>Dec</v>
      </c>
      <c r="S860" t="str">
        <f>TEXT(Clean_Data[[#This Row],[Order_Date]],"mmm-yy")</f>
        <v>Dec-25</v>
      </c>
      <c r="V860"/>
    </row>
    <row r="861" spans="1:22" x14ac:dyDescent="0.25">
      <c r="A861" t="s">
        <v>934</v>
      </c>
      <c r="B861" s="1">
        <v>46052</v>
      </c>
      <c r="C861" t="s">
        <v>73</v>
      </c>
      <c r="D861" t="s">
        <v>40</v>
      </c>
      <c r="E861" t="s">
        <v>27</v>
      </c>
      <c r="F861" t="s">
        <v>28</v>
      </c>
      <c r="G861">
        <v>4</v>
      </c>
      <c r="H861">
        <v>14000</v>
      </c>
      <c r="I861">
        <v>9027</v>
      </c>
      <c r="J861" t="s">
        <v>16</v>
      </c>
      <c r="K861" t="s">
        <v>46</v>
      </c>
      <c r="L861">
        <f>SUM(Clean_Data[[#This Row],[Units_Sold]]*Clean_Data[[#This Row],[Unit_Price]])</f>
        <v>56000</v>
      </c>
      <c r="M861">
        <f>Clean_Data[[#This Row],[Units_Sold]]*Clean_Data[[#This Row],[Cost_Price]]</f>
        <v>36108</v>
      </c>
      <c r="N861">
        <f>Clean_Data[[#This Row],[Total_Sales]]-Clean_Data[[#This Row],[Total_Cost]]</f>
        <v>19892</v>
      </c>
      <c r="O861" s="2">
        <f>Clean_Data[[#This Row],[Profit]]/Clean_Data[[#This Row],[Total_Sales]]</f>
        <v>0.3552142857142857</v>
      </c>
      <c r="P861" t="str">
        <f>_xlfn.XLOOKUP(Clean_Data[[#This Row],[Product_Code]],Product_Catalog!A:A,Product_Catalog!C:C)</f>
        <v>Furniture</v>
      </c>
      <c r="Q861">
        <f>IF(Clean_Data[[#This Row],[Order_Date]]="","",YEAR(Clean_Data[[#This Row],[Order_Date]]))</f>
        <v>2026</v>
      </c>
      <c r="R861" t="str">
        <f>TEXT(Clean_Data[[#This Row],[Order_Date]],"mmm")</f>
        <v>Jan</v>
      </c>
      <c r="S861" t="str">
        <f>TEXT(Clean_Data[[#This Row],[Order_Date]],"mmm-yy")</f>
        <v>Jan-26</v>
      </c>
      <c r="V861"/>
    </row>
    <row r="862" spans="1:22" x14ac:dyDescent="0.25">
      <c r="A862" t="s">
        <v>935</v>
      </c>
      <c r="B862" s="1">
        <v>46216</v>
      </c>
      <c r="C862" t="s">
        <v>62</v>
      </c>
      <c r="D862" t="s">
        <v>26</v>
      </c>
      <c r="E862" t="s">
        <v>27</v>
      </c>
      <c r="F862" t="s">
        <v>28</v>
      </c>
      <c r="G862">
        <v>9</v>
      </c>
      <c r="H862">
        <v>14000</v>
      </c>
      <c r="I862">
        <v>9327</v>
      </c>
      <c r="J862" t="s">
        <v>22</v>
      </c>
      <c r="K862" t="s">
        <v>17</v>
      </c>
      <c r="L862">
        <f>SUM(Clean_Data[[#This Row],[Units_Sold]]*Clean_Data[[#This Row],[Unit_Price]])</f>
        <v>126000</v>
      </c>
      <c r="M862">
        <f>Clean_Data[[#This Row],[Units_Sold]]*Clean_Data[[#This Row],[Cost_Price]]</f>
        <v>83943</v>
      </c>
      <c r="N862">
        <f>Clean_Data[[#This Row],[Total_Sales]]-Clean_Data[[#This Row],[Total_Cost]]</f>
        <v>42057</v>
      </c>
      <c r="O862" s="2">
        <f>Clean_Data[[#This Row],[Profit]]/Clean_Data[[#This Row],[Total_Sales]]</f>
        <v>0.3337857142857143</v>
      </c>
      <c r="P862" t="str">
        <f>_xlfn.XLOOKUP(Clean_Data[[#This Row],[Product_Code]],Product_Catalog!A:A,Product_Catalog!C:C)</f>
        <v>Furniture</v>
      </c>
      <c r="Q862">
        <f>IF(Clean_Data[[#This Row],[Order_Date]]="","",YEAR(Clean_Data[[#This Row],[Order_Date]]))</f>
        <v>2026</v>
      </c>
      <c r="R862" t="str">
        <f>TEXT(Clean_Data[[#This Row],[Order_Date]],"mmm")</f>
        <v>Jul</v>
      </c>
      <c r="S862" t="str">
        <f>TEXT(Clean_Data[[#This Row],[Order_Date]],"mmm-yy")</f>
        <v>Jul-26</v>
      </c>
      <c r="V862"/>
    </row>
    <row r="863" spans="1:22" x14ac:dyDescent="0.25">
      <c r="A863" t="s">
        <v>936</v>
      </c>
      <c r="B863" s="1">
        <v>45998</v>
      </c>
      <c r="C863" t="s">
        <v>48</v>
      </c>
      <c r="D863" t="s">
        <v>36</v>
      </c>
      <c r="E863" t="s">
        <v>49</v>
      </c>
      <c r="F863" t="s">
        <v>50</v>
      </c>
      <c r="G863">
        <v>5</v>
      </c>
      <c r="H863">
        <v>75000</v>
      </c>
      <c r="I863">
        <v>54860</v>
      </c>
      <c r="J863" t="s">
        <v>45</v>
      </c>
      <c r="K863" t="s">
        <v>23</v>
      </c>
      <c r="L863">
        <f>SUM(Clean_Data[[#This Row],[Units_Sold]]*Clean_Data[[#This Row],[Unit_Price]])</f>
        <v>375000</v>
      </c>
      <c r="M863">
        <f>Clean_Data[[#This Row],[Units_Sold]]*Clean_Data[[#This Row],[Cost_Price]]</f>
        <v>274300</v>
      </c>
      <c r="N863">
        <f>Clean_Data[[#This Row],[Total_Sales]]-Clean_Data[[#This Row],[Total_Cost]]</f>
        <v>100700</v>
      </c>
      <c r="O863" s="2">
        <f>Clean_Data[[#This Row],[Profit]]/Clean_Data[[#This Row],[Total_Sales]]</f>
        <v>0.26853333333333335</v>
      </c>
      <c r="P863" t="str">
        <f>_xlfn.XLOOKUP(Clean_Data[[#This Row],[Product_Code]],Product_Catalog!A:A,Product_Catalog!C:C)</f>
        <v>Electronics</v>
      </c>
      <c r="Q863">
        <f>IF(Clean_Data[[#This Row],[Order_Date]]="","",YEAR(Clean_Data[[#This Row],[Order_Date]]))</f>
        <v>2025</v>
      </c>
      <c r="R863" t="str">
        <f>TEXT(Clean_Data[[#This Row],[Order_Date]],"mmm")</f>
        <v>Dec</v>
      </c>
      <c r="S863" t="str">
        <f>TEXT(Clean_Data[[#This Row],[Order_Date]],"mmm-yy")</f>
        <v>Dec-25</v>
      </c>
      <c r="V863"/>
    </row>
    <row r="864" spans="1:22" x14ac:dyDescent="0.25">
      <c r="A864" t="s">
        <v>937</v>
      </c>
      <c r="B864" s="1">
        <v>45842</v>
      </c>
      <c r="C864" t="s">
        <v>25</v>
      </c>
      <c r="D864" t="s">
        <v>40</v>
      </c>
      <c r="E864" t="s">
        <v>63</v>
      </c>
      <c r="F864" t="s">
        <v>59</v>
      </c>
      <c r="G864">
        <v>17</v>
      </c>
      <c r="H864">
        <v>4500</v>
      </c>
      <c r="I864">
        <v>3011</v>
      </c>
      <c r="J864" t="s">
        <v>16</v>
      </c>
      <c r="K864" t="s">
        <v>17</v>
      </c>
      <c r="L864">
        <f>SUM(Clean_Data[[#This Row],[Units_Sold]]*Clean_Data[[#This Row],[Unit_Price]])</f>
        <v>76500</v>
      </c>
      <c r="M864">
        <f>Clean_Data[[#This Row],[Units_Sold]]*Clean_Data[[#This Row],[Cost_Price]]</f>
        <v>51187</v>
      </c>
      <c r="N864">
        <f>Clean_Data[[#This Row],[Total_Sales]]-Clean_Data[[#This Row],[Total_Cost]]</f>
        <v>25313</v>
      </c>
      <c r="O864" s="2">
        <f>Clean_Data[[#This Row],[Profit]]/Clean_Data[[#This Row],[Total_Sales]]</f>
        <v>0.3308888888888889</v>
      </c>
      <c r="P864" t="str">
        <f>_xlfn.XLOOKUP(Clean_Data[[#This Row],[Product_Code]],Product_Catalog!A:A,Product_Catalog!C:C)</f>
        <v>Electronics</v>
      </c>
      <c r="Q864">
        <f>IF(Clean_Data[[#This Row],[Order_Date]]="","",YEAR(Clean_Data[[#This Row],[Order_Date]]))</f>
        <v>2025</v>
      </c>
      <c r="R864" t="str">
        <f>TEXT(Clean_Data[[#This Row],[Order_Date]],"mmm")</f>
        <v>Jul</v>
      </c>
      <c r="S864" t="str">
        <f>TEXT(Clean_Data[[#This Row],[Order_Date]],"mmm-yy")</f>
        <v>Jul-25</v>
      </c>
      <c r="V864"/>
    </row>
    <row r="865" spans="1:22" x14ac:dyDescent="0.25">
      <c r="A865" t="s">
        <v>938</v>
      </c>
      <c r="B865" s="1">
        <v>46114</v>
      </c>
      <c r="C865" t="s">
        <v>25</v>
      </c>
      <c r="D865" t="s">
        <v>36</v>
      </c>
      <c r="E865" t="s">
        <v>27</v>
      </c>
      <c r="F865" t="s">
        <v>28</v>
      </c>
      <c r="G865">
        <v>17</v>
      </c>
      <c r="H865">
        <v>14000</v>
      </c>
      <c r="I865">
        <v>9401</v>
      </c>
      <c r="J865" t="s">
        <v>16</v>
      </c>
      <c r="K865" t="s">
        <v>23</v>
      </c>
      <c r="L865">
        <f>SUM(Clean_Data[[#This Row],[Units_Sold]]*Clean_Data[[#This Row],[Unit_Price]])</f>
        <v>238000</v>
      </c>
      <c r="M865">
        <f>Clean_Data[[#This Row],[Units_Sold]]*Clean_Data[[#This Row],[Cost_Price]]</f>
        <v>159817</v>
      </c>
      <c r="N865">
        <f>Clean_Data[[#This Row],[Total_Sales]]-Clean_Data[[#This Row],[Total_Cost]]</f>
        <v>78183</v>
      </c>
      <c r="O865" s="2">
        <f>Clean_Data[[#This Row],[Profit]]/Clean_Data[[#This Row],[Total_Sales]]</f>
        <v>0.32850000000000001</v>
      </c>
      <c r="P865" t="str">
        <f>_xlfn.XLOOKUP(Clean_Data[[#This Row],[Product_Code]],Product_Catalog!A:A,Product_Catalog!C:C)</f>
        <v>Furniture</v>
      </c>
      <c r="Q865">
        <f>IF(Clean_Data[[#This Row],[Order_Date]]="","",YEAR(Clean_Data[[#This Row],[Order_Date]]))</f>
        <v>2026</v>
      </c>
      <c r="R865" t="str">
        <f>TEXT(Clean_Data[[#This Row],[Order_Date]],"mmm")</f>
        <v>Apr</v>
      </c>
      <c r="S865" t="str">
        <f>TEXT(Clean_Data[[#This Row],[Order_Date]],"mmm-yy")</f>
        <v>Apr-26</v>
      </c>
      <c r="V865"/>
    </row>
    <row r="866" spans="1:22" x14ac:dyDescent="0.25">
      <c r="A866" t="s">
        <v>939</v>
      </c>
      <c r="B866" s="1">
        <v>45873</v>
      </c>
      <c r="C866" t="s">
        <v>53</v>
      </c>
      <c r="D866" t="s">
        <v>40</v>
      </c>
      <c r="E866" t="s">
        <v>49</v>
      </c>
      <c r="F866" t="s">
        <v>50</v>
      </c>
      <c r="G866">
        <v>7</v>
      </c>
      <c r="H866">
        <v>75000</v>
      </c>
      <c r="I866">
        <v>48877</v>
      </c>
      <c r="J866" t="s">
        <v>29</v>
      </c>
      <c r="K866" t="s">
        <v>46</v>
      </c>
      <c r="L866">
        <f>SUM(Clean_Data[[#This Row],[Units_Sold]]*Clean_Data[[#This Row],[Unit_Price]])</f>
        <v>525000</v>
      </c>
      <c r="M866">
        <f>Clean_Data[[#This Row],[Units_Sold]]*Clean_Data[[#This Row],[Cost_Price]]</f>
        <v>342139</v>
      </c>
      <c r="N866">
        <f>Clean_Data[[#This Row],[Total_Sales]]-Clean_Data[[#This Row],[Total_Cost]]</f>
        <v>182861</v>
      </c>
      <c r="O866" s="2">
        <f>Clean_Data[[#This Row],[Profit]]/Clean_Data[[#This Row],[Total_Sales]]</f>
        <v>0.34830666666666665</v>
      </c>
      <c r="P866" t="str">
        <f>_xlfn.XLOOKUP(Clean_Data[[#This Row],[Product_Code]],Product_Catalog!A:A,Product_Catalog!C:C)</f>
        <v>Electronics</v>
      </c>
      <c r="Q866">
        <f>IF(Clean_Data[[#This Row],[Order_Date]]="","",YEAR(Clean_Data[[#This Row],[Order_Date]]))</f>
        <v>2025</v>
      </c>
      <c r="R866" t="str">
        <f>TEXT(Clean_Data[[#This Row],[Order_Date]],"mmm")</f>
        <v>Aug</v>
      </c>
      <c r="S866" t="str">
        <f>TEXT(Clean_Data[[#This Row],[Order_Date]],"mmm-yy")</f>
        <v>Aug-25</v>
      </c>
      <c r="V866"/>
    </row>
    <row r="867" spans="1:22" x14ac:dyDescent="0.25">
      <c r="A867" t="s">
        <v>940</v>
      </c>
      <c r="B867" s="1">
        <v>45944</v>
      </c>
      <c r="C867" t="s">
        <v>25</v>
      </c>
      <c r="D867" t="s">
        <v>13</v>
      </c>
      <c r="E867" t="s">
        <v>20</v>
      </c>
      <c r="F867" t="s">
        <v>21</v>
      </c>
      <c r="G867">
        <v>1</v>
      </c>
      <c r="H867">
        <v>8500</v>
      </c>
      <c r="I867">
        <v>5835</v>
      </c>
      <c r="J867" t="s">
        <v>16</v>
      </c>
      <c r="K867" t="s">
        <v>84</v>
      </c>
      <c r="L867">
        <f>SUM(Clean_Data[[#This Row],[Units_Sold]]*Clean_Data[[#This Row],[Unit_Price]])</f>
        <v>8500</v>
      </c>
      <c r="M867">
        <f>Clean_Data[[#This Row],[Units_Sold]]*Clean_Data[[#This Row],[Cost_Price]]</f>
        <v>5835</v>
      </c>
      <c r="N867">
        <f>Clean_Data[[#This Row],[Total_Sales]]-Clean_Data[[#This Row],[Total_Cost]]</f>
        <v>2665</v>
      </c>
      <c r="O867" s="2">
        <f>Clean_Data[[#This Row],[Profit]]/Clean_Data[[#This Row],[Total_Sales]]</f>
        <v>0.31352941176470589</v>
      </c>
      <c r="P867" t="str">
        <f>_xlfn.XLOOKUP(Clean_Data[[#This Row],[Product_Code]],Product_Catalog!A:A,Product_Catalog!C:C)</f>
        <v>Accessories</v>
      </c>
      <c r="Q867">
        <f>IF(Clean_Data[[#This Row],[Order_Date]]="","",YEAR(Clean_Data[[#This Row],[Order_Date]]))</f>
        <v>2025</v>
      </c>
      <c r="R867" t="str">
        <f>TEXT(Clean_Data[[#This Row],[Order_Date]],"mmm")</f>
        <v>Oct</v>
      </c>
      <c r="S867" t="str">
        <f>TEXT(Clean_Data[[#This Row],[Order_Date]],"mmm-yy")</f>
        <v>Oct-25</v>
      </c>
      <c r="V867"/>
    </row>
    <row r="868" spans="1:22" x14ac:dyDescent="0.25">
      <c r="A868" t="s">
        <v>941</v>
      </c>
      <c r="B868" s="1">
        <v>46070</v>
      </c>
      <c r="C868" t="s">
        <v>48</v>
      </c>
      <c r="D868" t="s">
        <v>36</v>
      </c>
      <c r="E868" t="s">
        <v>41</v>
      </c>
      <c r="F868" t="s">
        <v>42</v>
      </c>
      <c r="G868">
        <v>19</v>
      </c>
      <c r="H868">
        <v>28000</v>
      </c>
      <c r="I868">
        <v>18425</v>
      </c>
      <c r="J868" t="s">
        <v>29</v>
      </c>
      <c r="K868" t="s">
        <v>46</v>
      </c>
      <c r="L868">
        <f>SUM(Clean_Data[[#This Row],[Units_Sold]]*Clean_Data[[#This Row],[Unit_Price]])</f>
        <v>532000</v>
      </c>
      <c r="M868">
        <f>Clean_Data[[#This Row],[Units_Sold]]*Clean_Data[[#This Row],[Cost_Price]]</f>
        <v>350075</v>
      </c>
      <c r="N868">
        <f>Clean_Data[[#This Row],[Total_Sales]]-Clean_Data[[#This Row],[Total_Cost]]</f>
        <v>181925</v>
      </c>
      <c r="O868" s="2">
        <f>Clean_Data[[#This Row],[Profit]]/Clean_Data[[#This Row],[Total_Sales]]</f>
        <v>0.34196428571428572</v>
      </c>
      <c r="P868" t="str">
        <f>_xlfn.XLOOKUP(Clean_Data[[#This Row],[Product_Code]],Product_Catalog!A:A,Product_Catalog!C:C)</f>
        <v>Electronics</v>
      </c>
      <c r="Q868">
        <f>IF(Clean_Data[[#This Row],[Order_Date]]="","",YEAR(Clean_Data[[#This Row],[Order_Date]]))</f>
        <v>2026</v>
      </c>
      <c r="R868" t="str">
        <f>TEXT(Clean_Data[[#This Row],[Order_Date]],"mmm")</f>
        <v>Feb</v>
      </c>
      <c r="S868" t="str">
        <f>TEXT(Clean_Data[[#This Row],[Order_Date]],"mmm-yy")</f>
        <v>Feb-26</v>
      </c>
      <c r="V868"/>
    </row>
    <row r="869" spans="1:22" x14ac:dyDescent="0.25">
      <c r="A869" t="s">
        <v>942</v>
      </c>
      <c r="B869" s="1">
        <v>45981</v>
      </c>
      <c r="C869" t="s">
        <v>19</v>
      </c>
      <c r="D869" t="s">
        <v>33</v>
      </c>
      <c r="E869" t="s">
        <v>55</v>
      </c>
      <c r="F869" t="s">
        <v>34</v>
      </c>
      <c r="G869">
        <v>7</v>
      </c>
      <c r="H869">
        <v>35000</v>
      </c>
      <c r="I869">
        <v>22950</v>
      </c>
      <c r="J869" t="s">
        <v>29</v>
      </c>
      <c r="K869" t="s">
        <v>17</v>
      </c>
      <c r="L869">
        <f>SUM(Clean_Data[[#This Row],[Units_Sold]]*Clean_Data[[#This Row],[Unit_Price]])</f>
        <v>245000</v>
      </c>
      <c r="M869">
        <f>Clean_Data[[#This Row],[Units_Sold]]*Clean_Data[[#This Row],[Cost_Price]]</f>
        <v>160650</v>
      </c>
      <c r="N869">
        <f>Clean_Data[[#This Row],[Total_Sales]]-Clean_Data[[#This Row],[Total_Cost]]</f>
        <v>84350</v>
      </c>
      <c r="O869" s="2">
        <f>Clean_Data[[#This Row],[Profit]]/Clean_Data[[#This Row],[Total_Sales]]</f>
        <v>0.34428571428571431</v>
      </c>
      <c r="P869" t="str">
        <f>_xlfn.XLOOKUP(Clean_Data[[#This Row],[Product_Code]],Product_Catalog!A:A,Product_Catalog!C:C)</f>
        <v>Furniture</v>
      </c>
      <c r="Q869">
        <f>IF(Clean_Data[[#This Row],[Order_Date]]="","",YEAR(Clean_Data[[#This Row],[Order_Date]]))</f>
        <v>2025</v>
      </c>
      <c r="R869" t="str">
        <f>TEXT(Clean_Data[[#This Row],[Order_Date]],"mmm")</f>
        <v>Nov</v>
      </c>
      <c r="S869" t="str">
        <f>TEXT(Clean_Data[[#This Row],[Order_Date]],"mmm-yy")</f>
        <v>Nov-25</v>
      </c>
      <c r="V869"/>
    </row>
    <row r="870" spans="1:22" x14ac:dyDescent="0.25">
      <c r="A870" t="s">
        <v>943</v>
      </c>
      <c r="B870" s="1">
        <v>45729</v>
      </c>
      <c r="C870" t="s">
        <v>44</v>
      </c>
      <c r="D870" t="s">
        <v>40</v>
      </c>
      <c r="E870" t="s">
        <v>49</v>
      </c>
      <c r="F870" t="s">
        <v>50</v>
      </c>
      <c r="G870">
        <v>9</v>
      </c>
      <c r="H870">
        <v>75000</v>
      </c>
      <c r="I870">
        <v>58002</v>
      </c>
      <c r="J870" t="s">
        <v>16</v>
      </c>
      <c r="K870" t="s">
        <v>23</v>
      </c>
      <c r="L870">
        <f>SUM(Clean_Data[[#This Row],[Units_Sold]]*Clean_Data[[#This Row],[Unit_Price]])</f>
        <v>675000</v>
      </c>
      <c r="M870">
        <f>Clean_Data[[#This Row],[Units_Sold]]*Clean_Data[[#This Row],[Cost_Price]]</f>
        <v>522018</v>
      </c>
      <c r="N870">
        <f>Clean_Data[[#This Row],[Total_Sales]]-Clean_Data[[#This Row],[Total_Cost]]</f>
        <v>152982</v>
      </c>
      <c r="O870" s="2">
        <f>Clean_Data[[#This Row],[Profit]]/Clean_Data[[#This Row],[Total_Sales]]</f>
        <v>0.22664000000000001</v>
      </c>
      <c r="P870" t="str">
        <f>_xlfn.XLOOKUP(Clean_Data[[#This Row],[Product_Code]],Product_Catalog!A:A,Product_Catalog!C:C)</f>
        <v>Electronics</v>
      </c>
      <c r="Q870">
        <f>IF(Clean_Data[[#This Row],[Order_Date]]="","",YEAR(Clean_Data[[#This Row],[Order_Date]]))</f>
        <v>2025</v>
      </c>
      <c r="R870" t="str">
        <f>TEXT(Clean_Data[[#This Row],[Order_Date]],"mmm")</f>
        <v>Mar</v>
      </c>
      <c r="S870" t="str">
        <f>TEXT(Clean_Data[[#This Row],[Order_Date]],"mmm-yy")</f>
        <v>Mar-25</v>
      </c>
      <c r="V870"/>
    </row>
    <row r="871" spans="1:22" x14ac:dyDescent="0.25">
      <c r="A871" t="s">
        <v>944</v>
      </c>
      <c r="B871" s="1">
        <v>45737</v>
      </c>
      <c r="C871" t="s">
        <v>19</v>
      </c>
      <c r="D871" t="s">
        <v>40</v>
      </c>
      <c r="E871" t="s">
        <v>55</v>
      </c>
      <c r="F871" t="s">
        <v>34</v>
      </c>
      <c r="G871">
        <v>16</v>
      </c>
      <c r="H871">
        <v>35000</v>
      </c>
      <c r="I871">
        <v>23733</v>
      </c>
      <c r="J871" t="s">
        <v>29</v>
      </c>
      <c r="K871" t="s">
        <v>46</v>
      </c>
      <c r="L871">
        <f>SUM(Clean_Data[[#This Row],[Units_Sold]]*Clean_Data[[#This Row],[Unit_Price]])</f>
        <v>560000</v>
      </c>
      <c r="M871">
        <f>Clean_Data[[#This Row],[Units_Sold]]*Clean_Data[[#This Row],[Cost_Price]]</f>
        <v>379728</v>
      </c>
      <c r="N871">
        <f>Clean_Data[[#This Row],[Total_Sales]]-Clean_Data[[#This Row],[Total_Cost]]</f>
        <v>180272</v>
      </c>
      <c r="O871" s="2">
        <f>Clean_Data[[#This Row],[Profit]]/Clean_Data[[#This Row],[Total_Sales]]</f>
        <v>0.32191428571428571</v>
      </c>
      <c r="P871" t="str">
        <f>_xlfn.XLOOKUP(Clean_Data[[#This Row],[Product_Code]],Product_Catalog!A:A,Product_Catalog!C:C)</f>
        <v>Furniture</v>
      </c>
      <c r="Q871">
        <f>IF(Clean_Data[[#This Row],[Order_Date]]="","",YEAR(Clean_Data[[#This Row],[Order_Date]]))</f>
        <v>2025</v>
      </c>
      <c r="R871" t="str">
        <f>TEXT(Clean_Data[[#This Row],[Order_Date]],"mmm")</f>
        <v>Mar</v>
      </c>
      <c r="S871" t="str">
        <f>TEXT(Clean_Data[[#This Row],[Order_Date]],"mmm-yy")</f>
        <v>Mar-25</v>
      </c>
      <c r="V871"/>
    </row>
    <row r="872" spans="1:22" x14ac:dyDescent="0.25">
      <c r="A872" t="s">
        <v>945</v>
      </c>
      <c r="B872" s="1">
        <v>46050</v>
      </c>
      <c r="C872" t="s">
        <v>25</v>
      </c>
      <c r="D872" t="s">
        <v>13</v>
      </c>
      <c r="E872" t="s">
        <v>14</v>
      </c>
      <c r="F872" t="s">
        <v>15</v>
      </c>
      <c r="G872">
        <v>13</v>
      </c>
      <c r="H872">
        <v>12500</v>
      </c>
      <c r="I872">
        <v>8636</v>
      </c>
      <c r="J872" t="s">
        <v>29</v>
      </c>
      <c r="K872" t="s">
        <v>46</v>
      </c>
      <c r="L872">
        <f>SUM(Clean_Data[[#This Row],[Units_Sold]]*Clean_Data[[#This Row],[Unit_Price]])</f>
        <v>162500</v>
      </c>
      <c r="M872">
        <f>Clean_Data[[#This Row],[Units_Sold]]*Clean_Data[[#This Row],[Cost_Price]]</f>
        <v>112268</v>
      </c>
      <c r="N872">
        <f>Clean_Data[[#This Row],[Total_Sales]]-Clean_Data[[#This Row],[Total_Cost]]</f>
        <v>50232</v>
      </c>
      <c r="O872" s="2">
        <f>Clean_Data[[#This Row],[Profit]]/Clean_Data[[#This Row],[Total_Sales]]</f>
        <v>0.30912000000000001</v>
      </c>
      <c r="P872" t="str">
        <f>_xlfn.XLOOKUP(Clean_Data[[#This Row],[Product_Code]],Product_Catalog!A:A,Product_Catalog!C:C)</f>
        <v>Accessories</v>
      </c>
      <c r="Q872">
        <f>IF(Clean_Data[[#This Row],[Order_Date]]="","",YEAR(Clean_Data[[#This Row],[Order_Date]]))</f>
        <v>2026</v>
      </c>
      <c r="R872" t="str">
        <f>TEXT(Clean_Data[[#This Row],[Order_Date]],"mmm")</f>
        <v>Jan</v>
      </c>
      <c r="S872" t="str">
        <f>TEXT(Clean_Data[[#This Row],[Order_Date]],"mmm-yy")</f>
        <v>Jan-26</v>
      </c>
      <c r="V872"/>
    </row>
    <row r="873" spans="1:22" x14ac:dyDescent="0.25">
      <c r="A873" t="s">
        <v>946</v>
      </c>
      <c r="B873" s="1">
        <v>45837</v>
      </c>
      <c r="C873" t="s">
        <v>62</v>
      </c>
      <c r="D873" t="s">
        <v>26</v>
      </c>
      <c r="E873" t="s">
        <v>66</v>
      </c>
      <c r="F873" t="s">
        <v>67</v>
      </c>
      <c r="G873">
        <v>14</v>
      </c>
      <c r="H873">
        <v>2500</v>
      </c>
      <c r="I873">
        <v>1616</v>
      </c>
      <c r="J873" t="s">
        <v>29</v>
      </c>
      <c r="K873" t="s">
        <v>17</v>
      </c>
      <c r="L873">
        <f>SUM(Clean_Data[[#This Row],[Units_Sold]]*Clean_Data[[#This Row],[Unit_Price]])</f>
        <v>35000</v>
      </c>
      <c r="M873">
        <f>Clean_Data[[#This Row],[Units_Sold]]*Clean_Data[[#This Row],[Cost_Price]]</f>
        <v>22624</v>
      </c>
      <c r="N873">
        <f>Clean_Data[[#This Row],[Total_Sales]]-Clean_Data[[#This Row],[Total_Cost]]</f>
        <v>12376</v>
      </c>
      <c r="O873" s="2">
        <f>Clean_Data[[#This Row],[Profit]]/Clean_Data[[#This Row],[Total_Sales]]</f>
        <v>0.35360000000000003</v>
      </c>
      <c r="P873" t="str">
        <f>_xlfn.XLOOKUP(Clean_Data[[#This Row],[Product_Code]],Product_Catalog!A:A,Product_Catalog!C:C)</f>
        <v>Electronics</v>
      </c>
      <c r="Q873">
        <f>IF(Clean_Data[[#This Row],[Order_Date]]="","",YEAR(Clean_Data[[#This Row],[Order_Date]]))</f>
        <v>2025</v>
      </c>
      <c r="R873" t="str">
        <f>TEXT(Clean_Data[[#This Row],[Order_Date]],"mmm")</f>
        <v>Jun</v>
      </c>
      <c r="S873" t="str">
        <f>TEXT(Clean_Data[[#This Row],[Order_Date]],"mmm-yy")</f>
        <v>Jun-25</v>
      </c>
      <c r="V873"/>
    </row>
    <row r="874" spans="1:22" x14ac:dyDescent="0.25">
      <c r="A874" t="s">
        <v>947</v>
      </c>
      <c r="B874" s="1">
        <v>46109</v>
      </c>
      <c r="C874" t="s">
        <v>48</v>
      </c>
      <c r="D874" t="s">
        <v>33</v>
      </c>
      <c r="E874" t="s">
        <v>55</v>
      </c>
      <c r="F874" t="s">
        <v>34</v>
      </c>
      <c r="G874">
        <v>9</v>
      </c>
      <c r="H874">
        <v>35000</v>
      </c>
      <c r="I874">
        <v>22830</v>
      </c>
      <c r="J874" t="s">
        <v>29</v>
      </c>
      <c r="K874" t="s">
        <v>17</v>
      </c>
      <c r="L874">
        <f>SUM(Clean_Data[[#This Row],[Units_Sold]]*Clean_Data[[#This Row],[Unit_Price]])</f>
        <v>315000</v>
      </c>
      <c r="M874">
        <f>Clean_Data[[#This Row],[Units_Sold]]*Clean_Data[[#This Row],[Cost_Price]]</f>
        <v>205470</v>
      </c>
      <c r="N874">
        <f>Clean_Data[[#This Row],[Total_Sales]]-Clean_Data[[#This Row],[Total_Cost]]</f>
        <v>109530</v>
      </c>
      <c r="O874" s="2">
        <f>Clean_Data[[#This Row],[Profit]]/Clean_Data[[#This Row],[Total_Sales]]</f>
        <v>0.3477142857142857</v>
      </c>
      <c r="P874" t="str">
        <f>_xlfn.XLOOKUP(Clean_Data[[#This Row],[Product_Code]],Product_Catalog!A:A,Product_Catalog!C:C)</f>
        <v>Furniture</v>
      </c>
      <c r="Q874">
        <f>IF(Clean_Data[[#This Row],[Order_Date]]="","",YEAR(Clean_Data[[#This Row],[Order_Date]]))</f>
        <v>2026</v>
      </c>
      <c r="R874" t="str">
        <f>TEXT(Clean_Data[[#This Row],[Order_Date]],"mmm")</f>
        <v>Mar</v>
      </c>
      <c r="S874" t="str">
        <f>TEXT(Clean_Data[[#This Row],[Order_Date]],"mmm-yy")</f>
        <v>Mar-26</v>
      </c>
      <c r="V874"/>
    </row>
    <row r="875" spans="1:22" x14ac:dyDescent="0.25">
      <c r="A875" t="s">
        <v>948</v>
      </c>
      <c r="B875" s="1">
        <v>45933</v>
      </c>
      <c r="C875" t="s">
        <v>73</v>
      </c>
      <c r="D875" t="s">
        <v>13</v>
      </c>
      <c r="E875" t="s">
        <v>49</v>
      </c>
      <c r="F875" t="s">
        <v>50</v>
      </c>
      <c r="G875">
        <v>12</v>
      </c>
      <c r="H875">
        <v>75000</v>
      </c>
      <c r="I875">
        <v>45413</v>
      </c>
      <c r="J875" t="s">
        <v>16</v>
      </c>
      <c r="K875" t="s">
        <v>23</v>
      </c>
      <c r="L875">
        <f>SUM(Clean_Data[[#This Row],[Units_Sold]]*Clean_Data[[#This Row],[Unit_Price]])</f>
        <v>900000</v>
      </c>
      <c r="M875">
        <f>Clean_Data[[#This Row],[Units_Sold]]*Clean_Data[[#This Row],[Cost_Price]]</f>
        <v>544956</v>
      </c>
      <c r="N875">
        <f>Clean_Data[[#This Row],[Total_Sales]]-Clean_Data[[#This Row],[Total_Cost]]</f>
        <v>355044</v>
      </c>
      <c r="O875" s="2">
        <f>Clean_Data[[#This Row],[Profit]]/Clean_Data[[#This Row],[Total_Sales]]</f>
        <v>0.39449333333333331</v>
      </c>
      <c r="P875" t="str">
        <f>_xlfn.XLOOKUP(Clean_Data[[#This Row],[Product_Code]],Product_Catalog!A:A,Product_Catalog!C:C)</f>
        <v>Electronics</v>
      </c>
      <c r="Q875">
        <f>IF(Clean_Data[[#This Row],[Order_Date]]="","",YEAR(Clean_Data[[#This Row],[Order_Date]]))</f>
        <v>2025</v>
      </c>
      <c r="R875" t="str">
        <f>TEXT(Clean_Data[[#This Row],[Order_Date]],"mmm")</f>
        <v>Oct</v>
      </c>
      <c r="S875" t="str">
        <f>TEXT(Clean_Data[[#This Row],[Order_Date]],"mmm-yy")</f>
        <v>Oct-25</v>
      </c>
      <c r="V875"/>
    </row>
    <row r="876" spans="1:22" x14ac:dyDescent="0.25">
      <c r="A876" t="s">
        <v>949</v>
      </c>
      <c r="B876" s="1">
        <v>46219</v>
      </c>
      <c r="C876" t="s">
        <v>19</v>
      </c>
      <c r="D876" t="s">
        <v>36</v>
      </c>
      <c r="E876" t="s">
        <v>63</v>
      </c>
      <c r="F876" t="s">
        <v>59</v>
      </c>
      <c r="G876">
        <v>3</v>
      </c>
      <c r="H876">
        <v>4500</v>
      </c>
      <c r="I876">
        <v>2885</v>
      </c>
      <c r="J876" t="s">
        <v>16</v>
      </c>
      <c r="K876" t="s">
        <v>17</v>
      </c>
      <c r="L876">
        <f>SUM(Clean_Data[[#This Row],[Units_Sold]]*Clean_Data[[#This Row],[Unit_Price]])</f>
        <v>13500</v>
      </c>
      <c r="M876">
        <f>Clean_Data[[#This Row],[Units_Sold]]*Clean_Data[[#This Row],[Cost_Price]]</f>
        <v>8655</v>
      </c>
      <c r="N876">
        <f>Clean_Data[[#This Row],[Total_Sales]]-Clean_Data[[#This Row],[Total_Cost]]</f>
        <v>4845</v>
      </c>
      <c r="O876" s="2">
        <f>Clean_Data[[#This Row],[Profit]]/Clean_Data[[#This Row],[Total_Sales]]</f>
        <v>0.35888888888888887</v>
      </c>
      <c r="P876" t="str">
        <f>_xlfn.XLOOKUP(Clean_Data[[#This Row],[Product_Code]],Product_Catalog!A:A,Product_Catalog!C:C)</f>
        <v>Electronics</v>
      </c>
      <c r="Q876">
        <f>IF(Clean_Data[[#This Row],[Order_Date]]="","",YEAR(Clean_Data[[#This Row],[Order_Date]]))</f>
        <v>2026</v>
      </c>
      <c r="R876" t="str">
        <f>TEXT(Clean_Data[[#This Row],[Order_Date]],"mmm")</f>
        <v>Jul</v>
      </c>
      <c r="S876" t="str">
        <f>TEXT(Clean_Data[[#This Row],[Order_Date]],"mmm-yy")</f>
        <v>Jul-26</v>
      </c>
      <c r="V876"/>
    </row>
    <row r="877" spans="1:22" x14ac:dyDescent="0.25">
      <c r="A877" t="s">
        <v>951</v>
      </c>
      <c r="B877" s="1">
        <v>45908</v>
      </c>
      <c r="C877" t="s">
        <v>31</v>
      </c>
      <c r="D877" t="s">
        <v>33</v>
      </c>
      <c r="E877" t="s">
        <v>55</v>
      </c>
      <c r="F877" t="s">
        <v>34</v>
      </c>
      <c r="G877">
        <v>7</v>
      </c>
      <c r="H877">
        <v>35000</v>
      </c>
      <c r="I877">
        <v>22885</v>
      </c>
      <c r="J877" t="s">
        <v>29</v>
      </c>
      <c r="K877" t="s">
        <v>23</v>
      </c>
      <c r="L877">
        <f>SUM(Clean_Data[[#This Row],[Units_Sold]]*Clean_Data[[#This Row],[Unit_Price]])</f>
        <v>245000</v>
      </c>
      <c r="M877">
        <f>Clean_Data[[#This Row],[Units_Sold]]*Clean_Data[[#This Row],[Cost_Price]]</f>
        <v>160195</v>
      </c>
      <c r="N877">
        <f>Clean_Data[[#This Row],[Total_Sales]]-Clean_Data[[#This Row],[Total_Cost]]</f>
        <v>84805</v>
      </c>
      <c r="O877" s="2">
        <f>Clean_Data[[#This Row],[Profit]]/Clean_Data[[#This Row],[Total_Sales]]</f>
        <v>0.34614285714285714</v>
      </c>
      <c r="P877" t="str">
        <f>_xlfn.XLOOKUP(Clean_Data[[#This Row],[Product_Code]],Product_Catalog!A:A,Product_Catalog!C:C)</f>
        <v>Furniture</v>
      </c>
      <c r="Q877">
        <f>IF(Clean_Data[[#This Row],[Order_Date]]="","",YEAR(Clean_Data[[#This Row],[Order_Date]]))</f>
        <v>2025</v>
      </c>
      <c r="R877" t="str">
        <f>TEXT(Clean_Data[[#This Row],[Order_Date]],"mmm")</f>
        <v>Sep</v>
      </c>
      <c r="S877" t="str">
        <f>TEXT(Clean_Data[[#This Row],[Order_Date]],"mmm-yy")</f>
        <v>Sep-25</v>
      </c>
      <c r="V877"/>
    </row>
    <row r="878" spans="1:22" x14ac:dyDescent="0.25">
      <c r="A878" t="s">
        <v>952</v>
      </c>
      <c r="B878" s="1">
        <v>46100</v>
      </c>
      <c r="C878" t="s">
        <v>48</v>
      </c>
      <c r="D878" t="s">
        <v>13</v>
      </c>
      <c r="E878" t="s">
        <v>14</v>
      </c>
      <c r="F878" t="s">
        <v>15</v>
      </c>
      <c r="G878">
        <v>3</v>
      </c>
      <c r="H878">
        <v>12500</v>
      </c>
      <c r="I878">
        <v>7746</v>
      </c>
      <c r="J878" t="s">
        <v>45</v>
      </c>
      <c r="K878" t="s">
        <v>46</v>
      </c>
      <c r="L878">
        <f>SUM(Clean_Data[[#This Row],[Units_Sold]]*Clean_Data[[#This Row],[Unit_Price]])</f>
        <v>37500</v>
      </c>
      <c r="M878">
        <f>Clean_Data[[#This Row],[Units_Sold]]*Clean_Data[[#This Row],[Cost_Price]]</f>
        <v>23238</v>
      </c>
      <c r="N878">
        <f>Clean_Data[[#This Row],[Total_Sales]]-Clean_Data[[#This Row],[Total_Cost]]</f>
        <v>14262</v>
      </c>
      <c r="O878" s="2">
        <f>Clean_Data[[#This Row],[Profit]]/Clean_Data[[#This Row],[Total_Sales]]</f>
        <v>0.38031999999999999</v>
      </c>
      <c r="P878" t="str">
        <f>_xlfn.XLOOKUP(Clean_Data[[#This Row],[Product_Code]],Product_Catalog!A:A,Product_Catalog!C:C)</f>
        <v>Accessories</v>
      </c>
      <c r="Q878">
        <f>IF(Clean_Data[[#This Row],[Order_Date]]="","",YEAR(Clean_Data[[#This Row],[Order_Date]]))</f>
        <v>2026</v>
      </c>
      <c r="R878" t="str">
        <f>TEXT(Clean_Data[[#This Row],[Order_Date]],"mmm")</f>
        <v>Mar</v>
      </c>
      <c r="S878" t="str">
        <f>TEXT(Clean_Data[[#This Row],[Order_Date]],"mmm-yy")</f>
        <v>Mar-26</v>
      </c>
      <c r="V878"/>
    </row>
    <row r="879" spans="1:22" x14ac:dyDescent="0.25">
      <c r="A879" t="s">
        <v>953</v>
      </c>
      <c r="B879" s="1">
        <v>46062</v>
      </c>
      <c r="C879" t="s">
        <v>53</v>
      </c>
      <c r="D879" t="s">
        <v>40</v>
      </c>
      <c r="E879" t="s">
        <v>49</v>
      </c>
      <c r="F879" t="s">
        <v>50</v>
      </c>
      <c r="G879">
        <v>19</v>
      </c>
      <c r="H879">
        <v>75000</v>
      </c>
      <c r="I879">
        <v>54338</v>
      </c>
      <c r="J879" t="s">
        <v>45</v>
      </c>
      <c r="K879" t="s">
        <v>17</v>
      </c>
      <c r="L879">
        <f>SUM(Clean_Data[[#This Row],[Units_Sold]]*Clean_Data[[#This Row],[Unit_Price]])</f>
        <v>1425000</v>
      </c>
      <c r="M879">
        <f>Clean_Data[[#This Row],[Units_Sold]]*Clean_Data[[#This Row],[Cost_Price]]</f>
        <v>1032422</v>
      </c>
      <c r="N879">
        <f>Clean_Data[[#This Row],[Total_Sales]]-Clean_Data[[#This Row],[Total_Cost]]</f>
        <v>392578</v>
      </c>
      <c r="O879" s="2">
        <f>Clean_Data[[#This Row],[Profit]]/Clean_Data[[#This Row],[Total_Sales]]</f>
        <v>0.27549333333333331</v>
      </c>
      <c r="P879" t="str">
        <f>_xlfn.XLOOKUP(Clean_Data[[#This Row],[Product_Code]],Product_Catalog!A:A,Product_Catalog!C:C)</f>
        <v>Electronics</v>
      </c>
      <c r="Q879">
        <f>IF(Clean_Data[[#This Row],[Order_Date]]="","",YEAR(Clean_Data[[#This Row],[Order_Date]]))</f>
        <v>2026</v>
      </c>
      <c r="R879" t="str">
        <f>TEXT(Clean_Data[[#This Row],[Order_Date]],"mmm")</f>
        <v>Feb</v>
      </c>
      <c r="S879" t="str">
        <f>TEXT(Clean_Data[[#This Row],[Order_Date]],"mmm-yy")</f>
        <v>Feb-26</v>
      </c>
      <c r="V879"/>
    </row>
    <row r="880" spans="1:22" x14ac:dyDescent="0.25">
      <c r="A880" t="s">
        <v>954</v>
      </c>
      <c r="B880" s="1">
        <v>45727</v>
      </c>
      <c r="C880" t="s">
        <v>31</v>
      </c>
      <c r="D880" t="s">
        <v>13</v>
      </c>
      <c r="E880" t="s">
        <v>27</v>
      </c>
      <c r="F880" t="s">
        <v>28</v>
      </c>
      <c r="G880">
        <v>13</v>
      </c>
      <c r="H880">
        <v>14000</v>
      </c>
      <c r="I880">
        <v>10345</v>
      </c>
      <c r="J880" t="s">
        <v>22</v>
      </c>
      <c r="K880" t="s">
        <v>46</v>
      </c>
      <c r="L880">
        <f>SUM(Clean_Data[[#This Row],[Units_Sold]]*Clean_Data[[#This Row],[Unit_Price]])</f>
        <v>182000</v>
      </c>
      <c r="M880">
        <f>Clean_Data[[#This Row],[Units_Sold]]*Clean_Data[[#This Row],[Cost_Price]]</f>
        <v>134485</v>
      </c>
      <c r="N880">
        <f>Clean_Data[[#This Row],[Total_Sales]]-Clean_Data[[#This Row],[Total_Cost]]</f>
        <v>47515</v>
      </c>
      <c r="O880" s="2">
        <f>Clean_Data[[#This Row],[Profit]]/Clean_Data[[#This Row],[Total_Sales]]</f>
        <v>0.26107142857142857</v>
      </c>
      <c r="P880" t="str">
        <f>_xlfn.XLOOKUP(Clean_Data[[#This Row],[Product_Code]],Product_Catalog!A:A,Product_Catalog!C:C)</f>
        <v>Furniture</v>
      </c>
      <c r="Q880">
        <f>IF(Clean_Data[[#This Row],[Order_Date]]="","",YEAR(Clean_Data[[#This Row],[Order_Date]]))</f>
        <v>2025</v>
      </c>
      <c r="R880" t="str">
        <f>TEXT(Clean_Data[[#This Row],[Order_Date]],"mmm")</f>
        <v>Mar</v>
      </c>
      <c r="S880" t="str">
        <f>TEXT(Clean_Data[[#This Row],[Order_Date]],"mmm-yy")</f>
        <v>Mar-25</v>
      </c>
      <c r="V880"/>
    </row>
    <row r="881" spans="1:22" x14ac:dyDescent="0.25">
      <c r="A881" t="s">
        <v>955</v>
      </c>
      <c r="B881" s="1">
        <v>45660</v>
      </c>
      <c r="C881" t="s">
        <v>73</v>
      </c>
      <c r="D881" t="s">
        <v>36</v>
      </c>
      <c r="E881" t="s">
        <v>37</v>
      </c>
      <c r="F881" t="s">
        <v>38</v>
      </c>
      <c r="G881">
        <v>3</v>
      </c>
      <c r="H881">
        <v>55000</v>
      </c>
      <c r="I881">
        <v>42674</v>
      </c>
      <c r="J881" t="s">
        <v>29</v>
      </c>
      <c r="K881" t="s">
        <v>17</v>
      </c>
      <c r="L881">
        <f>SUM(Clean_Data[[#This Row],[Units_Sold]]*Clean_Data[[#This Row],[Unit_Price]])</f>
        <v>165000</v>
      </c>
      <c r="M881">
        <f>Clean_Data[[#This Row],[Units_Sold]]*Clean_Data[[#This Row],[Cost_Price]]</f>
        <v>128022</v>
      </c>
      <c r="N881">
        <f>Clean_Data[[#This Row],[Total_Sales]]-Clean_Data[[#This Row],[Total_Cost]]</f>
        <v>36978</v>
      </c>
      <c r="O881" s="2">
        <f>Clean_Data[[#This Row],[Profit]]/Clean_Data[[#This Row],[Total_Sales]]</f>
        <v>0.2241090909090909</v>
      </c>
      <c r="P881" t="str">
        <f>_xlfn.XLOOKUP(Clean_Data[[#This Row],[Product_Code]],Product_Catalog!A:A,Product_Catalog!C:C)</f>
        <v>Electronics</v>
      </c>
      <c r="Q881">
        <f>IF(Clean_Data[[#This Row],[Order_Date]]="","",YEAR(Clean_Data[[#This Row],[Order_Date]]))</f>
        <v>2025</v>
      </c>
      <c r="R881" t="str">
        <f>TEXT(Clean_Data[[#This Row],[Order_Date]],"mmm")</f>
        <v>Jan</v>
      </c>
      <c r="S881" t="str">
        <f>TEXT(Clean_Data[[#This Row],[Order_Date]],"mmm-yy")</f>
        <v>Jan-25</v>
      </c>
      <c r="V881"/>
    </row>
    <row r="882" spans="1:22" x14ac:dyDescent="0.25">
      <c r="A882" t="s">
        <v>956</v>
      </c>
      <c r="B882" s="1">
        <v>45804</v>
      </c>
      <c r="C882" t="s">
        <v>19</v>
      </c>
      <c r="D882" t="s">
        <v>26</v>
      </c>
      <c r="E882" t="s">
        <v>41</v>
      </c>
      <c r="F882" t="s">
        <v>42</v>
      </c>
      <c r="G882">
        <v>14</v>
      </c>
      <c r="H882">
        <v>28000</v>
      </c>
      <c r="I882">
        <v>21213</v>
      </c>
      <c r="J882" t="s">
        <v>29</v>
      </c>
      <c r="K882" t="s">
        <v>46</v>
      </c>
      <c r="L882">
        <f>SUM(Clean_Data[[#This Row],[Units_Sold]]*Clean_Data[[#This Row],[Unit_Price]])</f>
        <v>392000</v>
      </c>
      <c r="M882">
        <f>Clean_Data[[#This Row],[Units_Sold]]*Clean_Data[[#This Row],[Cost_Price]]</f>
        <v>296982</v>
      </c>
      <c r="N882">
        <f>Clean_Data[[#This Row],[Total_Sales]]-Clean_Data[[#This Row],[Total_Cost]]</f>
        <v>95018</v>
      </c>
      <c r="O882" s="2">
        <f>Clean_Data[[#This Row],[Profit]]/Clean_Data[[#This Row],[Total_Sales]]</f>
        <v>0.24239285714285713</v>
      </c>
      <c r="P882" t="str">
        <f>_xlfn.XLOOKUP(Clean_Data[[#This Row],[Product_Code]],Product_Catalog!A:A,Product_Catalog!C:C)</f>
        <v>Electronics</v>
      </c>
      <c r="Q882">
        <f>IF(Clean_Data[[#This Row],[Order_Date]]="","",YEAR(Clean_Data[[#This Row],[Order_Date]]))</f>
        <v>2025</v>
      </c>
      <c r="R882" t="str">
        <f>TEXT(Clean_Data[[#This Row],[Order_Date]],"mmm")</f>
        <v>May</v>
      </c>
      <c r="S882" t="str">
        <f>TEXT(Clean_Data[[#This Row],[Order_Date]],"mmm-yy")</f>
        <v>May-25</v>
      </c>
      <c r="V882"/>
    </row>
    <row r="883" spans="1:22" x14ac:dyDescent="0.25">
      <c r="A883" t="s">
        <v>957</v>
      </c>
      <c r="B883" s="1">
        <v>46127</v>
      </c>
      <c r="C883" t="s">
        <v>73</v>
      </c>
      <c r="D883" t="s">
        <v>36</v>
      </c>
      <c r="E883" t="s">
        <v>27</v>
      </c>
      <c r="F883" t="s">
        <v>28</v>
      </c>
      <c r="G883">
        <v>13</v>
      </c>
      <c r="H883">
        <v>14000</v>
      </c>
      <c r="I883">
        <v>11147</v>
      </c>
      <c r="J883" t="s">
        <v>29</v>
      </c>
      <c r="K883" t="s">
        <v>46</v>
      </c>
      <c r="L883">
        <f>SUM(Clean_Data[[#This Row],[Units_Sold]]*Clean_Data[[#This Row],[Unit_Price]])</f>
        <v>182000</v>
      </c>
      <c r="M883">
        <f>Clean_Data[[#This Row],[Units_Sold]]*Clean_Data[[#This Row],[Cost_Price]]</f>
        <v>144911</v>
      </c>
      <c r="N883">
        <f>Clean_Data[[#This Row],[Total_Sales]]-Clean_Data[[#This Row],[Total_Cost]]</f>
        <v>37089</v>
      </c>
      <c r="O883" s="2">
        <f>Clean_Data[[#This Row],[Profit]]/Clean_Data[[#This Row],[Total_Sales]]</f>
        <v>0.20378571428571429</v>
      </c>
      <c r="P883" t="str">
        <f>_xlfn.XLOOKUP(Clean_Data[[#This Row],[Product_Code]],Product_Catalog!A:A,Product_Catalog!C:C)</f>
        <v>Furniture</v>
      </c>
      <c r="Q883">
        <f>IF(Clean_Data[[#This Row],[Order_Date]]="","",YEAR(Clean_Data[[#This Row],[Order_Date]]))</f>
        <v>2026</v>
      </c>
      <c r="R883" t="str">
        <f>TEXT(Clean_Data[[#This Row],[Order_Date]],"mmm")</f>
        <v>Apr</v>
      </c>
      <c r="S883" t="str">
        <f>TEXT(Clean_Data[[#This Row],[Order_Date]],"mmm-yy")</f>
        <v>Apr-26</v>
      </c>
      <c r="V883"/>
    </row>
    <row r="884" spans="1:22" x14ac:dyDescent="0.25">
      <c r="A884" t="s">
        <v>958</v>
      </c>
      <c r="B884" s="1">
        <v>45932</v>
      </c>
      <c r="C884" t="s">
        <v>19</v>
      </c>
      <c r="D884" t="s">
        <v>40</v>
      </c>
      <c r="E884" t="s">
        <v>63</v>
      </c>
      <c r="F884" t="s">
        <v>59</v>
      </c>
      <c r="G884">
        <v>17</v>
      </c>
      <c r="H884">
        <v>4500</v>
      </c>
      <c r="I884">
        <v>2843</v>
      </c>
      <c r="J884" t="s">
        <v>16</v>
      </c>
      <c r="K884" t="s">
        <v>17</v>
      </c>
      <c r="L884">
        <f>SUM(Clean_Data[[#This Row],[Units_Sold]]*Clean_Data[[#This Row],[Unit_Price]])</f>
        <v>76500</v>
      </c>
      <c r="M884">
        <f>Clean_Data[[#This Row],[Units_Sold]]*Clean_Data[[#This Row],[Cost_Price]]</f>
        <v>48331</v>
      </c>
      <c r="N884">
        <f>Clean_Data[[#This Row],[Total_Sales]]-Clean_Data[[#This Row],[Total_Cost]]</f>
        <v>28169</v>
      </c>
      <c r="O884" s="2">
        <f>Clean_Data[[#This Row],[Profit]]/Clean_Data[[#This Row],[Total_Sales]]</f>
        <v>0.36822222222222223</v>
      </c>
      <c r="P884" t="str">
        <f>_xlfn.XLOOKUP(Clean_Data[[#This Row],[Product_Code]],Product_Catalog!A:A,Product_Catalog!C:C)</f>
        <v>Electronics</v>
      </c>
      <c r="Q884">
        <f>IF(Clean_Data[[#This Row],[Order_Date]]="","",YEAR(Clean_Data[[#This Row],[Order_Date]]))</f>
        <v>2025</v>
      </c>
      <c r="R884" t="str">
        <f>TEXT(Clean_Data[[#This Row],[Order_Date]],"mmm")</f>
        <v>Oct</v>
      </c>
      <c r="S884" t="str">
        <f>TEXT(Clean_Data[[#This Row],[Order_Date]],"mmm-yy")</f>
        <v>Oct-25</v>
      </c>
      <c r="V884"/>
    </row>
    <row r="885" spans="1:22" x14ac:dyDescent="0.25">
      <c r="A885" t="s">
        <v>959</v>
      </c>
      <c r="B885" s="1">
        <v>45816</v>
      </c>
      <c r="C885" t="s">
        <v>12</v>
      </c>
      <c r="D885" t="s">
        <v>26</v>
      </c>
      <c r="E885" t="s">
        <v>27</v>
      </c>
      <c r="F885" t="s">
        <v>28</v>
      </c>
      <c r="G885">
        <v>8</v>
      </c>
      <c r="H885">
        <v>14000</v>
      </c>
      <c r="I885">
        <v>8873</v>
      </c>
      <c r="J885" t="s">
        <v>22</v>
      </c>
      <c r="K885" t="s">
        <v>17</v>
      </c>
      <c r="L885">
        <f>SUM(Clean_Data[[#This Row],[Units_Sold]]*Clean_Data[[#This Row],[Unit_Price]])</f>
        <v>112000</v>
      </c>
      <c r="M885">
        <f>Clean_Data[[#This Row],[Units_Sold]]*Clean_Data[[#This Row],[Cost_Price]]</f>
        <v>70984</v>
      </c>
      <c r="N885">
        <f>Clean_Data[[#This Row],[Total_Sales]]-Clean_Data[[#This Row],[Total_Cost]]</f>
        <v>41016</v>
      </c>
      <c r="O885" s="2">
        <f>Clean_Data[[#This Row],[Profit]]/Clean_Data[[#This Row],[Total_Sales]]</f>
        <v>0.36621428571428571</v>
      </c>
      <c r="P885" t="str">
        <f>_xlfn.XLOOKUP(Clean_Data[[#This Row],[Product_Code]],Product_Catalog!A:A,Product_Catalog!C:C)</f>
        <v>Furniture</v>
      </c>
      <c r="Q885">
        <f>IF(Clean_Data[[#This Row],[Order_Date]]="","",YEAR(Clean_Data[[#This Row],[Order_Date]]))</f>
        <v>2025</v>
      </c>
      <c r="R885" t="str">
        <f>TEXT(Clean_Data[[#This Row],[Order_Date]],"mmm")</f>
        <v>Jun</v>
      </c>
      <c r="S885" t="str">
        <f>TEXT(Clean_Data[[#This Row],[Order_Date]],"mmm-yy")</f>
        <v>Jun-25</v>
      </c>
      <c r="V885"/>
    </row>
    <row r="886" spans="1:22" x14ac:dyDescent="0.25">
      <c r="A886" t="s">
        <v>960</v>
      </c>
      <c r="B886" s="1">
        <v>45715</v>
      </c>
      <c r="C886" t="s">
        <v>25</v>
      </c>
      <c r="D886" t="s">
        <v>26</v>
      </c>
      <c r="E886" t="s">
        <v>63</v>
      </c>
      <c r="F886" t="s">
        <v>59</v>
      </c>
      <c r="G886">
        <v>13</v>
      </c>
      <c r="H886">
        <v>4500</v>
      </c>
      <c r="I886">
        <v>2948</v>
      </c>
      <c r="J886" t="s">
        <v>45</v>
      </c>
      <c r="K886" t="s">
        <v>23</v>
      </c>
      <c r="L886">
        <f>SUM(Clean_Data[[#This Row],[Units_Sold]]*Clean_Data[[#This Row],[Unit_Price]])</f>
        <v>58500</v>
      </c>
      <c r="M886">
        <f>Clean_Data[[#This Row],[Units_Sold]]*Clean_Data[[#This Row],[Cost_Price]]</f>
        <v>38324</v>
      </c>
      <c r="N886">
        <f>Clean_Data[[#This Row],[Total_Sales]]-Clean_Data[[#This Row],[Total_Cost]]</f>
        <v>20176</v>
      </c>
      <c r="O886" s="2">
        <f>Clean_Data[[#This Row],[Profit]]/Clean_Data[[#This Row],[Total_Sales]]</f>
        <v>0.34488888888888891</v>
      </c>
      <c r="P886" t="str">
        <f>_xlfn.XLOOKUP(Clean_Data[[#This Row],[Product_Code]],Product_Catalog!A:A,Product_Catalog!C:C)</f>
        <v>Electronics</v>
      </c>
      <c r="Q886">
        <f>IF(Clean_Data[[#This Row],[Order_Date]]="","",YEAR(Clean_Data[[#This Row],[Order_Date]]))</f>
        <v>2025</v>
      </c>
      <c r="R886" t="str">
        <f>TEXT(Clean_Data[[#This Row],[Order_Date]],"mmm")</f>
        <v>Feb</v>
      </c>
      <c r="S886" t="str">
        <f>TEXT(Clean_Data[[#This Row],[Order_Date]],"mmm-yy")</f>
        <v>Feb-25</v>
      </c>
      <c r="V886"/>
    </row>
    <row r="887" spans="1:22" x14ac:dyDescent="0.25">
      <c r="A887" t="s">
        <v>961</v>
      </c>
      <c r="B887" s="1">
        <v>45943</v>
      </c>
      <c r="C887" t="s">
        <v>44</v>
      </c>
      <c r="D887" t="s">
        <v>33</v>
      </c>
      <c r="E887" t="s">
        <v>41</v>
      </c>
      <c r="F887" t="s">
        <v>42</v>
      </c>
      <c r="G887">
        <v>12</v>
      </c>
      <c r="H887">
        <v>28000</v>
      </c>
      <c r="I887">
        <v>16916</v>
      </c>
      <c r="J887" t="s">
        <v>22</v>
      </c>
      <c r="K887" t="s">
        <v>17</v>
      </c>
      <c r="L887">
        <f>SUM(Clean_Data[[#This Row],[Units_Sold]]*Clean_Data[[#This Row],[Unit_Price]])</f>
        <v>336000</v>
      </c>
      <c r="M887">
        <f>Clean_Data[[#This Row],[Units_Sold]]*Clean_Data[[#This Row],[Cost_Price]]</f>
        <v>202992</v>
      </c>
      <c r="N887">
        <f>Clean_Data[[#This Row],[Total_Sales]]-Clean_Data[[#This Row],[Total_Cost]]</f>
        <v>133008</v>
      </c>
      <c r="O887" s="2">
        <f>Clean_Data[[#This Row],[Profit]]/Clean_Data[[#This Row],[Total_Sales]]</f>
        <v>0.39585714285714285</v>
      </c>
      <c r="P887" t="str">
        <f>_xlfn.XLOOKUP(Clean_Data[[#This Row],[Product_Code]],Product_Catalog!A:A,Product_Catalog!C:C)</f>
        <v>Electronics</v>
      </c>
      <c r="Q887">
        <f>IF(Clean_Data[[#This Row],[Order_Date]]="","",YEAR(Clean_Data[[#This Row],[Order_Date]]))</f>
        <v>2025</v>
      </c>
      <c r="R887" t="str">
        <f>TEXT(Clean_Data[[#This Row],[Order_Date]],"mmm")</f>
        <v>Oct</v>
      </c>
      <c r="S887" t="str">
        <f>TEXT(Clean_Data[[#This Row],[Order_Date]],"mmm-yy")</f>
        <v>Oct-25</v>
      </c>
      <c r="V887"/>
    </row>
    <row r="888" spans="1:22" x14ac:dyDescent="0.25">
      <c r="A888" t="s">
        <v>962</v>
      </c>
      <c r="B888" s="1">
        <v>46148</v>
      </c>
      <c r="C888" t="s">
        <v>48</v>
      </c>
      <c r="D888" t="s">
        <v>40</v>
      </c>
      <c r="E888" t="s">
        <v>14</v>
      </c>
      <c r="F888" t="s">
        <v>15</v>
      </c>
      <c r="G888">
        <v>2</v>
      </c>
      <c r="H888">
        <v>12500</v>
      </c>
      <c r="I888">
        <v>9340</v>
      </c>
      <c r="J888" t="s">
        <v>16</v>
      </c>
      <c r="K888" t="s">
        <v>46</v>
      </c>
      <c r="L888">
        <f>SUM(Clean_Data[[#This Row],[Units_Sold]]*Clean_Data[[#This Row],[Unit_Price]])</f>
        <v>25000</v>
      </c>
      <c r="M888">
        <f>Clean_Data[[#This Row],[Units_Sold]]*Clean_Data[[#This Row],[Cost_Price]]</f>
        <v>18680</v>
      </c>
      <c r="N888">
        <f>Clean_Data[[#This Row],[Total_Sales]]-Clean_Data[[#This Row],[Total_Cost]]</f>
        <v>6320</v>
      </c>
      <c r="O888" s="2">
        <f>Clean_Data[[#This Row],[Profit]]/Clean_Data[[#This Row],[Total_Sales]]</f>
        <v>0.25280000000000002</v>
      </c>
      <c r="P888" t="str">
        <f>_xlfn.XLOOKUP(Clean_Data[[#This Row],[Product_Code]],Product_Catalog!A:A,Product_Catalog!C:C)</f>
        <v>Accessories</v>
      </c>
      <c r="Q888">
        <f>IF(Clean_Data[[#This Row],[Order_Date]]="","",YEAR(Clean_Data[[#This Row],[Order_Date]]))</f>
        <v>2026</v>
      </c>
      <c r="R888" t="str">
        <f>TEXT(Clean_Data[[#This Row],[Order_Date]],"mmm")</f>
        <v>May</v>
      </c>
      <c r="S888" t="str">
        <f>TEXT(Clean_Data[[#This Row],[Order_Date]],"mmm-yy")</f>
        <v>May-26</v>
      </c>
      <c r="V888"/>
    </row>
    <row r="889" spans="1:22" x14ac:dyDescent="0.25">
      <c r="A889" t="s">
        <v>963</v>
      </c>
      <c r="B889" s="1">
        <v>45800</v>
      </c>
      <c r="C889" t="s">
        <v>48</v>
      </c>
      <c r="D889" t="s">
        <v>36</v>
      </c>
      <c r="E889" t="s">
        <v>63</v>
      </c>
      <c r="F889" t="s">
        <v>59</v>
      </c>
      <c r="G889">
        <v>7</v>
      </c>
      <c r="H889">
        <v>4500</v>
      </c>
      <c r="I889">
        <v>3537</v>
      </c>
      <c r="J889" t="s">
        <v>45</v>
      </c>
      <c r="K889" t="s">
        <v>23</v>
      </c>
      <c r="L889">
        <f>SUM(Clean_Data[[#This Row],[Units_Sold]]*Clean_Data[[#This Row],[Unit_Price]])</f>
        <v>31500</v>
      </c>
      <c r="M889">
        <f>Clean_Data[[#This Row],[Units_Sold]]*Clean_Data[[#This Row],[Cost_Price]]</f>
        <v>24759</v>
      </c>
      <c r="N889">
        <f>Clean_Data[[#This Row],[Total_Sales]]-Clean_Data[[#This Row],[Total_Cost]]</f>
        <v>6741</v>
      </c>
      <c r="O889" s="2">
        <f>Clean_Data[[#This Row],[Profit]]/Clean_Data[[#This Row],[Total_Sales]]</f>
        <v>0.214</v>
      </c>
      <c r="P889" t="str">
        <f>_xlfn.XLOOKUP(Clean_Data[[#This Row],[Product_Code]],Product_Catalog!A:A,Product_Catalog!C:C)</f>
        <v>Electronics</v>
      </c>
      <c r="Q889">
        <f>IF(Clean_Data[[#This Row],[Order_Date]]="","",YEAR(Clean_Data[[#This Row],[Order_Date]]))</f>
        <v>2025</v>
      </c>
      <c r="R889" t="str">
        <f>TEXT(Clean_Data[[#This Row],[Order_Date]],"mmm")</f>
        <v>May</v>
      </c>
      <c r="S889" t="str">
        <f>TEXT(Clean_Data[[#This Row],[Order_Date]],"mmm-yy")</f>
        <v>May-25</v>
      </c>
      <c r="V889"/>
    </row>
    <row r="890" spans="1:22" x14ac:dyDescent="0.25">
      <c r="A890" t="s">
        <v>964</v>
      </c>
      <c r="B890" s="1">
        <v>45799</v>
      </c>
      <c r="C890" t="s">
        <v>62</v>
      </c>
      <c r="D890" t="s">
        <v>13</v>
      </c>
      <c r="E890" t="s">
        <v>27</v>
      </c>
      <c r="F890" t="s">
        <v>28</v>
      </c>
      <c r="G890">
        <v>4</v>
      </c>
      <c r="H890">
        <v>14000</v>
      </c>
      <c r="I890">
        <v>10338</v>
      </c>
      <c r="J890" t="s">
        <v>45</v>
      </c>
      <c r="K890" t="s">
        <v>17</v>
      </c>
      <c r="L890">
        <f>SUM(Clean_Data[[#This Row],[Units_Sold]]*Clean_Data[[#This Row],[Unit_Price]])</f>
        <v>56000</v>
      </c>
      <c r="M890">
        <f>Clean_Data[[#This Row],[Units_Sold]]*Clean_Data[[#This Row],[Cost_Price]]</f>
        <v>41352</v>
      </c>
      <c r="N890">
        <f>Clean_Data[[#This Row],[Total_Sales]]-Clean_Data[[#This Row],[Total_Cost]]</f>
        <v>14648</v>
      </c>
      <c r="O890" s="2">
        <f>Clean_Data[[#This Row],[Profit]]/Clean_Data[[#This Row],[Total_Sales]]</f>
        <v>0.26157142857142857</v>
      </c>
      <c r="P890" t="str">
        <f>_xlfn.XLOOKUP(Clean_Data[[#This Row],[Product_Code]],Product_Catalog!A:A,Product_Catalog!C:C)</f>
        <v>Furniture</v>
      </c>
      <c r="Q890">
        <f>IF(Clean_Data[[#This Row],[Order_Date]]="","",YEAR(Clean_Data[[#This Row],[Order_Date]]))</f>
        <v>2025</v>
      </c>
      <c r="R890" t="str">
        <f>TEXT(Clean_Data[[#This Row],[Order_Date]],"mmm")</f>
        <v>May</v>
      </c>
      <c r="S890" t="str">
        <f>TEXT(Clean_Data[[#This Row],[Order_Date]],"mmm-yy")</f>
        <v>May-25</v>
      </c>
      <c r="V890"/>
    </row>
    <row r="891" spans="1:22" x14ac:dyDescent="0.25">
      <c r="A891" t="s">
        <v>965</v>
      </c>
      <c r="B891" s="1">
        <v>46071</v>
      </c>
      <c r="C891" t="s">
        <v>48</v>
      </c>
      <c r="D891" t="s">
        <v>13</v>
      </c>
      <c r="E891" t="s">
        <v>27</v>
      </c>
      <c r="F891" t="s">
        <v>28</v>
      </c>
      <c r="G891">
        <v>1</v>
      </c>
      <c r="H891">
        <v>14000</v>
      </c>
      <c r="I891">
        <v>10843</v>
      </c>
      <c r="J891" t="s">
        <v>16</v>
      </c>
      <c r="K891" t="s">
        <v>17</v>
      </c>
      <c r="L891">
        <f>SUM(Clean_Data[[#This Row],[Units_Sold]]*Clean_Data[[#This Row],[Unit_Price]])</f>
        <v>14000</v>
      </c>
      <c r="M891">
        <f>Clean_Data[[#This Row],[Units_Sold]]*Clean_Data[[#This Row],[Cost_Price]]</f>
        <v>10843</v>
      </c>
      <c r="N891">
        <f>Clean_Data[[#This Row],[Total_Sales]]-Clean_Data[[#This Row],[Total_Cost]]</f>
        <v>3157</v>
      </c>
      <c r="O891" s="2">
        <f>Clean_Data[[#This Row],[Profit]]/Clean_Data[[#This Row],[Total_Sales]]</f>
        <v>0.22550000000000001</v>
      </c>
      <c r="P891" t="str">
        <f>_xlfn.XLOOKUP(Clean_Data[[#This Row],[Product_Code]],Product_Catalog!A:A,Product_Catalog!C:C)</f>
        <v>Furniture</v>
      </c>
      <c r="Q891">
        <f>IF(Clean_Data[[#This Row],[Order_Date]]="","",YEAR(Clean_Data[[#This Row],[Order_Date]]))</f>
        <v>2026</v>
      </c>
      <c r="R891" t="str">
        <f>TEXT(Clean_Data[[#This Row],[Order_Date]],"mmm")</f>
        <v>Feb</v>
      </c>
      <c r="S891" t="str">
        <f>TEXT(Clean_Data[[#This Row],[Order_Date]],"mmm-yy")</f>
        <v>Feb-26</v>
      </c>
      <c r="V891"/>
    </row>
    <row r="892" spans="1:22" x14ac:dyDescent="0.25">
      <c r="A892" t="s">
        <v>966</v>
      </c>
      <c r="B892" s="1">
        <v>45976</v>
      </c>
      <c r="C892" t="s">
        <v>73</v>
      </c>
      <c r="D892" t="s">
        <v>13</v>
      </c>
      <c r="E892" t="s">
        <v>20</v>
      </c>
      <c r="F892" t="s">
        <v>21</v>
      </c>
      <c r="G892">
        <v>8</v>
      </c>
      <c r="H892">
        <v>8500</v>
      </c>
      <c r="I892">
        <v>6150</v>
      </c>
      <c r="J892" t="s">
        <v>16</v>
      </c>
      <c r="K892" t="s">
        <v>17</v>
      </c>
      <c r="L892">
        <f>SUM(Clean_Data[[#This Row],[Units_Sold]]*Clean_Data[[#This Row],[Unit_Price]])</f>
        <v>68000</v>
      </c>
      <c r="M892">
        <f>Clean_Data[[#This Row],[Units_Sold]]*Clean_Data[[#This Row],[Cost_Price]]</f>
        <v>49200</v>
      </c>
      <c r="N892">
        <f>Clean_Data[[#This Row],[Total_Sales]]-Clean_Data[[#This Row],[Total_Cost]]</f>
        <v>18800</v>
      </c>
      <c r="O892" s="2">
        <f>Clean_Data[[#This Row],[Profit]]/Clean_Data[[#This Row],[Total_Sales]]</f>
        <v>0.27647058823529413</v>
      </c>
      <c r="P892" t="str">
        <f>_xlfn.XLOOKUP(Clean_Data[[#This Row],[Product_Code]],Product_Catalog!A:A,Product_Catalog!C:C)</f>
        <v>Accessories</v>
      </c>
      <c r="Q892">
        <f>IF(Clean_Data[[#This Row],[Order_Date]]="","",YEAR(Clean_Data[[#This Row],[Order_Date]]))</f>
        <v>2025</v>
      </c>
      <c r="R892" t="str">
        <f>TEXT(Clean_Data[[#This Row],[Order_Date]],"mmm")</f>
        <v>Nov</v>
      </c>
      <c r="S892" t="str">
        <f>TEXT(Clean_Data[[#This Row],[Order_Date]],"mmm-yy")</f>
        <v>Nov-25</v>
      </c>
      <c r="V892"/>
    </row>
    <row r="893" spans="1:22" x14ac:dyDescent="0.25">
      <c r="A893" t="s">
        <v>967</v>
      </c>
      <c r="B893" s="1">
        <v>45702</v>
      </c>
      <c r="C893" t="s">
        <v>31</v>
      </c>
      <c r="D893" t="s">
        <v>13</v>
      </c>
      <c r="E893" t="s">
        <v>27</v>
      </c>
      <c r="F893" t="s">
        <v>28</v>
      </c>
      <c r="G893">
        <v>2</v>
      </c>
      <c r="H893">
        <v>14000</v>
      </c>
      <c r="I893">
        <v>9714</v>
      </c>
      <c r="J893" t="s">
        <v>45</v>
      </c>
      <c r="K893" t="s">
        <v>17</v>
      </c>
      <c r="L893">
        <f>SUM(Clean_Data[[#This Row],[Units_Sold]]*Clean_Data[[#This Row],[Unit_Price]])</f>
        <v>28000</v>
      </c>
      <c r="M893">
        <f>Clean_Data[[#This Row],[Units_Sold]]*Clean_Data[[#This Row],[Cost_Price]]</f>
        <v>19428</v>
      </c>
      <c r="N893">
        <f>Clean_Data[[#This Row],[Total_Sales]]-Clean_Data[[#This Row],[Total_Cost]]</f>
        <v>8572</v>
      </c>
      <c r="O893" s="2">
        <f>Clean_Data[[#This Row],[Profit]]/Clean_Data[[#This Row],[Total_Sales]]</f>
        <v>0.30614285714285716</v>
      </c>
      <c r="P893" t="str">
        <f>_xlfn.XLOOKUP(Clean_Data[[#This Row],[Product_Code]],Product_Catalog!A:A,Product_Catalog!C:C)</f>
        <v>Furniture</v>
      </c>
      <c r="Q893">
        <f>IF(Clean_Data[[#This Row],[Order_Date]]="","",YEAR(Clean_Data[[#This Row],[Order_Date]]))</f>
        <v>2025</v>
      </c>
      <c r="R893" t="str">
        <f>TEXT(Clean_Data[[#This Row],[Order_Date]],"mmm")</f>
        <v>Feb</v>
      </c>
      <c r="S893" t="str">
        <f>TEXT(Clean_Data[[#This Row],[Order_Date]],"mmm-yy")</f>
        <v>Feb-25</v>
      </c>
      <c r="V893"/>
    </row>
    <row r="894" spans="1:22" x14ac:dyDescent="0.25">
      <c r="A894" t="s">
        <v>968</v>
      </c>
      <c r="B894" s="1">
        <v>45956</v>
      </c>
      <c r="C894" t="s">
        <v>12</v>
      </c>
      <c r="D894" t="s">
        <v>13</v>
      </c>
      <c r="E894" t="s">
        <v>49</v>
      </c>
      <c r="F894" t="s">
        <v>50</v>
      </c>
      <c r="G894">
        <v>1</v>
      </c>
      <c r="H894">
        <v>75000</v>
      </c>
      <c r="I894">
        <v>55005</v>
      </c>
      <c r="J894" t="s">
        <v>45</v>
      </c>
      <c r="K894" t="s">
        <v>46</v>
      </c>
      <c r="L894">
        <f>SUM(Clean_Data[[#This Row],[Units_Sold]]*Clean_Data[[#This Row],[Unit_Price]])</f>
        <v>75000</v>
      </c>
      <c r="M894">
        <f>Clean_Data[[#This Row],[Units_Sold]]*Clean_Data[[#This Row],[Cost_Price]]</f>
        <v>55005</v>
      </c>
      <c r="N894">
        <f>Clean_Data[[#This Row],[Total_Sales]]-Clean_Data[[#This Row],[Total_Cost]]</f>
        <v>19995</v>
      </c>
      <c r="O894" s="2">
        <f>Clean_Data[[#This Row],[Profit]]/Clean_Data[[#This Row],[Total_Sales]]</f>
        <v>0.2666</v>
      </c>
      <c r="P894" t="str">
        <f>_xlfn.XLOOKUP(Clean_Data[[#This Row],[Product_Code]],Product_Catalog!A:A,Product_Catalog!C:C)</f>
        <v>Electronics</v>
      </c>
      <c r="Q894">
        <f>IF(Clean_Data[[#This Row],[Order_Date]]="","",YEAR(Clean_Data[[#This Row],[Order_Date]]))</f>
        <v>2025</v>
      </c>
      <c r="R894" t="str">
        <f>TEXT(Clean_Data[[#This Row],[Order_Date]],"mmm")</f>
        <v>Oct</v>
      </c>
      <c r="S894" t="str">
        <f>TEXT(Clean_Data[[#This Row],[Order_Date]],"mmm-yy")</f>
        <v>Oct-25</v>
      </c>
      <c r="V894"/>
    </row>
    <row r="895" spans="1:22" x14ac:dyDescent="0.25">
      <c r="A895" t="s">
        <v>969</v>
      </c>
      <c r="B895" s="1">
        <v>46091</v>
      </c>
      <c r="C895" t="s">
        <v>53</v>
      </c>
      <c r="D895" t="s">
        <v>40</v>
      </c>
      <c r="E895" t="s">
        <v>20</v>
      </c>
      <c r="F895" t="s">
        <v>21</v>
      </c>
      <c r="G895">
        <v>18</v>
      </c>
      <c r="H895">
        <v>8500</v>
      </c>
      <c r="I895">
        <v>6176</v>
      </c>
      <c r="J895" t="s">
        <v>29</v>
      </c>
      <c r="K895" t="s">
        <v>46</v>
      </c>
      <c r="L895">
        <f>SUM(Clean_Data[[#This Row],[Units_Sold]]*Clean_Data[[#This Row],[Unit_Price]])</f>
        <v>153000</v>
      </c>
      <c r="M895">
        <f>Clean_Data[[#This Row],[Units_Sold]]*Clean_Data[[#This Row],[Cost_Price]]</f>
        <v>111168</v>
      </c>
      <c r="N895">
        <f>Clean_Data[[#This Row],[Total_Sales]]-Clean_Data[[#This Row],[Total_Cost]]</f>
        <v>41832</v>
      </c>
      <c r="O895" s="2">
        <f>Clean_Data[[#This Row],[Profit]]/Clean_Data[[#This Row],[Total_Sales]]</f>
        <v>0.27341176470588235</v>
      </c>
      <c r="P895" t="str">
        <f>_xlfn.XLOOKUP(Clean_Data[[#This Row],[Product_Code]],Product_Catalog!A:A,Product_Catalog!C:C)</f>
        <v>Accessories</v>
      </c>
      <c r="Q895">
        <f>IF(Clean_Data[[#This Row],[Order_Date]]="","",YEAR(Clean_Data[[#This Row],[Order_Date]]))</f>
        <v>2026</v>
      </c>
      <c r="R895" t="str">
        <f>TEXT(Clean_Data[[#This Row],[Order_Date]],"mmm")</f>
        <v>Mar</v>
      </c>
      <c r="S895" t="str">
        <f>TEXT(Clean_Data[[#This Row],[Order_Date]],"mmm-yy")</f>
        <v>Mar-26</v>
      </c>
      <c r="V895"/>
    </row>
    <row r="896" spans="1:22" x14ac:dyDescent="0.25">
      <c r="A896" t="s">
        <v>970</v>
      </c>
      <c r="B896" s="1">
        <v>45936</v>
      </c>
      <c r="C896" t="s">
        <v>44</v>
      </c>
      <c r="D896" t="s">
        <v>13</v>
      </c>
      <c r="E896" t="s">
        <v>55</v>
      </c>
      <c r="F896" t="s">
        <v>34</v>
      </c>
      <c r="G896">
        <v>6</v>
      </c>
      <c r="H896">
        <v>35000</v>
      </c>
      <c r="I896">
        <v>26661</v>
      </c>
      <c r="J896" t="s">
        <v>16</v>
      </c>
      <c r="K896" t="s">
        <v>17</v>
      </c>
      <c r="L896">
        <f>SUM(Clean_Data[[#This Row],[Units_Sold]]*Clean_Data[[#This Row],[Unit_Price]])</f>
        <v>210000</v>
      </c>
      <c r="M896">
        <f>Clean_Data[[#This Row],[Units_Sold]]*Clean_Data[[#This Row],[Cost_Price]]</f>
        <v>159966</v>
      </c>
      <c r="N896">
        <f>Clean_Data[[#This Row],[Total_Sales]]-Clean_Data[[#This Row],[Total_Cost]]</f>
        <v>50034</v>
      </c>
      <c r="O896" s="2">
        <f>Clean_Data[[#This Row],[Profit]]/Clean_Data[[#This Row],[Total_Sales]]</f>
        <v>0.23825714285714286</v>
      </c>
      <c r="P896" t="str">
        <f>_xlfn.XLOOKUP(Clean_Data[[#This Row],[Product_Code]],Product_Catalog!A:A,Product_Catalog!C:C)</f>
        <v>Furniture</v>
      </c>
      <c r="Q896">
        <f>IF(Clean_Data[[#This Row],[Order_Date]]="","",YEAR(Clean_Data[[#This Row],[Order_Date]]))</f>
        <v>2025</v>
      </c>
      <c r="R896" t="str">
        <f>TEXT(Clean_Data[[#This Row],[Order_Date]],"mmm")</f>
        <v>Oct</v>
      </c>
      <c r="S896" t="str">
        <f>TEXT(Clean_Data[[#This Row],[Order_Date]],"mmm-yy")</f>
        <v>Oct-25</v>
      </c>
      <c r="V896"/>
    </row>
    <row r="897" spans="1:22" x14ac:dyDescent="0.25">
      <c r="A897" t="s">
        <v>971</v>
      </c>
      <c r="B897" s="1">
        <v>45709</v>
      </c>
      <c r="C897" t="s">
        <v>44</v>
      </c>
      <c r="D897" t="s">
        <v>13</v>
      </c>
      <c r="E897" t="s">
        <v>41</v>
      </c>
      <c r="F897" t="s">
        <v>42</v>
      </c>
      <c r="G897">
        <v>3</v>
      </c>
      <c r="H897">
        <v>28000</v>
      </c>
      <c r="I897">
        <v>18137</v>
      </c>
      <c r="J897" t="s">
        <v>29</v>
      </c>
      <c r="K897" t="s">
        <v>23</v>
      </c>
      <c r="L897">
        <f>SUM(Clean_Data[[#This Row],[Units_Sold]]*Clean_Data[[#This Row],[Unit_Price]])</f>
        <v>84000</v>
      </c>
      <c r="M897">
        <f>Clean_Data[[#This Row],[Units_Sold]]*Clean_Data[[#This Row],[Cost_Price]]</f>
        <v>54411</v>
      </c>
      <c r="N897">
        <f>Clean_Data[[#This Row],[Total_Sales]]-Clean_Data[[#This Row],[Total_Cost]]</f>
        <v>29589</v>
      </c>
      <c r="O897" s="2">
        <f>Clean_Data[[#This Row],[Profit]]/Clean_Data[[#This Row],[Total_Sales]]</f>
        <v>0.35225000000000001</v>
      </c>
      <c r="P897" t="str">
        <f>_xlfn.XLOOKUP(Clean_Data[[#This Row],[Product_Code]],Product_Catalog!A:A,Product_Catalog!C:C)</f>
        <v>Electronics</v>
      </c>
      <c r="Q897">
        <f>IF(Clean_Data[[#This Row],[Order_Date]]="","",YEAR(Clean_Data[[#This Row],[Order_Date]]))</f>
        <v>2025</v>
      </c>
      <c r="R897" t="str">
        <f>TEXT(Clean_Data[[#This Row],[Order_Date]],"mmm")</f>
        <v>Feb</v>
      </c>
      <c r="S897" t="str">
        <f>TEXT(Clean_Data[[#This Row],[Order_Date]],"mmm-yy")</f>
        <v>Feb-25</v>
      </c>
      <c r="V897"/>
    </row>
    <row r="898" spans="1:22" x14ac:dyDescent="0.25">
      <c r="A898" t="s">
        <v>972</v>
      </c>
      <c r="B898" s="1">
        <v>46246</v>
      </c>
      <c r="C898" t="s">
        <v>44</v>
      </c>
      <c r="D898" t="s">
        <v>36</v>
      </c>
      <c r="E898" t="s">
        <v>63</v>
      </c>
      <c r="F898" t="s">
        <v>59</v>
      </c>
      <c r="G898">
        <v>16</v>
      </c>
      <c r="H898">
        <v>4500</v>
      </c>
      <c r="I898">
        <v>3589</v>
      </c>
      <c r="J898" t="s">
        <v>45</v>
      </c>
      <c r="K898" t="s">
        <v>46</v>
      </c>
      <c r="L898">
        <f>SUM(Clean_Data[[#This Row],[Units_Sold]]*Clean_Data[[#This Row],[Unit_Price]])</f>
        <v>72000</v>
      </c>
      <c r="M898">
        <f>Clean_Data[[#This Row],[Units_Sold]]*Clean_Data[[#This Row],[Cost_Price]]</f>
        <v>57424</v>
      </c>
      <c r="N898">
        <f>Clean_Data[[#This Row],[Total_Sales]]-Clean_Data[[#This Row],[Total_Cost]]</f>
        <v>14576</v>
      </c>
      <c r="O898" s="2">
        <f>Clean_Data[[#This Row],[Profit]]/Clean_Data[[#This Row],[Total_Sales]]</f>
        <v>0.20244444444444445</v>
      </c>
      <c r="P898" t="str">
        <f>_xlfn.XLOOKUP(Clean_Data[[#This Row],[Product_Code]],Product_Catalog!A:A,Product_Catalog!C:C)</f>
        <v>Electronics</v>
      </c>
      <c r="Q898">
        <f>IF(Clean_Data[[#This Row],[Order_Date]]="","",YEAR(Clean_Data[[#This Row],[Order_Date]]))</f>
        <v>2026</v>
      </c>
      <c r="R898" t="str">
        <f>TEXT(Clean_Data[[#This Row],[Order_Date]],"mmm")</f>
        <v>Aug</v>
      </c>
      <c r="S898" t="str">
        <f>TEXT(Clean_Data[[#This Row],[Order_Date]],"mmm-yy")</f>
        <v>Aug-26</v>
      </c>
      <c r="V898"/>
    </row>
    <row r="899" spans="1:22" x14ac:dyDescent="0.25">
      <c r="A899" t="s">
        <v>973</v>
      </c>
      <c r="B899" s="1">
        <v>45727</v>
      </c>
      <c r="C899" t="s">
        <v>25</v>
      </c>
      <c r="D899" t="s">
        <v>13</v>
      </c>
      <c r="E899" t="s">
        <v>27</v>
      </c>
      <c r="F899" t="s">
        <v>28</v>
      </c>
      <c r="G899">
        <v>1</v>
      </c>
      <c r="H899">
        <v>14000</v>
      </c>
      <c r="I899">
        <v>8701</v>
      </c>
      <c r="J899" t="s">
        <v>29</v>
      </c>
      <c r="K899" t="s">
        <v>23</v>
      </c>
      <c r="L899">
        <f>SUM(Clean_Data[[#This Row],[Units_Sold]]*Clean_Data[[#This Row],[Unit_Price]])</f>
        <v>14000</v>
      </c>
      <c r="M899">
        <f>Clean_Data[[#This Row],[Units_Sold]]*Clean_Data[[#This Row],[Cost_Price]]</f>
        <v>8701</v>
      </c>
      <c r="N899">
        <f>Clean_Data[[#This Row],[Total_Sales]]-Clean_Data[[#This Row],[Total_Cost]]</f>
        <v>5299</v>
      </c>
      <c r="O899" s="2">
        <f>Clean_Data[[#This Row],[Profit]]/Clean_Data[[#This Row],[Total_Sales]]</f>
        <v>0.3785</v>
      </c>
      <c r="P899" t="str">
        <f>_xlfn.XLOOKUP(Clean_Data[[#This Row],[Product_Code]],Product_Catalog!A:A,Product_Catalog!C:C)</f>
        <v>Furniture</v>
      </c>
      <c r="Q899">
        <f>IF(Clean_Data[[#This Row],[Order_Date]]="","",YEAR(Clean_Data[[#This Row],[Order_Date]]))</f>
        <v>2025</v>
      </c>
      <c r="R899" t="str">
        <f>TEXT(Clean_Data[[#This Row],[Order_Date]],"mmm")</f>
        <v>Mar</v>
      </c>
      <c r="S899" t="str">
        <f>TEXT(Clean_Data[[#This Row],[Order_Date]],"mmm-yy")</f>
        <v>Mar-25</v>
      </c>
      <c r="V899"/>
    </row>
    <row r="900" spans="1:22" x14ac:dyDescent="0.25">
      <c r="A900" t="s">
        <v>974</v>
      </c>
      <c r="B900" s="1">
        <v>45985</v>
      </c>
      <c r="C900" t="s">
        <v>25</v>
      </c>
      <c r="D900" t="s">
        <v>13</v>
      </c>
      <c r="E900" t="s">
        <v>41</v>
      </c>
      <c r="F900" t="s">
        <v>42</v>
      </c>
      <c r="G900">
        <v>10</v>
      </c>
      <c r="H900">
        <v>28000</v>
      </c>
      <c r="I900">
        <v>20083</v>
      </c>
      <c r="J900" t="s">
        <v>16</v>
      </c>
      <c r="K900" t="s">
        <v>46</v>
      </c>
      <c r="L900">
        <f>SUM(Clean_Data[[#This Row],[Units_Sold]]*Clean_Data[[#This Row],[Unit_Price]])</f>
        <v>280000</v>
      </c>
      <c r="M900">
        <f>Clean_Data[[#This Row],[Units_Sold]]*Clean_Data[[#This Row],[Cost_Price]]</f>
        <v>200830</v>
      </c>
      <c r="N900">
        <f>Clean_Data[[#This Row],[Total_Sales]]-Clean_Data[[#This Row],[Total_Cost]]</f>
        <v>79170</v>
      </c>
      <c r="O900" s="2">
        <f>Clean_Data[[#This Row],[Profit]]/Clean_Data[[#This Row],[Total_Sales]]</f>
        <v>0.28275</v>
      </c>
      <c r="P900" t="str">
        <f>_xlfn.XLOOKUP(Clean_Data[[#This Row],[Product_Code]],Product_Catalog!A:A,Product_Catalog!C:C)</f>
        <v>Electronics</v>
      </c>
      <c r="Q900">
        <f>IF(Clean_Data[[#This Row],[Order_Date]]="","",YEAR(Clean_Data[[#This Row],[Order_Date]]))</f>
        <v>2025</v>
      </c>
      <c r="R900" t="str">
        <f>TEXT(Clean_Data[[#This Row],[Order_Date]],"mmm")</f>
        <v>Nov</v>
      </c>
      <c r="S900" t="str">
        <f>TEXT(Clean_Data[[#This Row],[Order_Date]],"mmm-yy")</f>
        <v>Nov-25</v>
      </c>
      <c r="V900"/>
    </row>
    <row r="901" spans="1:22" x14ac:dyDescent="0.25">
      <c r="A901" t="s">
        <v>975</v>
      </c>
      <c r="B901" s="1">
        <v>45882</v>
      </c>
      <c r="C901" t="s">
        <v>48</v>
      </c>
      <c r="D901" t="s">
        <v>36</v>
      </c>
      <c r="E901" t="s">
        <v>55</v>
      </c>
      <c r="F901" t="s">
        <v>34</v>
      </c>
      <c r="G901">
        <v>8</v>
      </c>
      <c r="H901">
        <v>35000</v>
      </c>
      <c r="I901">
        <v>21215</v>
      </c>
      <c r="J901" t="s">
        <v>22</v>
      </c>
      <c r="K901" t="s">
        <v>46</v>
      </c>
      <c r="L901">
        <f>SUM(Clean_Data[[#This Row],[Units_Sold]]*Clean_Data[[#This Row],[Unit_Price]])</f>
        <v>280000</v>
      </c>
      <c r="M901">
        <f>Clean_Data[[#This Row],[Units_Sold]]*Clean_Data[[#This Row],[Cost_Price]]</f>
        <v>169720</v>
      </c>
      <c r="N901">
        <f>Clean_Data[[#This Row],[Total_Sales]]-Clean_Data[[#This Row],[Total_Cost]]</f>
        <v>110280</v>
      </c>
      <c r="O901" s="2">
        <f>Clean_Data[[#This Row],[Profit]]/Clean_Data[[#This Row],[Total_Sales]]</f>
        <v>0.39385714285714285</v>
      </c>
      <c r="P901" t="str">
        <f>_xlfn.XLOOKUP(Clean_Data[[#This Row],[Product_Code]],Product_Catalog!A:A,Product_Catalog!C:C)</f>
        <v>Furniture</v>
      </c>
      <c r="Q901">
        <f>IF(Clean_Data[[#This Row],[Order_Date]]="","",YEAR(Clean_Data[[#This Row],[Order_Date]]))</f>
        <v>2025</v>
      </c>
      <c r="R901" t="str">
        <f>TEXT(Clean_Data[[#This Row],[Order_Date]],"mmm")</f>
        <v>Aug</v>
      </c>
      <c r="S901" t="str">
        <f>TEXT(Clean_Data[[#This Row],[Order_Date]],"mmm-yy")</f>
        <v>Aug-25</v>
      </c>
      <c r="V901"/>
    </row>
    <row r="902" spans="1:22" x14ac:dyDescent="0.25">
      <c r="A902" t="s">
        <v>976</v>
      </c>
      <c r="B902" s="1">
        <v>45990</v>
      </c>
      <c r="C902" t="s">
        <v>19</v>
      </c>
      <c r="D902" t="s">
        <v>13</v>
      </c>
      <c r="E902" t="s">
        <v>66</v>
      </c>
      <c r="F902" t="s">
        <v>67</v>
      </c>
      <c r="G902">
        <v>6</v>
      </c>
      <c r="H902">
        <v>2500</v>
      </c>
      <c r="I902">
        <v>1736</v>
      </c>
      <c r="J902" t="s">
        <v>16</v>
      </c>
      <c r="K902" t="s">
        <v>23</v>
      </c>
      <c r="L902">
        <f>SUM(Clean_Data[[#This Row],[Units_Sold]]*Clean_Data[[#This Row],[Unit_Price]])</f>
        <v>15000</v>
      </c>
      <c r="M902">
        <f>Clean_Data[[#This Row],[Units_Sold]]*Clean_Data[[#This Row],[Cost_Price]]</f>
        <v>10416</v>
      </c>
      <c r="N902">
        <f>Clean_Data[[#This Row],[Total_Sales]]-Clean_Data[[#This Row],[Total_Cost]]</f>
        <v>4584</v>
      </c>
      <c r="O902" s="2">
        <f>Clean_Data[[#This Row],[Profit]]/Clean_Data[[#This Row],[Total_Sales]]</f>
        <v>0.30559999999999998</v>
      </c>
      <c r="P902" t="str">
        <f>_xlfn.XLOOKUP(Clean_Data[[#This Row],[Product_Code]],Product_Catalog!A:A,Product_Catalog!C:C)</f>
        <v>Electronics</v>
      </c>
      <c r="Q902">
        <f>IF(Clean_Data[[#This Row],[Order_Date]]="","",YEAR(Clean_Data[[#This Row],[Order_Date]]))</f>
        <v>2025</v>
      </c>
      <c r="R902" t="str">
        <f>TEXT(Clean_Data[[#This Row],[Order_Date]],"mmm")</f>
        <v>Nov</v>
      </c>
      <c r="S902" t="str">
        <f>TEXT(Clean_Data[[#This Row],[Order_Date]],"mmm-yy")</f>
        <v>Nov-25</v>
      </c>
      <c r="V902"/>
    </row>
    <row r="903" spans="1:22" x14ac:dyDescent="0.25">
      <c r="A903" t="s">
        <v>977</v>
      </c>
      <c r="B903" s="1">
        <v>46233</v>
      </c>
      <c r="C903" t="s">
        <v>25</v>
      </c>
      <c r="D903" t="s">
        <v>40</v>
      </c>
      <c r="E903" t="s">
        <v>27</v>
      </c>
      <c r="F903" t="s">
        <v>28</v>
      </c>
      <c r="G903">
        <v>4</v>
      </c>
      <c r="H903">
        <v>14000</v>
      </c>
      <c r="I903">
        <v>9290</v>
      </c>
      <c r="J903" t="s">
        <v>29</v>
      </c>
      <c r="K903" t="s">
        <v>46</v>
      </c>
      <c r="L903">
        <f>SUM(Clean_Data[[#This Row],[Units_Sold]]*Clean_Data[[#This Row],[Unit_Price]])</f>
        <v>56000</v>
      </c>
      <c r="M903">
        <f>Clean_Data[[#This Row],[Units_Sold]]*Clean_Data[[#This Row],[Cost_Price]]</f>
        <v>37160</v>
      </c>
      <c r="N903">
        <f>Clean_Data[[#This Row],[Total_Sales]]-Clean_Data[[#This Row],[Total_Cost]]</f>
        <v>18840</v>
      </c>
      <c r="O903" s="2">
        <f>Clean_Data[[#This Row],[Profit]]/Clean_Data[[#This Row],[Total_Sales]]</f>
        <v>0.33642857142857141</v>
      </c>
      <c r="P903" t="str">
        <f>_xlfn.XLOOKUP(Clean_Data[[#This Row],[Product_Code]],Product_Catalog!A:A,Product_Catalog!C:C)</f>
        <v>Furniture</v>
      </c>
      <c r="Q903">
        <f>IF(Clean_Data[[#This Row],[Order_Date]]="","",YEAR(Clean_Data[[#This Row],[Order_Date]]))</f>
        <v>2026</v>
      </c>
      <c r="R903" t="str">
        <f>TEXT(Clean_Data[[#This Row],[Order_Date]],"mmm")</f>
        <v>Jul</v>
      </c>
      <c r="S903" t="str">
        <f>TEXT(Clean_Data[[#This Row],[Order_Date]],"mmm-yy")</f>
        <v>Jul-26</v>
      </c>
      <c r="V903"/>
    </row>
    <row r="904" spans="1:22" x14ac:dyDescent="0.25">
      <c r="A904" t="s">
        <v>978</v>
      </c>
      <c r="B904" s="1">
        <v>46062</v>
      </c>
      <c r="C904" t="s">
        <v>73</v>
      </c>
      <c r="D904" t="s">
        <v>13</v>
      </c>
      <c r="E904" t="s">
        <v>66</v>
      </c>
      <c r="F904" t="s">
        <v>67</v>
      </c>
      <c r="G904">
        <v>3</v>
      </c>
      <c r="H904">
        <v>2500</v>
      </c>
      <c r="I904">
        <v>1857</v>
      </c>
      <c r="J904" t="s">
        <v>22</v>
      </c>
      <c r="K904" t="s">
        <v>46</v>
      </c>
      <c r="L904">
        <f>SUM(Clean_Data[[#This Row],[Units_Sold]]*Clean_Data[[#This Row],[Unit_Price]])</f>
        <v>7500</v>
      </c>
      <c r="M904">
        <f>Clean_Data[[#This Row],[Units_Sold]]*Clean_Data[[#This Row],[Cost_Price]]</f>
        <v>5571</v>
      </c>
      <c r="N904">
        <f>Clean_Data[[#This Row],[Total_Sales]]-Clean_Data[[#This Row],[Total_Cost]]</f>
        <v>1929</v>
      </c>
      <c r="O904" s="2">
        <f>Clean_Data[[#This Row],[Profit]]/Clean_Data[[#This Row],[Total_Sales]]</f>
        <v>0.25719999999999998</v>
      </c>
      <c r="P904" t="str">
        <f>_xlfn.XLOOKUP(Clean_Data[[#This Row],[Product_Code]],Product_Catalog!A:A,Product_Catalog!C:C)</f>
        <v>Electronics</v>
      </c>
      <c r="Q904">
        <f>IF(Clean_Data[[#This Row],[Order_Date]]="","",YEAR(Clean_Data[[#This Row],[Order_Date]]))</f>
        <v>2026</v>
      </c>
      <c r="R904" t="str">
        <f>TEXT(Clean_Data[[#This Row],[Order_Date]],"mmm")</f>
        <v>Feb</v>
      </c>
      <c r="S904" t="str">
        <f>TEXT(Clean_Data[[#This Row],[Order_Date]],"mmm-yy")</f>
        <v>Feb-26</v>
      </c>
      <c r="V904"/>
    </row>
    <row r="905" spans="1:22" x14ac:dyDescent="0.25">
      <c r="A905" t="s">
        <v>979</v>
      </c>
      <c r="B905" s="1">
        <v>45929</v>
      </c>
      <c r="C905" t="s">
        <v>48</v>
      </c>
      <c r="D905" t="s">
        <v>26</v>
      </c>
      <c r="E905" t="s">
        <v>37</v>
      </c>
      <c r="F905" t="s">
        <v>38</v>
      </c>
      <c r="G905">
        <v>3</v>
      </c>
      <c r="H905">
        <v>55000</v>
      </c>
      <c r="I905">
        <v>41313</v>
      </c>
      <c r="J905" t="s">
        <v>29</v>
      </c>
      <c r="K905" t="s">
        <v>46</v>
      </c>
      <c r="L905">
        <f>SUM(Clean_Data[[#This Row],[Units_Sold]]*Clean_Data[[#This Row],[Unit_Price]])</f>
        <v>165000</v>
      </c>
      <c r="M905">
        <f>Clean_Data[[#This Row],[Units_Sold]]*Clean_Data[[#This Row],[Cost_Price]]</f>
        <v>123939</v>
      </c>
      <c r="N905">
        <f>Clean_Data[[#This Row],[Total_Sales]]-Clean_Data[[#This Row],[Total_Cost]]</f>
        <v>41061</v>
      </c>
      <c r="O905" s="2">
        <f>Clean_Data[[#This Row],[Profit]]/Clean_Data[[#This Row],[Total_Sales]]</f>
        <v>0.24885454545454547</v>
      </c>
      <c r="P905" t="str">
        <f>_xlfn.XLOOKUP(Clean_Data[[#This Row],[Product_Code]],Product_Catalog!A:A,Product_Catalog!C:C)</f>
        <v>Electronics</v>
      </c>
      <c r="Q905">
        <f>IF(Clean_Data[[#This Row],[Order_Date]]="","",YEAR(Clean_Data[[#This Row],[Order_Date]]))</f>
        <v>2025</v>
      </c>
      <c r="R905" t="str">
        <f>TEXT(Clean_Data[[#This Row],[Order_Date]],"mmm")</f>
        <v>Sep</v>
      </c>
      <c r="S905" t="str">
        <f>TEXT(Clean_Data[[#This Row],[Order_Date]],"mmm-yy")</f>
        <v>Sep-25</v>
      </c>
      <c r="V905"/>
    </row>
    <row r="906" spans="1:22" x14ac:dyDescent="0.25">
      <c r="A906" t="s">
        <v>980</v>
      </c>
      <c r="B906" s="1">
        <v>46024</v>
      </c>
      <c r="C906" t="s">
        <v>31</v>
      </c>
      <c r="D906" t="s">
        <v>40</v>
      </c>
      <c r="E906" t="s">
        <v>49</v>
      </c>
      <c r="F906" t="s">
        <v>50</v>
      </c>
      <c r="G906">
        <v>1</v>
      </c>
      <c r="H906">
        <v>75000</v>
      </c>
      <c r="I906">
        <v>51894</v>
      </c>
      <c r="J906" t="s">
        <v>22</v>
      </c>
      <c r="K906" t="s">
        <v>17</v>
      </c>
      <c r="L906">
        <f>SUM(Clean_Data[[#This Row],[Units_Sold]]*Clean_Data[[#This Row],[Unit_Price]])</f>
        <v>75000</v>
      </c>
      <c r="M906">
        <f>Clean_Data[[#This Row],[Units_Sold]]*Clean_Data[[#This Row],[Cost_Price]]</f>
        <v>51894</v>
      </c>
      <c r="N906">
        <f>Clean_Data[[#This Row],[Total_Sales]]-Clean_Data[[#This Row],[Total_Cost]]</f>
        <v>23106</v>
      </c>
      <c r="O906" s="2">
        <f>Clean_Data[[#This Row],[Profit]]/Clean_Data[[#This Row],[Total_Sales]]</f>
        <v>0.30808000000000002</v>
      </c>
      <c r="P906" t="str">
        <f>_xlfn.XLOOKUP(Clean_Data[[#This Row],[Product_Code]],Product_Catalog!A:A,Product_Catalog!C:C)</f>
        <v>Electronics</v>
      </c>
      <c r="Q906">
        <f>IF(Clean_Data[[#This Row],[Order_Date]]="","",YEAR(Clean_Data[[#This Row],[Order_Date]]))</f>
        <v>2026</v>
      </c>
      <c r="R906" t="str">
        <f>TEXT(Clean_Data[[#This Row],[Order_Date]],"mmm")</f>
        <v>Jan</v>
      </c>
      <c r="S906" t="str">
        <f>TEXT(Clean_Data[[#This Row],[Order_Date]],"mmm-yy")</f>
        <v>Jan-26</v>
      </c>
      <c r="V906"/>
    </row>
    <row r="907" spans="1:22" x14ac:dyDescent="0.25">
      <c r="A907" t="s">
        <v>981</v>
      </c>
      <c r="B907" s="1">
        <v>46108</v>
      </c>
      <c r="C907" t="s">
        <v>53</v>
      </c>
      <c r="D907" t="s">
        <v>40</v>
      </c>
      <c r="E907" t="s">
        <v>49</v>
      </c>
      <c r="F907" t="s">
        <v>50</v>
      </c>
      <c r="G907">
        <v>17</v>
      </c>
      <c r="H907">
        <v>75000</v>
      </c>
      <c r="I907">
        <v>58434</v>
      </c>
      <c r="J907" t="s">
        <v>16</v>
      </c>
      <c r="K907" t="s">
        <v>17</v>
      </c>
      <c r="L907">
        <f>SUM(Clean_Data[[#This Row],[Units_Sold]]*Clean_Data[[#This Row],[Unit_Price]])</f>
        <v>1275000</v>
      </c>
      <c r="M907">
        <f>Clean_Data[[#This Row],[Units_Sold]]*Clean_Data[[#This Row],[Cost_Price]]</f>
        <v>993378</v>
      </c>
      <c r="N907">
        <f>Clean_Data[[#This Row],[Total_Sales]]-Clean_Data[[#This Row],[Total_Cost]]</f>
        <v>281622</v>
      </c>
      <c r="O907" s="2">
        <f>Clean_Data[[#This Row],[Profit]]/Clean_Data[[#This Row],[Total_Sales]]</f>
        <v>0.22087999999999999</v>
      </c>
      <c r="P907" t="str">
        <f>_xlfn.XLOOKUP(Clean_Data[[#This Row],[Product_Code]],Product_Catalog!A:A,Product_Catalog!C:C)</f>
        <v>Electronics</v>
      </c>
      <c r="Q907">
        <f>IF(Clean_Data[[#This Row],[Order_Date]]="","",YEAR(Clean_Data[[#This Row],[Order_Date]]))</f>
        <v>2026</v>
      </c>
      <c r="R907" t="str">
        <f>TEXT(Clean_Data[[#This Row],[Order_Date]],"mmm")</f>
        <v>Mar</v>
      </c>
      <c r="S907" t="str">
        <f>TEXT(Clean_Data[[#This Row],[Order_Date]],"mmm-yy")</f>
        <v>Mar-26</v>
      </c>
      <c r="V907"/>
    </row>
    <row r="908" spans="1:22" x14ac:dyDescent="0.25">
      <c r="A908" t="s">
        <v>982</v>
      </c>
      <c r="B908" s="1">
        <v>46219</v>
      </c>
      <c r="C908" t="s">
        <v>44</v>
      </c>
      <c r="D908" t="s">
        <v>36</v>
      </c>
      <c r="E908" t="s">
        <v>37</v>
      </c>
      <c r="F908" t="s">
        <v>38</v>
      </c>
      <c r="G908">
        <v>10</v>
      </c>
      <c r="H908">
        <v>55000</v>
      </c>
      <c r="I908">
        <v>34836</v>
      </c>
      <c r="J908" t="s">
        <v>16</v>
      </c>
      <c r="K908" t="s">
        <v>46</v>
      </c>
      <c r="L908">
        <f>SUM(Clean_Data[[#This Row],[Units_Sold]]*Clean_Data[[#This Row],[Unit_Price]])</f>
        <v>550000</v>
      </c>
      <c r="M908">
        <f>Clean_Data[[#This Row],[Units_Sold]]*Clean_Data[[#This Row],[Cost_Price]]</f>
        <v>348360</v>
      </c>
      <c r="N908">
        <f>Clean_Data[[#This Row],[Total_Sales]]-Clean_Data[[#This Row],[Total_Cost]]</f>
        <v>201640</v>
      </c>
      <c r="O908" s="2">
        <f>Clean_Data[[#This Row],[Profit]]/Clean_Data[[#This Row],[Total_Sales]]</f>
        <v>0.36661818181818184</v>
      </c>
      <c r="P908" t="str">
        <f>_xlfn.XLOOKUP(Clean_Data[[#This Row],[Product_Code]],Product_Catalog!A:A,Product_Catalog!C:C)</f>
        <v>Electronics</v>
      </c>
      <c r="Q908">
        <f>IF(Clean_Data[[#This Row],[Order_Date]]="","",YEAR(Clean_Data[[#This Row],[Order_Date]]))</f>
        <v>2026</v>
      </c>
      <c r="R908" t="str">
        <f>TEXT(Clean_Data[[#This Row],[Order_Date]],"mmm")</f>
        <v>Jul</v>
      </c>
      <c r="S908" t="str">
        <f>TEXT(Clean_Data[[#This Row],[Order_Date]],"mmm-yy")</f>
        <v>Jul-26</v>
      </c>
      <c r="V908"/>
    </row>
    <row r="909" spans="1:22" x14ac:dyDescent="0.25">
      <c r="A909" t="s">
        <v>983</v>
      </c>
      <c r="B909" s="1">
        <v>45986</v>
      </c>
      <c r="C909" t="s">
        <v>53</v>
      </c>
      <c r="D909" t="s">
        <v>13</v>
      </c>
      <c r="E909" t="s">
        <v>41</v>
      </c>
      <c r="F909" t="s">
        <v>42</v>
      </c>
      <c r="G909">
        <v>11</v>
      </c>
      <c r="H909">
        <v>28000</v>
      </c>
      <c r="I909">
        <v>17328</v>
      </c>
      <c r="J909" t="s">
        <v>22</v>
      </c>
      <c r="K909" t="s">
        <v>17</v>
      </c>
      <c r="L909">
        <f>SUM(Clean_Data[[#This Row],[Units_Sold]]*Clean_Data[[#This Row],[Unit_Price]])</f>
        <v>308000</v>
      </c>
      <c r="M909">
        <f>Clean_Data[[#This Row],[Units_Sold]]*Clean_Data[[#This Row],[Cost_Price]]</f>
        <v>190608</v>
      </c>
      <c r="N909">
        <f>Clean_Data[[#This Row],[Total_Sales]]-Clean_Data[[#This Row],[Total_Cost]]</f>
        <v>117392</v>
      </c>
      <c r="O909" s="2">
        <f>Clean_Data[[#This Row],[Profit]]/Clean_Data[[#This Row],[Total_Sales]]</f>
        <v>0.38114285714285712</v>
      </c>
      <c r="P909" t="str">
        <f>_xlfn.XLOOKUP(Clean_Data[[#This Row],[Product_Code]],Product_Catalog!A:A,Product_Catalog!C:C)</f>
        <v>Electronics</v>
      </c>
      <c r="Q909">
        <f>IF(Clean_Data[[#This Row],[Order_Date]]="","",YEAR(Clean_Data[[#This Row],[Order_Date]]))</f>
        <v>2025</v>
      </c>
      <c r="R909" t="str">
        <f>TEXT(Clean_Data[[#This Row],[Order_Date]],"mmm")</f>
        <v>Nov</v>
      </c>
      <c r="S909" t="str">
        <f>TEXT(Clean_Data[[#This Row],[Order_Date]],"mmm-yy")</f>
        <v>Nov-25</v>
      </c>
      <c r="V909"/>
    </row>
    <row r="910" spans="1:22" x14ac:dyDescent="0.25">
      <c r="A910" t="s">
        <v>984</v>
      </c>
      <c r="B910" s="1">
        <v>46199</v>
      </c>
      <c r="C910" t="s">
        <v>44</v>
      </c>
      <c r="D910" t="s">
        <v>40</v>
      </c>
      <c r="E910" t="s">
        <v>49</v>
      </c>
      <c r="F910" t="s">
        <v>50</v>
      </c>
      <c r="G910">
        <v>8</v>
      </c>
      <c r="H910">
        <v>75000</v>
      </c>
      <c r="I910">
        <v>57819</v>
      </c>
      <c r="J910" t="s">
        <v>45</v>
      </c>
      <c r="K910" t="s">
        <v>17</v>
      </c>
      <c r="L910">
        <f>SUM(Clean_Data[[#This Row],[Units_Sold]]*Clean_Data[[#This Row],[Unit_Price]])</f>
        <v>600000</v>
      </c>
      <c r="M910">
        <f>Clean_Data[[#This Row],[Units_Sold]]*Clean_Data[[#This Row],[Cost_Price]]</f>
        <v>462552</v>
      </c>
      <c r="N910">
        <f>Clean_Data[[#This Row],[Total_Sales]]-Clean_Data[[#This Row],[Total_Cost]]</f>
        <v>137448</v>
      </c>
      <c r="O910" s="2">
        <f>Clean_Data[[#This Row],[Profit]]/Clean_Data[[#This Row],[Total_Sales]]</f>
        <v>0.22908000000000001</v>
      </c>
      <c r="P910" t="str">
        <f>_xlfn.XLOOKUP(Clean_Data[[#This Row],[Product_Code]],Product_Catalog!A:A,Product_Catalog!C:C)</f>
        <v>Electronics</v>
      </c>
      <c r="Q910">
        <f>IF(Clean_Data[[#This Row],[Order_Date]]="","",YEAR(Clean_Data[[#This Row],[Order_Date]]))</f>
        <v>2026</v>
      </c>
      <c r="R910" t="str">
        <f>TEXT(Clean_Data[[#This Row],[Order_Date]],"mmm")</f>
        <v>Jun</v>
      </c>
      <c r="S910" t="str">
        <f>TEXT(Clean_Data[[#This Row],[Order_Date]],"mmm-yy")</f>
        <v>Jun-26</v>
      </c>
      <c r="V910"/>
    </row>
    <row r="911" spans="1:22" x14ac:dyDescent="0.25">
      <c r="A911" t="s">
        <v>986</v>
      </c>
      <c r="B911" s="1">
        <v>46062</v>
      </c>
      <c r="C911" t="s">
        <v>31</v>
      </c>
      <c r="D911" t="s">
        <v>36</v>
      </c>
      <c r="E911" t="s">
        <v>27</v>
      </c>
      <c r="F911" t="s">
        <v>28</v>
      </c>
      <c r="G911">
        <v>19</v>
      </c>
      <c r="H911">
        <v>14000</v>
      </c>
      <c r="I911">
        <v>9599</v>
      </c>
      <c r="J911" t="s">
        <v>29</v>
      </c>
      <c r="K911" t="s">
        <v>46</v>
      </c>
      <c r="L911">
        <f>SUM(Clean_Data[[#This Row],[Units_Sold]]*Clean_Data[[#This Row],[Unit_Price]])</f>
        <v>266000</v>
      </c>
      <c r="M911">
        <f>Clean_Data[[#This Row],[Units_Sold]]*Clean_Data[[#This Row],[Cost_Price]]</f>
        <v>182381</v>
      </c>
      <c r="N911">
        <f>Clean_Data[[#This Row],[Total_Sales]]-Clean_Data[[#This Row],[Total_Cost]]</f>
        <v>83619</v>
      </c>
      <c r="O911" s="2">
        <f>Clean_Data[[#This Row],[Profit]]/Clean_Data[[#This Row],[Total_Sales]]</f>
        <v>0.31435714285714284</v>
      </c>
      <c r="P911" t="str">
        <f>_xlfn.XLOOKUP(Clean_Data[[#This Row],[Product_Code]],Product_Catalog!A:A,Product_Catalog!C:C)</f>
        <v>Furniture</v>
      </c>
      <c r="Q911">
        <f>IF(Clean_Data[[#This Row],[Order_Date]]="","",YEAR(Clean_Data[[#This Row],[Order_Date]]))</f>
        <v>2026</v>
      </c>
      <c r="R911" t="str">
        <f>TEXT(Clean_Data[[#This Row],[Order_Date]],"mmm")</f>
        <v>Feb</v>
      </c>
      <c r="S911" t="str">
        <f>TEXT(Clean_Data[[#This Row],[Order_Date]],"mmm-yy")</f>
        <v>Feb-26</v>
      </c>
      <c r="V911"/>
    </row>
    <row r="912" spans="1:22" x14ac:dyDescent="0.25">
      <c r="A912" t="s">
        <v>987</v>
      </c>
      <c r="B912" s="1">
        <v>46029</v>
      </c>
      <c r="C912" t="s">
        <v>12</v>
      </c>
      <c r="D912" t="s">
        <v>13</v>
      </c>
      <c r="E912" t="s">
        <v>27</v>
      </c>
      <c r="F912" t="s">
        <v>28</v>
      </c>
      <c r="G912">
        <v>12</v>
      </c>
      <c r="H912">
        <v>14000</v>
      </c>
      <c r="I912">
        <v>9398</v>
      </c>
      <c r="J912" t="s">
        <v>45</v>
      </c>
      <c r="K912" t="s">
        <v>17</v>
      </c>
      <c r="L912">
        <f>SUM(Clean_Data[[#This Row],[Units_Sold]]*Clean_Data[[#This Row],[Unit_Price]])</f>
        <v>168000</v>
      </c>
      <c r="M912">
        <f>Clean_Data[[#This Row],[Units_Sold]]*Clean_Data[[#This Row],[Cost_Price]]</f>
        <v>112776</v>
      </c>
      <c r="N912">
        <f>Clean_Data[[#This Row],[Total_Sales]]-Clean_Data[[#This Row],[Total_Cost]]</f>
        <v>55224</v>
      </c>
      <c r="O912" s="2">
        <f>Clean_Data[[#This Row],[Profit]]/Clean_Data[[#This Row],[Total_Sales]]</f>
        <v>0.32871428571428574</v>
      </c>
      <c r="P912" t="str">
        <f>_xlfn.XLOOKUP(Clean_Data[[#This Row],[Product_Code]],Product_Catalog!A:A,Product_Catalog!C:C)</f>
        <v>Furniture</v>
      </c>
      <c r="Q912">
        <f>IF(Clean_Data[[#This Row],[Order_Date]]="","",YEAR(Clean_Data[[#This Row],[Order_Date]]))</f>
        <v>2026</v>
      </c>
      <c r="R912" t="str">
        <f>TEXT(Clean_Data[[#This Row],[Order_Date]],"mmm")</f>
        <v>Jan</v>
      </c>
      <c r="S912" t="str">
        <f>TEXT(Clean_Data[[#This Row],[Order_Date]],"mmm-yy")</f>
        <v>Jan-26</v>
      </c>
      <c r="V912"/>
    </row>
    <row r="913" spans="1:22" x14ac:dyDescent="0.25">
      <c r="A913" t="s">
        <v>988</v>
      </c>
      <c r="B913" s="1">
        <v>46229</v>
      </c>
      <c r="C913" t="s">
        <v>44</v>
      </c>
      <c r="D913" t="s">
        <v>40</v>
      </c>
      <c r="E913" t="s">
        <v>37</v>
      </c>
      <c r="F913" t="s">
        <v>38</v>
      </c>
      <c r="G913">
        <v>3</v>
      </c>
      <c r="H913">
        <v>55000</v>
      </c>
      <c r="I913">
        <v>33846</v>
      </c>
      <c r="J913" t="s">
        <v>22</v>
      </c>
      <c r="K913" t="s">
        <v>23</v>
      </c>
      <c r="L913">
        <f>SUM(Clean_Data[[#This Row],[Units_Sold]]*Clean_Data[[#This Row],[Unit_Price]])</f>
        <v>165000</v>
      </c>
      <c r="M913">
        <f>Clean_Data[[#This Row],[Units_Sold]]*Clean_Data[[#This Row],[Cost_Price]]</f>
        <v>101538</v>
      </c>
      <c r="N913">
        <f>Clean_Data[[#This Row],[Total_Sales]]-Clean_Data[[#This Row],[Total_Cost]]</f>
        <v>63462</v>
      </c>
      <c r="O913" s="2">
        <f>Clean_Data[[#This Row],[Profit]]/Clean_Data[[#This Row],[Total_Sales]]</f>
        <v>0.3846181818181818</v>
      </c>
      <c r="P913" t="str">
        <f>_xlfn.XLOOKUP(Clean_Data[[#This Row],[Product_Code]],Product_Catalog!A:A,Product_Catalog!C:C)</f>
        <v>Electronics</v>
      </c>
      <c r="Q913">
        <f>IF(Clean_Data[[#This Row],[Order_Date]]="","",YEAR(Clean_Data[[#This Row],[Order_Date]]))</f>
        <v>2026</v>
      </c>
      <c r="R913" t="str">
        <f>TEXT(Clean_Data[[#This Row],[Order_Date]],"mmm")</f>
        <v>Jul</v>
      </c>
      <c r="S913" t="str">
        <f>TEXT(Clean_Data[[#This Row],[Order_Date]],"mmm-yy")</f>
        <v>Jul-26</v>
      </c>
      <c r="V913"/>
    </row>
    <row r="914" spans="1:22" x14ac:dyDescent="0.25">
      <c r="A914" t="s">
        <v>989</v>
      </c>
      <c r="B914" s="1">
        <v>46177</v>
      </c>
      <c r="C914" t="s">
        <v>53</v>
      </c>
      <c r="D914" t="s">
        <v>36</v>
      </c>
      <c r="E914" t="s">
        <v>49</v>
      </c>
      <c r="F914" t="s">
        <v>50</v>
      </c>
      <c r="G914">
        <v>19</v>
      </c>
      <c r="H914">
        <v>75000</v>
      </c>
      <c r="I914">
        <v>46747</v>
      </c>
      <c r="J914" t="s">
        <v>22</v>
      </c>
      <c r="K914" t="s">
        <v>17</v>
      </c>
      <c r="L914">
        <f>SUM(Clean_Data[[#This Row],[Units_Sold]]*Clean_Data[[#This Row],[Unit_Price]])</f>
        <v>1425000</v>
      </c>
      <c r="M914">
        <f>Clean_Data[[#This Row],[Units_Sold]]*Clean_Data[[#This Row],[Cost_Price]]</f>
        <v>888193</v>
      </c>
      <c r="N914">
        <f>Clean_Data[[#This Row],[Total_Sales]]-Clean_Data[[#This Row],[Total_Cost]]</f>
        <v>536807</v>
      </c>
      <c r="O914" s="2">
        <f>Clean_Data[[#This Row],[Profit]]/Clean_Data[[#This Row],[Total_Sales]]</f>
        <v>0.37670666666666669</v>
      </c>
      <c r="P914" t="str">
        <f>_xlfn.XLOOKUP(Clean_Data[[#This Row],[Product_Code]],Product_Catalog!A:A,Product_Catalog!C:C)</f>
        <v>Electronics</v>
      </c>
      <c r="Q914">
        <f>IF(Clean_Data[[#This Row],[Order_Date]]="","",YEAR(Clean_Data[[#This Row],[Order_Date]]))</f>
        <v>2026</v>
      </c>
      <c r="R914" t="str">
        <f>TEXT(Clean_Data[[#This Row],[Order_Date]],"mmm")</f>
        <v>Jun</v>
      </c>
      <c r="S914" t="str">
        <f>TEXT(Clean_Data[[#This Row],[Order_Date]],"mmm-yy")</f>
        <v>Jun-26</v>
      </c>
      <c r="V914"/>
    </row>
    <row r="915" spans="1:22" x14ac:dyDescent="0.25">
      <c r="A915" t="s">
        <v>990</v>
      </c>
      <c r="B915" s="1">
        <v>45812</v>
      </c>
      <c r="C915" t="s">
        <v>25</v>
      </c>
      <c r="D915" t="s">
        <v>40</v>
      </c>
      <c r="E915" t="s">
        <v>55</v>
      </c>
      <c r="F915" t="s">
        <v>34</v>
      </c>
      <c r="G915">
        <v>12</v>
      </c>
      <c r="H915">
        <v>35000</v>
      </c>
      <c r="I915">
        <v>24228</v>
      </c>
      <c r="J915" t="s">
        <v>22</v>
      </c>
      <c r="K915" t="s">
        <v>17</v>
      </c>
      <c r="L915">
        <f>SUM(Clean_Data[[#This Row],[Units_Sold]]*Clean_Data[[#This Row],[Unit_Price]])</f>
        <v>420000</v>
      </c>
      <c r="M915">
        <f>Clean_Data[[#This Row],[Units_Sold]]*Clean_Data[[#This Row],[Cost_Price]]</f>
        <v>290736</v>
      </c>
      <c r="N915">
        <f>Clean_Data[[#This Row],[Total_Sales]]-Clean_Data[[#This Row],[Total_Cost]]</f>
        <v>129264</v>
      </c>
      <c r="O915" s="2">
        <f>Clean_Data[[#This Row],[Profit]]/Clean_Data[[#This Row],[Total_Sales]]</f>
        <v>0.30777142857142858</v>
      </c>
      <c r="P915" t="str">
        <f>_xlfn.XLOOKUP(Clean_Data[[#This Row],[Product_Code]],Product_Catalog!A:A,Product_Catalog!C:C)</f>
        <v>Furniture</v>
      </c>
      <c r="Q915">
        <f>IF(Clean_Data[[#This Row],[Order_Date]]="","",YEAR(Clean_Data[[#This Row],[Order_Date]]))</f>
        <v>2025</v>
      </c>
      <c r="R915" t="str">
        <f>TEXT(Clean_Data[[#This Row],[Order_Date]],"mmm")</f>
        <v>Jun</v>
      </c>
      <c r="S915" t="str">
        <f>TEXT(Clean_Data[[#This Row],[Order_Date]],"mmm-yy")</f>
        <v>Jun-25</v>
      </c>
      <c r="V915"/>
    </row>
    <row r="916" spans="1:22" x14ac:dyDescent="0.25">
      <c r="A916" t="s">
        <v>991</v>
      </c>
      <c r="B916" s="1">
        <v>45864</v>
      </c>
      <c r="C916" t="s">
        <v>53</v>
      </c>
      <c r="D916" t="s">
        <v>40</v>
      </c>
      <c r="E916" t="s">
        <v>27</v>
      </c>
      <c r="F916" t="s">
        <v>28</v>
      </c>
      <c r="G916">
        <v>7</v>
      </c>
      <c r="H916">
        <v>14000</v>
      </c>
      <c r="I916">
        <v>9181</v>
      </c>
      <c r="J916" t="s">
        <v>22</v>
      </c>
      <c r="K916" t="s">
        <v>23</v>
      </c>
      <c r="L916">
        <f>SUM(Clean_Data[[#This Row],[Units_Sold]]*Clean_Data[[#This Row],[Unit_Price]])</f>
        <v>98000</v>
      </c>
      <c r="M916">
        <f>Clean_Data[[#This Row],[Units_Sold]]*Clean_Data[[#This Row],[Cost_Price]]</f>
        <v>64267</v>
      </c>
      <c r="N916">
        <f>Clean_Data[[#This Row],[Total_Sales]]-Clean_Data[[#This Row],[Total_Cost]]</f>
        <v>33733</v>
      </c>
      <c r="O916" s="2">
        <f>Clean_Data[[#This Row],[Profit]]/Clean_Data[[#This Row],[Total_Sales]]</f>
        <v>0.34421428571428569</v>
      </c>
      <c r="P916" t="str">
        <f>_xlfn.XLOOKUP(Clean_Data[[#This Row],[Product_Code]],Product_Catalog!A:A,Product_Catalog!C:C)</f>
        <v>Furniture</v>
      </c>
      <c r="Q916">
        <f>IF(Clean_Data[[#This Row],[Order_Date]]="","",YEAR(Clean_Data[[#This Row],[Order_Date]]))</f>
        <v>2025</v>
      </c>
      <c r="R916" t="str">
        <f>TEXT(Clean_Data[[#This Row],[Order_Date]],"mmm")</f>
        <v>Jul</v>
      </c>
      <c r="S916" t="str">
        <f>TEXT(Clean_Data[[#This Row],[Order_Date]],"mmm-yy")</f>
        <v>Jul-25</v>
      </c>
      <c r="V916"/>
    </row>
    <row r="917" spans="1:22" x14ac:dyDescent="0.25">
      <c r="A917" t="s">
        <v>992</v>
      </c>
      <c r="B917" s="1">
        <v>46115</v>
      </c>
      <c r="C917" t="s">
        <v>62</v>
      </c>
      <c r="D917" t="s">
        <v>36</v>
      </c>
      <c r="E917" t="s">
        <v>55</v>
      </c>
      <c r="F917" t="s">
        <v>34</v>
      </c>
      <c r="G917">
        <v>12</v>
      </c>
      <c r="H917">
        <v>35000</v>
      </c>
      <c r="I917">
        <v>27573</v>
      </c>
      <c r="J917" t="s">
        <v>16</v>
      </c>
      <c r="K917" t="s">
        <v>46</v>
      </c>
      <c r="L917">
        <f>SUM(Clean_Data[[#This Row],[Units_Sold]]*Clean_Data[[#This Row],[Unit_Price]])</f>
        <v>420000</v>
      </c>
      <c r="M917">
        <f>Clean_Data[[#This Row],[Units_Sold]]*Clean_Data[[#This Row],[Cost_Price]]</f>
        <v>330876</v>
      </c>
      <c r="N917">
        <f>Clean_Data[[#This Row],[Total_Sales]]-Clean_Data[[#This Row],[Total_Cost]]</f>
        <v>89124</v>
      </c>
      <c r="O917" s="2">
        <f>Clean_Data[[#This Row],[Profit]]/Clean_Data[[#This Row],[Total_Sales]]</f>
        <v>0.2122</v>
      </c>
      <c r="P917" t="str">
        <f>_xlfn.XLOOKUP(Clean_Data[[#This Row],[Product_Code]],Product_Catalog!A:A,Product_Catalog!C:C)</f>
        <v>Furniture</v>
      </c>
      <c r="Q917">
        <f>IF(Clean_Data[[#This Row],[Order_Date]]="","",YEAR(Clean_Data[[#This Row],[Order_Date]]))</f>
        <v>2026</v>
      </c>
      <c r="R917" t="str">
        <f>TEXT(Clean_Data[[#This Row],[Order_Date]],"mmm")</f>
        <v>Apr</v>
      </c>
      <c r="S917" t="str">
        <f>TEXT(Clean_Data[[#This Row],[Order_Date]],"mmm-yy")</f>
        <v>Apr-26</v>
      </c>
      <c r="V917"/>
    </row>
    <row r="918" spans="1:22" x14ac:dyDescent="0.25">
      <c r="A918" t="s">
        <v>993</v>
      </c>
      <c r="B918" s="1">
        <v>46253</v>
      </c>
      <c r="C918" t="s">
        <v>48</v>
      </c>
      <c r="D918" t="s">
        <v>33</v>
      </c>
      <c r="E918" t="s">
        <v>63</v>
      </c>
      <c r="F918" t="s">
        <v>59</v>
      </c>
      <c r="G918">
        <v>18</v>
      </c>
      <c r="H918">
        <v>4500</v>
      </c>
      <c r="I918">
        <v>2720</v>
      </c>
      <c r="J918" t="s">
        <v>29</v>
      </c>
      <c r="K918" t="s">
        <v>23</v>
      </c>
      <c r="L918">
        <f>SUM(Clean_Data[[#This Row],[Units_Sold]]*Clean_Data[[#This Row],[Unit_Price]])</f>
        <v>81000</v>
      </c>
      <c r="M918">
        <f>Clean_Data[[#This Row],[Units_Sold]]*Clean_Data[[#This Row],[Cost_Price]]</f>
        <v>48960</v>
      </c>
      <c r="N918">
        <f>Clean_Data[[#This Row],[Total_Sales]]-Clean_Data[[#This Row],[Total_Cost]]</f>
        <v>32040</v>
      </c>
      <c r="O918" s="2">
        <f>Clean_Data[[#This Row],[Profit]]/Clean_Data[[#This Row],[Total_Sales]]</f>
        <v>0.39555555555555555</v>
      </c>
      <c r="P918" t="str">
        <f>_xlfn.XLOOKUP(Clean_Data[[#This Row],[Product_Code]],Product_Catalog!A:A,Product_Catalog!C:C)</f>
        <v>Electronics</v>
      </c>
      <c r="Q918">
        <f>IF(Clean_Data[[#This Row],[Order_Date]]="","",YEAR(Clean_Data[[#This Row],[Order_Date]]))</f>
        <v>2026</v>
      </c>
      <c r="R918" t="str">
        <f>TEXT(Clean_Data[[#This Row],[Order_Date]],"mmm")</f>
        <v>Aug</v>
      </c>
      <c r="S918" t="str">
        <f>TEXT(Clean_Data[[#This Row],[Order_Date]],"mmm-yy")</f>
        <v>Aug-26</v>
      </c>
      <c r="V918"/>
    </row>
    <row r="919" spans="1:22" x14ac:dyDescent="0.25">
      <c r="A919" t="s">
        <v>994</v>
      </c>
      <c r="B919" s="1">
        <v>46193</v>
      </c>
      <c r="C919" t="s">
        <v>31</v>
      </c>
      <c r="D919" t="s">
        <v>40</v>
      </c>
      <c r="E919" t="s">
        <v>49</v>
      </c>
      <c r="F919" t="s">
        <v>50</v>
      </c>
      <c r="G919">
        <v>14</v>
      </c>
      <c r="H919">
        <v>75000</v>
      </c>
      <c r="I919">
        <v>52376</v>
      </c>
      <c r="J919" t="s">
        <v>45</v>
      </c>
      <c r="K919" t="s">
        <v>17</v>
      </c>
      <c r="L919">
        <f>SUM(Clean_Data[[#This Row],[Units_Sold]]*Clean_Data[[#This Row],[Unit_Price]])</f>
        <v>1050000</v>
      </c>
      <c r="M919">
        <f>Clean_Data[[#This Row],[Units_Sold]]*Clean_Data[[#This Row],[Cost_Price]]</f>
        <v>733264</v>
      </c>
      <c r="N919">
        <f>Clean_Data[[#This Row],[Total_Sales]]-Clean_Data[[#This Row],[Total_Cost]]</f>
        <v>316736</v>
      </c>
      <c r="O919" s="2">
        <f>Clean_Data[[#This Row],[Profit]]/Clean_Data[[#This Row],[Total_Sales]]</f>
        <v>0.30165333333333333</v>
      </c>
      <c r="P919" t="str">
        <f>_xlfn.XLOOKUP(Clean_Data[[#This Row],[Product_Code]],Product_Catalog!A:A,Product_Catalog!C:C)</f>
        <v>Electronics</v>
      </c>
      <c r="Q919">
        <f>IF(Clean_Data[[#This Row],[Order_Date]]="","",YEAR(Clean_Data[[#This Row],[Order_Date]]))</f>
        <v>2026</v>
      </c>
      <c r="R919" t="str">
        <f>TEXT(Clean_Data[[#This Row],[Order_Date]],"mmm")</f>
        <v>Jun</v>
      </c>
      <c r="S919" t="str">
        <f>TEXT(Clean_Data[[#This Row],[Order_Date]],"mmm-yy")</f>
        <v>Jun-26</v>
      </c>
      <c r="V919"/>
    </row>
    <row r="920" spans="1:22" x14ac:dyDescent="0.25">
      <c r="A920" t="s">
        <v>995</v>
      </c>
      <c r="B920" s="1">
        <v>46026</v>
      </c>
      <c r="C920" t="s">
        <v>73</v>
      </c>
      <c r="D920" t="s">
        <v>33</v>
      </c>
      <c r="E920" t="s">
        <v>66</v>
      </c>
      <c r="F920" t="s">
        <v>67</v>
      </c>
      <c r="G920">
        <v>6</v>
      </c>
      <c r="H920">
        <v>2500</v>
      </c>
      <c r="I920">
        <v>1826</v>
      </c>
      <c r="J920" t="s">
        <v>29</v>
      </c>
      <c r="K920" t="s">
        <v>23</v>
      </c>
      <c r="L920">
        <f>SUM(Clean_Data[[#This Row],[Units_Sold]]*Clean_Data[[#This Row],[Unit_Price]])</f>
        <v>15000</v>
      </c>
      <c r="M920">
        <f>Clean_Data[[#This Row],[Units_Sold]]*Clean_Data[[#This Row],[Cost_Price]]</f>
        <v>10956</v>
      </c>
      <c r="N920">
        <f>Clean_Data[[#This Row],[Total_Sales]]-Clean_Data[[#This Row],[Total_Cost]]</f>
        <v>4044</v>
      </c>
      <c r="O920" s="2">
        <f>Clean_Data[[#This Row],[Profit]]/Clean_Data[[#This Row],[Total_Sales]]</f>
        <v>0.26960000000000001</v>
      </c>
      <c r="P920" t="str">
        <f>_xlfn.XLOOKUP(Clean_Data[[#This Row],[Product_Code]],Product_Catalog!A:A,Product_Catalog!C:C)</f>
        <v>Electronics</v>
      </c>
      <c r="Q920">
        <f>IF(Clean_Data[[#This Row],[Order_Date]]="","",YEAR(Clean_Data[[#This Row],[Order_Date]]))</f>
        <v>2026</v>
      </c>
      <c r="R920" t="str">
        <f>TEXT(Clean_Data[[#This Row],[Order_Date]],"mmm")</f>
        <v>Jan</v>
      </c>
      <c r="S920" t="str">
        <f>TEXT(Clean_Data[[#This Row],[Order_Date]],"mmm-yy")</f>
        <v>Jan-26</v>
      </c>
      <c r="V920"/>
    </row>
    <row r="921" spans="1:22" x14ac:dyDescent="0.25">
      <c r="A921" t="s">
        <v>996</v>
      </c>
      <c r="B921" s="1">
        <v>45834</v>
      </c>
      <c r="C921" t="s">
        <v>73</v>
      </c>
      <c r="D921" t="s">
        <v>13</v>
      </c>
      <c r="E921" t="s">
        <v>27</v>
      </c>
      <c r="F921" t="s">
        <v>28</v>
      </c>
      <c r="G921">
        <v>10</v>
      </c>
      <c r="H921">
        <v>14000</v>
      </c>
      <c r="I921">
        <v>9353</v>
      </c>
      <c r="J921" t="s">
        <v>29</v>
      </c>
      <c r="K921" t="s">
        <v>17</v>
      </c>
      <c r="L921">
        <f>SUM(Clean_Data[[#This Row],[Units_Sold]]*Clean_Data[[#This Row],[Unit_Price]])</f>
        <v>140000</v>
      </c>
      <c r="M921">
        <f>Clean_Data[[#This Row],[Units_Sold]]*Clean_Data[[#This Row],[Cost_Price]]</f>
        <v>93530</v>
      </c>
      <c r="N921">
        <f>Clean_Data[[#This Row],[Total_Sales]]-Clean_Data[[#This Row],[Total_Cost]]</f>
        <v>46470</v>
      </c>
      <c r="O921" s="2">
        <f>Clean_Data[[#This Row],[Profit]]/Clean_Data[[#This Row],[Total_Sales]]</f>
        <v>0.33192857142857141</v>
      </c>
      <c r="P921" t="str">
        <f>_xlfn.XLOOKUP(Clean_Data[[#This Row],[Product_Code]],Product_Catalog!A:A,Product_Catalog!C:C)</f>
        <v>Furniture</v>
      </c>
      <c r="Q921">
        <f>IF(Clean_Data[[#This Row],[Order_Date]]="","",YEAR(Clean_Data[[#This Row],[Order_Date]]))</f>
        <v>2025</v>
      </c>
      <c r="R921" t="str">
        <f>TEXT(Clean_Data[[#This Row],[Order_Date]],"mmm")</f>
        <v>Jun</v>
      </c>
      <c r="S921" t="str">
        <f>TEXT(Clean_Data[[#This Row],[Order_Date]],"mmm-yy")</f>
        <v>Jun-25</v>
      </c>
      <c r="V921"/>
    </row>
    <row r="922" spans="1:22" x14ac:dyDescent="0.25">
      <c r="A922" t="s">
        <v>997</v>
      </c>
      <c r="B922" s="1">
        <v>45938</v>
      </c>
      <c r="C922" t="s">
        <v>19</v>
      </c>
      <c r="D922" t="s">
        <v>36</v>
      </c>
      <c r="E922" t="s">
        <v>63</v>
      </c>
      <c r="F922" t="s">
        <v>59</v>
      </c>
      <c r="G922">
        <v>1</v>
      </c>
      <c r="H922">
        <v>4500</v>
      </c>
      <c r="I922">
        <v>3016</v>
      </c>
      <c r="J922" t="s">
        <v>45</v>
      </c>
      <c r="K922" t="s">
        <v>46</v>
      </c>
      <c r="L922">
        <f>SUM(Clean_Data[[#This Row],[Units_Sold]]*Clean_Data[[#This Row],[Unit_Price]])</f>
        <v>4500</v>
      </c>
      <c r="M922">
        <f>Clean_Data[[#This Row],[Units_Sold]]*Clean_Data[[#This Row],[Cost_Price]]</f>
        <v>3016</v>
      </c>
      <c r="N922">
        <f>Clean_Data[[#This Row],[Total_Sales]]-Clean_Data[[#This Row],[Total_Cost]]</f>
        <v>1484</v>
      </c>
      <c r="O922" s="2">
        <f>Clean_Data[[#This Row],[Profit]]/Clean_Data[[#This Row],[Total_Sales]]</f>
        <v>0.32977777777777778</v>
      </c>
      <c r="P922" t="str">
        <f>_xlfn.XLOOKUP(Clean_Data[[#This Row],[Product_Code]],Product_Catalog!A:A,Product_Catalog!C:C)</f>
        <v>Electronics</v>
      </c>
      <c r="Q922">
        <f>IF(Clean_Data[[#This Row],[Order_Date]]="","",YEAR(Clean_Data[[#This Row],[Order_Date]]))</f>
        <v>2025</v>
      </c>
      <c r="R922" t="str">
        <f>TEXT(Clean_Data[[#This Row],[Order_Date]],"mmm")</f>
        <v>Oct</v>
      </c>
      <c r="S922" t="str">
        <f>TEXT(Clean_Data[[#This Row],[Order_Date]],"mmm-yy")</f>
        <v>Oct-25</v>
      </c>
      <c r="V922"/>
    </row>
    <row r="923" spans="1:22" x14ac:dyDescent="0.25">
      <c r="A923" t="s">
        <v>998</v>
      </c>
      <c r="B923" s="1">
        <v>46065</v>
      </c>
      <c r="C923" t="s">
        <v>53</v>
      </c>
      <c r="D923" t="s">
        <v>33</v>
      </c>
      <c r="E923" t="s">
        <v>49</v>
      </c>
      <c r="F923" t="s">
        <v>50</v>
      </c>
      <c r="G923">
        <v>17</v>
      </c>
      <c r="H923">
        <v>75000</v>
      </c>
      <c r="I923">
        <v>53038</v>
      </c>
      <c r="J923" t="s">
        <v>22</v>
      </c>
      <c r="K923" t="s">
        <v>23</v>
      </c>
      <c r="L923">
        <f>SUM(Clean_Data[[#This Row],[Units_Sold]]*Clean_Data[[#This Row],[Unit_Price]])</f>
        <v>1275000</v>
      </c>
      <c r="M923">
        <f>Clean_Data[[#This Row],[Units_Sold]]*Clean_Data[[#This Row],[Cost_Price]]</f>
        <v>901646</v>
      </c>
      <c r="N923">
        <f>Clean_Data[[#This Row],[Total_Sales]]-Clean_Data[[#This Row],[Total_Cost]]</f>
        <v>373354</v>
      </c>
      <c r="O923" s="2">
        <f>Clean_Data[[#This Row],[Profit]]/Clean_Data[[#This Row],[Total_Sales]]</f>
        <v>0.29282666666666668</v>
      </c>
      <c r="P923" t="str">
        <f>_xlfn.XLOOKUP(Clean_Data[[#This Row],[Product_Code]],Product_Catalog!A:A,Product_Catalog!C:C)</f>
        <v>Electronics</v>
      </c>
      <c r="Q923">
        <f>IF(Clean_Data[[#This Row],[Order_Date]]="","",YEAR(Clean_Data[[#This Row],[Order_Date]]))</f>
        <v>2026</v>
      </c>
      <c r="R923" t="str">
        <f>TEXT(Clean_Data[[#This Row],[Order_Date]],"mmm")</f>
        <v>Feb</v>
      </c>
      <c r="S923" t="str">
        <f>TEXT(Clean_Data[[#This Row],[Order_Date]],"mmm-yy")</f>
        <v>Feb-26</v>
      </c>
      <c r="V923"/>
    </row>
    <row r="924" spans="1:22" x14ac:dyDescent="0.25">
      <c r="A924" t="s">
        <v>999</v>
      </c>
      <c r="B924" s="1">
        <v>45960</v>
      </c>
      <c r="C924" t="s">
        <v>62</v>
      </c>
      <c r="D924" t="s">
        <v>33</v>
      </c>
      <c r="E924" t="s">
        <v>37</v>
      </c>
      <c r="F924" t="s">
        <v>38</v>
      </c>
      <c r="G924">
        <v>13</v>
      </c>
      <c r="H924">
        <v>55000</v>
      </c>
      <c r="I924">
        <v>43521</v>
      </c>
      <c r="J924" t="s">
        <v>22</v>
      </c>
      <c r="K924" t="s">
        <v>23</v>
      </c>
      <c r="L924">
        <f>SUM(Clean_Data[[#This Row],[Units_Sold]]*Clean_Data[[#This Row],[Unit_Price]])</f>
        <v>715000</v>
      </c>
      <c r="M924">
        <f>Clean_Data[[#This Row],[Units_Sold]]*Clean_Data[[#This Row],[Cost_Price]]</f>
        <v>565773</v>
      </c>
      <c r="N924">
        <f>Clean_Data[[#This Row],[Total_Sales]]-Clean_Data[[#This Row],[Total_Cost]]</f>
        <v>149227</v>
      </c>
      <c r="O924" s="2">
        <f>Clean_Data[[#This Row],[Profit]]/Clean_Data[[#This Row],[Total_Sales]]</f>
        <v>0.2087090909090909</v>
      </c>
      <c r="P924" t="str">
        <f>_xlfn.XLOOKUP(Clean_Data[[#This Row],[Product_Code]],Product_Catalog!A:A,Product_Catalog!C:C)</f>
        <v>Electronics</v>
      </c>
      <c r="Q924">
        <f>IF(Clean_Data[[#This Row],[Order_Date]]="","",YEAR(Clean_Data[[#This Row],[Order_Date]]))</f>
        <v>2025</v>
      </c>
      <c r="R924" t="str">
        <f>TEXT(Clean_Data[[#This Row],[Order_Date]],"mmm")</f>
        <v>Oct</v>
      </c>
      <c r="S924" t="str">
        <f>TEXT(Clean_Data[[#This Row],[Order_Date]],"mmm-yy")</f>
        <v>Oct-25</v>
      </c>
      <c r="V924"/>
    </row>
    <row r="925" spans="1:22" x14ac:dyDescent="0.25">
      <c r="A925" t="s">
        <v>1000</v>
      </c>
      <c r="B925" s="1">
        <v>46124</v>
      </c>
      <c r="C925" t="s">
        <v>62</v>
      </c>
      <c r="D925" t="s">
        <v>40</v>
      </c>
      <c r="E925" t="s">
        <v>63</v>
      </c>
      <c r="F925" t="s">
        <v>59</v>
      </c>
      <c r="G925">
        <v>5</v>
      </c>
      <c r="H925">
        <v>4500</v>
      </c>
      <c r="I925">
        <v>3288</v>
      </c>
      <c r="J925" t="s">
        <v>29</v>
      </c>
      <c r="K925" t="s">
        <v>46</v>
      </c>
      <c r="L925">
        <f>SUM(Clean_Data[[#This Row],[Units_Sold]]*Clean_Data[[#This Row],[Unit_Price]])</f>
        <v>22500</v>
      </c>
      <c r="M925">
        <f>Clean_Data[[#This Row],[Units_Sold]]*Clean_Data[[#This Row],[Cost_Price]]</f>
        <v>16440</v>
      </c>
      <c r="N925">
        <f>Clean_Data[[#This Row],[Total_Sales]]-Clean_Data[[#This Row],[Total_Cost]]</f>
        <v>6060</v>
      </c>
      <c r="O925" s="2">
        <f>Clean_Data[[#This Row],[Profit]]/Clean_Data[[#This Row],[Total_Sales]]</f>
        <v>0.26933333333333331</v>
      </c>
      <c r="P925" t="str">
        <f>_xlfn.XLOOKUP(Clean_Data[[#This Row],[Product_Code]],Product_Catalog!A:A,Product_Catalog!C:C)</f>
        <v>Electronics</v>
      </c>
      <c r="Q925">
        <f>IF(Clean_Data[[#This Row],[Order_Date]]="","",YEAR(Clean_Data[[#This Row],[Order_Date]]))</f>
        <v>2026</v>
      </c>
      <c r="R925" t="str">
        <f>TEXT(Clean_Data[[#This Row],[Order_Date]],"mmm")</f>
        <v>Apr</v>
      </c>
      <c r="S925" t="str">
        <f>TEXT(Clean_Data[[#This Row],[Order_Date]],"mmm-yy")</f>
        <v>Apr-26</v>
      </c>
      <c r="V925"/>
    </row>
    <row r="926" spans="1:22" x14ac:dyDescent="0.25">
      <c r="A926" t="s">
        <v>1001</v>
      </c>
      <c r="B926" s="1">
        <v>46088</v>
      </c>
      <c r="C926" t="s">
        <v>62</v>
      </c>
      <c r="D926" t="s">
        <v>40</v>
      </c>
      <c r="E926" t="s">
        <v>37</v>
      </c>
      <c r="F926" t="s">
        <v>38</v>
      </c>
      <c r="G926">
        <v>8</v>
      </c>
      <c r="H926">
        <v>55000</v>
      </c>
      <c r="I926">
        <v>35844</v>
      </c>
      <c r="J926" t="s">
        <v>45</v>
      </c>
      <c r="K926" t="s">
        <v>17</v>
      </c>
      <c r="L926">
        <f>SUM(Clean_Data[[#This Row],[Units_Sold]]*Clean_Data[[#This Row],[Unit_Price]])</f>
        <v>440000</v>
      </c>
      <c r="M926">
        <f>Clean_Data[[#This Row],[Units_Sold]]*Clean_Data[[#This Row],[Cost_Price]]</f>
        <v>286752</v>
      </c>
      <c r="N926">
        <f>Clean_Data[[#This Row],[Total_Sales]]-Clean_Data[[#This Row],[Total_Cost]]</f>
        <v>153248</v>
      </c>
      <c r="O926" s="2">
        <f>Clean_Data[[#This Row],[Profit]]/Clean_Data[[#This Row],[Total_Sales]]</f>
        <v>0.3482909090909091</v>
      </c>
      <c r="P926" t="str">
        <f>_xlfn.XLOOKUP(Clean_Data[[#This Row],[Product_Code]],Product_Catalog!A:A,Product_Catalog!C:C)</f>
        <v>Electronics</v>
      </c>
      <c r="Q926">
        <f>IF(Clean_Data[[#This Row],[Order_Date]]="","",YEAR(Clean_Data[[#This Row],[Order_Date]]))</f>
        <v>2026</v>
      </c>
      <c r="R926" t="str">
        <f>TEXT(Clean_Data[[#This Row],[Order_Date]],"mmm")</f>
        <v>Mar</v>
      </c>
      <c r="S926" t="str">
        <f>TEXT(Clean_Data[[#This Row],[Order_Date]],"mmm-yy")</f>
        <v>Mar-26</v>
      </c>
      <c r="V926"/>
    </row>
    <row r="927" spans="1:22" x14ac:dyDescent="0.25">
      <c r="A927" t="s">
        <v>1002</v>
      </c>
      <c r="B927" s="1">
        <v>45799</v>
      </c>
      <c r="C927" t="s">
        <v>12</v>
      </c>
      <c r="D927" t="s">
        <v>26</v>
      </c>
      <c r="E927" t="s">
        <v>63</v>
      </c>
      <c r="F927" t="s">
        <v>59</v>
      </c>
      <c r="G927">
        <v>17</v>
      </c>
      <c r="H927">
        <v>4500</v>
      </c>
      <c r="I927">
        <v>2764</v>
      </c>
      <c r="J927" t="s">
        <v>29</v>
      </c>
      <c r="K927" t="s">
        <v>17</v>
      </c>
      <c r="L927">
        <f>SUM(Clean_Data[[#This Row],[Units_Sold]]*Clean_Data[[#This Row],[Unit_Price]])</f>
        <v>76500</v>
      </c>
      <c r="M927">
        <f>Clean_Data[[#This Row],[Units_Sold]]*Clean_Data[[#This Row],[Cost_Price]]</f>
        <v>46988</v>
      </c>
      <c r="N927">
        <f>Clean_Data[[#This Row],[Total_Sales]]-Clean_Data[[#This Row],[Total_Cost]]</f>
        <v>29512</v>
      </c>
      <c r="O927" s="2">
        <f>Clean_Data[[#This Row],[Profit]]/Clean_Data[[#This Row],[Total_Sales]]</f>
        <v>0.38577777777777778</v>
      </c>
      <c r="P927" t="str">
        <f>_xlfn.XLOOKUP(Clean_Data[[#This Row],[Product_Code]],Product_Catalog!A:A,Product_Catalog!C:C)</f>
        <v>Electronics</v>
      </c>
      <c r="Q927">
        <f>IF(Clean_Data[[#This Row],[Order_Date]]="","",YEAR(Clean_Data[[#This Row],[Order_Date]]))</f>
        <v>2025</v>
      </c>
      <c r="R927" t="str">
        <f>TEXT(Clean_Data[[#This Row],[Order_Date]],"mmm")</f>
        <v>May</v>
      </c>
      <c r="S927" t="str">
        <f>TEXT(Clean_Data[[#This Row],[Order_Date]],"mmm-yy")</f>
        <v>May-25</v>
      </c>
      <c r="V927"/>
    </row>
    <row r="928" spans="1:22" x14ac:dyDescent="0.25">
      <c r="A928" t="s">
        <v>1003</v>
      </c>
      <c r="B928" s="1">
        <v>46016</v>
      </c>
      <c r="C928" t="s">
        <v>19</v>
      </c>
      <c r="D928" t="s">
        <v>13</v>
      </c>
      <c r="E928" t="s">
        <v>37</v>
      </c>
      <c r="F928" t="s">
        <v>38</v>
      </c>
      <c r="G928">
        <v>2</v>
      </c>
      <c r="H928">
        <v>55000</v>
      </c>
      <c r="I928">
        <v>38011</v>
      </c>
      <c r="J928" t="s">
        <v>22</v>
      </c>
      <c r="K928" t="s">
        <v>23</v>
      </c>
      <c r="L928">
        <f>SUM(Clean_Data[[#This Row],[Units_Sold]]*Clean_Data[[#This Row],[Unit_Price]])</f>
        <v>110000</v>
      </c>
      <c r="M928">
        <f>Clean_Data[[#This Row],[Units_Sold]]*Clean_Data[[#This Row],[Cost_Price]]</f>
        <v>76022</v>
      </c>
      <c r="N928">
        <f>Clean_Data[[#This Row],[Total_Sales]]-Clean_Data[[#This Row],[Total_Cost]]</f>
        <v>33978</v>
      </c>
      <c r="O928" s="2">
        <f>Clean_Data[[#This Row],[Profit]]/Clean_Data[[#This Row],[Total_Sales]]</f>
        <v>0.3088909090909091</v>
      </c>
      <c r="P928" t="str">
        <f>_xlfn.XLOOKUP(Clean_Data[[#This Row],[Product_Code]],Product_Catalog!A:A,Product_Catalog!C:C)</f>
        <v>Electronics</v>
      </c>
      <c r="Q928">
        <f>IF(Clean_Data[[#This Row],[Order_Date]]="","",YEAR(Clean_Data[[#This Row],[Order_Date]]))</f>
        <v>2025</v>
      </c>
      <c r="R928" t="str">
        <f>TEXT(Clean_Data[[#This Row],[Order_Date]],"mmm")</f>
        <v>Dec</v>
      </c>
      <c r="S928" t="str">
        <f>TEXT(Clean_Data[[#This Row],[Order_Date]],"mmm-yy")</f>
        <v>Dec-25</v>
      </c>
      <c r="V928"/>
    </row>
    <row r="929" spans="1:22" x14ac:dyDescent="0.25">
      <c r="A929" t="s">
        <v>1004</v>
      </c>
      <c r="B929" s="1">
        <v>45828</v>
      </c>
      <c r="C929" t="s">
        <v>44</v>
      </c>
      <c r="D929" t="s">
        <v>26</v>
      </c>
      <c r="E929" t="s">
        <v>49</v>
      </c>
      <c r="F929" t="s">
        <v>50</v>
      </c>
      <c r="G929">
        <v>8</v>
      </c>
      <c r="H929">
        <v>75000</v>
      </c>
      <c r="I929">
        <v>54319</v>
      </c>
      <c r="J929" t="s">
        <v>29</v>
      </c>
      <c r="K929" t="s">
        <v>17</v>
      </c>
      <c r="L929">
        <f>SUM(Clean_Data[[#This Row],[Units_Sold]]*Clean_Data[[#This Row],[Unit_Price]])</f>
        <v>600000</v>
      </c>
      <c r="M929">
        <f>Clean_Data[[#This Row],[Units_Sold]]*Clean_Data[[#This Row],[Cost_Price]]</f>
        <v>434552</v>
      </c>
      <c r="N929">
        <f>Clean_Data[[#This Row],[Total_Sales]]-Clean_Data[[#This Row],[Total_Cost]]</f>
        <v>165448</v>
      </c>
      <c r="O929" s="2">
        <f>Clean_Data[[#This Row],[Profit]]/Clean_Data[[#This Row],[Total_Sales]]</f>
        <v>0.27574666666666664</v>
      </c>
      <c r="P929" t="str">
        <f>_xlfn.XLOOKUP(Clean_Data[[#This Row],[Product_Code]],Product_Catalog!A:A,Product_Catalog!C:C)</f>
        <v>Electronics</v>
      </c>
      <c r="Q929">
        <f>IF(Clean_Data[[#This Row],[Order_Date]]="","",YEAR(Clean_Data[[#This Row],[Order_Date]]))</f>
        <v>2025</v>
      </c>
      <c r="R929" t="str">
        <f>TEXT(Clean_Data[[#This Row],[Order_Date]],"mmm")</f>
        <v>Jun</v>
      </c>
      <c r="S929" t="str">
        <f>TEXT(Clean_Data[[#This Row],[Order_Date]],"mmm-yy")</f>
        <v>Jun-25</v>
      </c>
      <c r="V929"/>
    </row>
    <row r="930" spans="1:22" x14ac:dyDescent="0.25">
      <c r="A930" t="s">
        <v>1005</v>
      </c>
      <c r="B930" s="1">
        <v>45696</v>
      </c>
      <c r="C930" t="s">
        <v>44</v>
      </c>
      <c r="D930" t="s">
        <v>26</v>
      </c>
      <c r="E930" t="s">
        <v>55</v>
      </c>
      <c r="F930" t="s">
        <v>34</v>
      </c>
      <c r="G930">
        <v>17</v>
      </c>
      <c r="H930">
        <v>35000</v>
      </c>
      <c r="I930">
        <v>27361</v>
      </c>
      <c r="J930" t="s">
        <v>16</v>
      </c>
      <c r="K930" t="s">
        <v>17</v>
      </c>
      <c r="L930">
        <f>SUM(Clean_Data[[#This Row],[Units_Sold]]*Clean_Data[[#This Row],[Unit_Price]])</f>
        <v>595000</v>
      </c>
      <c r="M930">
        <f>Clean_Data[[#This Row],[Units_Sold]]*Clean_Data[[#This Row],[Cost_Price]]</f>
        <v>465137</v>
      </c>
      <c r="N930">
        <f>Clean_Data[[#This Row],[Total_Sales]]-Clean_Data[[#This Row],[Total_Cost]]</f>
        <v>129863</v>
      </c>
      <c r="O930" s="2">
        <f>Clean_Data[[#This Row],[Profit]]/Clean_Data[[#This Row],[Total_Sales]]</f>
        <v>0.21825714285714284</v>
      </c>
      <c r="P930" t="str">
        <f>_xlfn.XLOOKUP(Clean_Data[[#This Row],[Product_Code]],Product_Catalog!A:A,Product_Catalog!C:C)</f>
        <v>Furniture</v>
      </c>
      <c r="Q930">
        <f>IF(Clean_Data[[#This Row],[Order_Date]]="","",YEAR(Clean_Data[[#This Row],[Order_Date]]))</f>
        <v>2025</v>
      </c>
      <c r="R930" t="str">
        <f>TEXT(Clean_Data[[#This Row],[Order_Date]],"mmm")</f>
        <v>Feb</v>
      </c>
      <c r="S930" t="str">
        <f>TEXT(Clean_Data[[#This Row],[Order_Date]],"mmm-yy")</f>
        <v>Feb-25</v>
      </c>
      <c r="V930"/>
    </row>
    <row r="931" spans="1:22" x14ac:dyDescent="0.25">
      <c r="A931" t="s">
        <v>1006</v>
      </c>
      <c r="B931" s="1">
        <v>46256</v>
      </c>
      <c r="C931" t="s">
        <v>73</v>
      </c>
      <c r="D931" t="s">
        <v>40</v>
      </c>
      <c r="E931" t="s">
        <v>49</v>
      </c>
      <c r="F931" t="s">
        <v>50</v>
      </c>
      <c r="G931">
        <v>10</v>
      </c>
      <c r="H931">
        <v>75000</v>
      </c>
      <c r="I931">
        <v>58709</v>
      </c>
      <c r="J931" t="s">
        <v>29</v>
      </c>
      <c r="K931" t="s">
        <v>17</v>
      </c>
      <c r="L931">
        <f>SUM(Clean_Data[[#This Row],[Units_Sold]]*Clean_Data[[#This Row],[Unit_Price]])</f>
        <v>750000</v>
      </c>
      <c r="M931">
        <f>Clean_Data[[#This Row],[Units_Sold]]*Clean_Data[[#This Row],[Cost_Price]]</f>
        <v>587090</v>
      </c>
      <c r="N931">
        <f>Clean_Data[[#This Row],[Total_Sales]]-Clean_Data[[#This Row],[Total_Cost]]</f>
        <v>162910</v>
      </c>
      <c r="O931" s="2">
        <f>Clean_Data[[#This Row],[Profit]]/Clean_Data[[#This Row],[Total_Sales]]</f>
        <v>0.21721333333333334</v>
      </c>
      <c r="P931" t="str">
        <f>_xlfn.XLOOKUP(Clean_Data[[#This Row],[Product_Code]],Product_Catalog!A:A,Product_Catalog!C:C)</f>
        <v>Electronics</v>
      </c>
      <c r="Q931">
        <f>IF(Clean_Data[[#This Row],[Order_Date]]="","",YEAR(Clean_Data[[#This Row],[Order_Date]]))</f>
        <v>2026</v>
      </c>
      <c r="R931" t="str">
        <f>TEXT(Clean_Data[[#This Row],[Order_Date]],"mmm")</f>
        <v>Aug</v>
      </c>
      <c r="S931" t="str">
        <f>TEXT(Clean_Data[[#This Row],[Order_Date]],"mmm-yy")</f>
        <v>Aug-26</v>
      </c>
      <c r="V931"/>
    </row>
    <row r="932" spans="1:22" x14ac:dyDescent="0.25">
      <c r="A932" t="s">
        <v>1007</v>
      </c>
      <c r="B932" s="1">
        <v>46193</v>
      </c>
      <c r="C932" t="s">
        <v>48</v>
      </c>
      <c r="D932" t="s">
        <v>36</v>
      </c>
      <c r="E932" t="s">
        <v>55</v>
      </c>
      <c r="F932" t="s">
        <v>34</v>
      </c>
      <c r="G932">
        <v>9</v>
      </c>
      <c r="H932">
        <v>35000</v>
      </c>
      <c r="I932">
        <v>22118</v>
      </c>
      <c r="J932" t="s">
        <v>29</v>
      </c>
      <c r="K932" t="s">
        <v>23</v>
      </c>
      <c r="L932">
        <f>SUM(Clean_Data[[#This Row],[Units_Sold]]*Clean_Data[[#This Row],[Unit_Price]])</f>
        <v>315000</v>
      </c>
      <c r="M932">
        <f>Clean_Data[[#This Row],[Units_Sold]]*Clean_Data[[#This Row],[Cost_Price]]</f>
        <v>199062</v>
      </c>
      <c r="N932">
        <f>Clean_Data[[#This Row],[Total_Sales]]-Clean_Data[[#This Row],[Total_Cost]]</f>
        <v>115938</v>
      </c>
      <c r="O932" s="2">
        <f>Clean_Data[[#This Row],[Profit]]/Clean_Data[[#This Row],[Total_Sales]]</f>
        <v>0.36805714285714286</v>
      </c>
      <c r="P932" t="str">
        <f>_xlfn.XLOOKUP(Clean_Data[[#This Row],[Product_Code]],Product_Catalog!A:A,Product_Catalog!C:C)</f>
        <v>Furniture</v>
      </c>
      <c r="Q932">
        <f>IF(Clean_Data[[#This Row],[Order_Date]]="","",YEAR(Clean_Data[[#This Row],[Order_Date]]))</f>
        <v>2026</v>
      </c>
      <c r="R932" t="str">
        <f>TEXT(Clean_Data[[#This Row],[Order_Date]],"mmm")</f>
        <v>Jun</v>
      </c>
      <c r="S932" t="str">
        <f>TEXT(Clean_Data[[#This Row],[Order_Date]],"mmm-yy")</f>
        <v>Jun-26</v>
      </c>
      <c r="V932"/>
    </row>
    <row r="933" spans="1:22" x14ac:dyDescent="0.25">
      <c r="A933" t="s">
        <v>1008</v>
      </c>
      <c r="B933" s="1">
        <v>46103</v>
      </c>
      <c r="C933" t="s">
        <v>53</v>
      </c>
      <c r="D933" t="s">
        <v>13</v>
      </c>
      <c r="E933" t="s">
        <v>49</v>
      </c>
      <c r="F933" t="s">
        <v>50</v>
      </c>
      <c r="G933">
        <v>10</v>
      </c>
      <c r="H933">
        <v>75000</v>
      </c>
      <c r="I933">
        <v>54473</v>
      </c>
      <c r="J933" t="s">
        <v>45</v>
      </c>
      <c r="K933" t="s">
        <v>23</v>
      </c>
      <c r="L933">
        <f>SUM(Clean_Data[[#This Row],[Units_Sold]]*Clean_Data[[#This Row],[Unit_Price]])</f>
        <v>750000</v>
      </c>
      <c r="M933">
        <f>Clean_Data[[#This Row],[Units_Sold]]*Clean_Data[[#This Row],[Cost_Price]]</f>
        <v>544730</v>
      </c>
      <c r="N933">
        <f>Clean_Data[[#This Row],[Total_Sales]]-Clean_Data[[#This Row],[Total_Cost]]</f>
        <v>205270</v>
      </c>
      <c r="O933" s="2">
        <f>Clean_Data[[#This Row],[Profit]]/Clean_Data[[#This Row],[Total_Sales]]</f>
        <v>0.27369333333333334</v>
      </c>
      <c r="P933" t="str">
        <f>_xlfn.XLOOKUP(Clean_Data[[#This Row],[Product_Code]],Product_Catalog!A:A,Product_Catalog!C:C)</f>
        <v>Electronics</v>
      </c>
      <c r="Q933">
        <f>IF(Clean_Data[[#This Row],[Order_Date]]="","",YEAR(Clean_Data[[#This Row],[Order_Date]]))</f>
        <v>2026</v>
      </c>
      <c r="R933" t="str">
        <f>TEXT(Clean_Data[[#This Row],[Order_Date]],"mmm")</f>
        <v>Mar</v>
      </c>
      <c r="S933" t="str">
        <f>TEXT(Clean_Data[[#This Row],[Order_Date]],"mmm-yy")</f>
        <v>Mar-26</v>
      </c>
      <c r="V933"/>
    </row>
    <row r="934" spans="1:22" x14ac:dyDescent="0.25">
      <c r="A934" t="s">
        <v>1009</v>
      </c>
      <c r="B934" s="1">
        <v>46241</v>
      </c>
      <c r="C934" t="s">
        <v>48</v>
      </c>
      <c r="D934" t="s">
        <v>40</v>
      </c>
      <c r="E934" t="s">
        <v>14</v>
      </c>
      <c r="F934" t="s">
        <v>15</v>
      </c>
      <c r="G934">
        <v>8</v>
      </c>
      <c r="H934">
        <v>12500</v>
      </c>
      <c r="I934">
        <v>7505</v>
      </c>
      <c r="J934" t="s">
        <v>22</v>
      </c>
      <c r="K934" t="s">
        <v>23</v>
      </c>
      <c r="L934">
        <f>SUM(Clean_Data[[#This Row],[Units_Sold]]*Clean_Data[[#This Row],[Unit_Price]])</f>
        <v>100000</v>
      </c>
      <c r="M934">
        <f>Clean_Data[[#This Row],[Units_Sold]]*Clean_Data[[#This Row],[Cost_Price]]</f>
        <v>60040</v>
      </c>
      <c r="N934">
        <f>Clean_Data[[#This Row],[Total_Sales]]-Clean_Data[[#This Row],[Total_Cost]]</f>
        <v>39960</v>
      </c>
      <c r="O934" s="2">
        <f>Clean_Data[[#This Row],[Profit]]/Clean_Data[[#This Row],[Total_Sales]]</f>
        <v>0.39960000000000001</v>
      </c>
      <c r="P934" t="str">
        <f>_xlfn.XLOOKUP(Clean_Data[[#This Row],[Product_Code]],Product_Catalog!A:A,Product_Catalog!C:C)</f>
        <v>Accessories</v>
      </c>
      <c r="Q934">
        <f>IF(Clean_Data[[#This Row],[Order_Date]]="","",YEAR(Clean_Data[[#This Row],[Order_Date]]))</f>
        <v>2026</v>
      </c>
      <c r="R934" t="str">
        <f>TEXT(Clean_Data[[#This Row],[Order_Date]],"mmm")</f>
        <v>Aug</v>
      </c>
      <c r="S934" t="str">
        <f>TEXT(Clean_Data[[#This Row],[Order_Date]],"mmm-yy")</f>
        <v>Aug-26</v>
      </c>
      <c r="V934"/>
    </row>
    <row r="935" spans="1:22" x14ac:dyDescent="0.25">
      <c r="A935" t="s">
        <v>1010</v>
      </c>
      <c r="B935" s="1">
        <v>45911</v>
      </c>
      <c r="C935" t="s">
        <v>48</v>
      </c>
      <c r="D935" t="s">
        <v>13</v>
      </c>
      <c r="E935" t="s">
        <v>55</v>
      </c>
      <c r="F935" t="s">
        <v>34</v>
      </c>
      <c r="G935">
        <v>3</v>
      </c>
      <c r="H935">
        <v>35000</v>
      </c>
      <c r="I935">
        <v>25944</v>
      </c>
      <c r="J935" t="s">
        <v>29</v>
      </c>
      <c r="K935" t="s">
        <v>17</v>
      </c>
      <c r="L935">
        <f>SUM(Clean_Data[[#This Row],[Units_Sold]]*Clean_Data[[#This Row],[Unit_Price]])</f>
        <v>105000</v>
      </c>
      <c r="M935">
        <f>Clean_Data[[#This Row],[Units_Sold]]*Clean_Data[[#This Row],[Cost_Price]]</f>
        <v>77832</v>
      </c>
      <c r="N935">
        <f>Clean_Data[[#This Row],[Total_Sales]]-Clean_Data[[#This Row],[Total_Cost]]</f>
        <v>27168</v>
      </c>
      <c r="O935" s="2">
        <f>Clean_Data[[#This Row],[Profit]]/Clean_Data[[#This Row],[Total_Sales]]</f>
        <v>0.25874285714285716</v>
      </c>
      <c r="P935" t="str">
        <f>_xlfn.XLOOKUP(Clean_Data[[#This Row],[Product_Code]],Product_Catalog!A:A,Product_Catalog!C:C)</f>
        <v>Furniture</v>
      </c>
      <c r="Q935">
        <f>IF(Clean_Data[[#This Row],[Order_Date]]="","",YEAR(Clean_Data[[#This Row],[Order_Date]]))</f>
        <v>2025</v>
      </c>
      <c r="R935" t="str">
        <f>TEXT(Clean_Data[[#This Row],[Order_Date]],"mmm")</f>
        <v>Sep</v>
      </c>
      <c r="S935" t="str">
        <f>TEXT(Clean_Data[[#This Row],[Order_Date]],"mmm-yy")</f>
        <v>Sep-25</v>
      </c>
      <c r="V935"/>
    </row>
    <row r="936" spans="1:22" x14ac:dyDescent="0.25">
      <c r="A936" t="s">
        <v>1011</v>
      </c>
      <c r="B936" s="1">
        <v>45941</v>
      </c>
      <c r="C936" t="s">
        <v>62</v>
      </c>
      <c r="D936" t="s">
        <v>40</v>
      </c>
      <c r="E936" t="s">
        <v>27</v>
      </c>
      <c r="F936" t="s">
        <v>28</v>
      </c>
      <c r="G936">
        <v>19</v>
      </c>
      <c r="H936">
        <v>14000</v>
      </c>
      <c r="I936">
        <v>10197</v>
      </c>
      <c r="J936" t="s">
        <v>29</v>
      </c>
      <c r="K936" t="s">
        <v>23</v>
      </c>
      <c r="L936">
        <f>SUM(Clean_Data[[#This Row],[Units_Sold]]*Clean_Data[[#This Row],[Unit_Price]])</f>
        <v>266000</v>
      </c>
      <c r="M936">
        <f>Clean_Data[[#This Row],[Units_Sold]]*Clean_Data[[#This Row],[Cost_Price]]</f>
        <v>193743</v>
      </c>
      <c r="N936">
        <f>Clean_Data[[#This Row],[Total_Sales]]-Clean_Data[[#This Row],[Total_Cost]]</f>
        <v>72257</v>
      </c>
      <c r="O936" s="2">
        <f>Clean_Data[[#This Row],[Profit]]/Clean_Data[[#This Row],[Total_Sales]]</f>
        <v>0.27164285714285713</v>
      </c>
      <c r="P936" t="str">
        <f>_xlfn.XLOOKUP(Clean_Data[[#This Row],[Product_Code]],Product_Catalog!A:A,Product_Catalog!C:C)</f>
        <v>Furniture</v>
      </c>
      <c r="Q936">
        <f>IF(Clean_Data[[#This Row],[Order_Date]]="","",YEAR(Clean_Data[[#This Row],[Order_Date]]))</f>
        <v>2025</v>
      </c>
      <c r="R936" t="str">
        <f>TEXT(Clean_Data[[#This Row],[Order_Date]],"mmm")</f>
        <v>Oct</v>
      </c>
      <c r="S936" t="str">
        <f>TEXT(Clean_Data[[#This Row],[Order_Date]],"mmm-yy")</f>
        <v>Oct-25</v>
      </c>
      <c r="V936"/>
    </row>
    <row r="937" spans="1:22" x14ac:dyDescent="0.25">
      <c r="A937" t="s">
        <v>1012</v>
      </c>
      <c r="B937" s="1">
        <v>45934</v>
      </c>
      <c r="C937" t="s">
        <v>19</v>
      </c>
      <c r="D937" t="s">
        <v>13</v>
      </c>
      <c r="E937" t="s">
        <v>49</v>
      </c>
      <c r="F937" t="s">
        <v>50</v>
      </c>
      <c r="G937">
        <v>1</v>
      </c>
      <c r="H937">
        <v>75000</v>
      </c>
      <c r="I937">
        <v>46238</v>
      </c>
      <c r="J937" t="s">
        <v>29</v>
      </c>
      <c r="K937" t="s">
        <v>23</v>
      </c>
      <c r="L937">
        <f>SUM(Clean_Data[[#This Row],[Units_Sold]]*Clean_Data[[#This Row],[Unit_Price]])</f>
        <v>75000</v>
      </c>
      <c r="M937">
        <f>Clean_Data[[#This Row],[Units_Sold]]*Clean_Data[[#This Row],[Cost_Price]]</f>
        <v>46238</v>
      </c>
      <c r="N937">
        <f>Clean_Data[[#This Row],[Total_Sales]]-Clean_Data[[#This Row],[Total_Cost]]</f>
        <v>28762</v>
      </c>
      <c r="O937" s="2">
        <f>Clean_Data[[#This Row],[Profit]]/Clean_Data[[#This Row],[Total_Sales]]</f>
        <v>0.38349333333333335</v>
      </c>
      <c r="P937" t="str">
        <f>_xlfn.XLOOKUP(Clean_Data[[#This Row],[Product_Code]],Product_Catalog!A:A,Product_Catalog!C:C)</f>
        <v>Electronics</v>
      </c>
      <c r="Q937">
        <f>IF(Clean_Data[[#This Row],[Order_Date]]="","",YEAR(Clean_Data[[#This Row],[Order_Date]]))</f>
        <v>2025</v>
      </c>
      <c r="R937" t="str">
        <f>TEXT(Clean_Data[[#This Row],[Order_Date]],"mmm")</f>
        <v>Oct</v>
      </c>
      <c r="S937" t="str">
        <f>TEXT(Clean_Data[[#This Row],[Order_Date]],"mmm-yy")</f>
        <v>Oct-25</v>
      </c>
      <c r="V937"/>
    </row>
    <row r="938" spans="1:22" x14ac:dyDescent="0.25">
      <c r="A938" t="s">
        <v>1013</v>
      </c>
      <c r="B938" s="1">
        <v>45959</v>
      </c>
      <c r="C938" t="s">
        <v>25</v>
      </c>
      <c r="D938" t="s">
        <v>40</v>
      </c>
      <c r="E938" t="s">
        <v>14</v>
      </c>
      <c r="F938" t="s">
        <v>15</v>
      </c>
      <c r="G938">
        <v>14</v>
      </c>
      <c r="H938">
        <v>12500</v>
      </c>
      <c r="I938">
        <v>7534</v>
      </c>
      <c r="J938" t="s">
        <v>45</v>
      </c>
      <c r="K938" t="s">
        <v>17</v>
      </c>
      <c r="L938">
        <f>SUM(Clean_Data[[#This Row],[Units_Sold]]*Clean_Data[[#This Row],[Unit_Price]])</f>
        <v>175000</v>
      </c>
      <c r="M938">
        <f>Clean_Data[[#This Row],[Units_Sold]]*Clean_Data[[#This Row],[Cost_Price]]</f>
        <v>105476</v>
      </c>
      <c r="N938">
        <f>Clean_Data[[#This Row],[Total_Sales]]-Clean_Data[[#This Row],[Total_Cost]]</f>
        <v>69524</v>
      </c>
      <c r="O938" s="2">
        <f>Clean_Data[[#This Row],[Profit]]/Clean_Data[[#This Row],[Total_Sales]]</f>
        <v>0.39728000000000002</v>
      </c>
      <c r="P938" t="str">
        <f>_xlfn.XLOOKUP(Clean_Data[[#This Row],[Product_Code]],Product_Catalog!A:A,Product_Catalog!C:C)</f>
        <v>Accessories</v>
      </c>
      <c r="Q938">
        <f>IF(Clean_Data[[#This Row],[Order_Date]]="","",YEAR(Clean_Data[[#This Row],[Order_Date]]))</f>
        <v>2025</v>
      </c>
      <c r="R938" t="str">
        <f>TEXT(Clean_Data[[#This Row],[Order_Date]],"mmm")</f>
        <v>Oct</v>
      </c>
      <c r="S938" t="str">
        <f>TEXT(Clean_Data[[#This Row],[Order_Date]],"mmm-yy")</f>
        <v>Oct-25</v>
      </c>
      <c r="V938"/>
    </row>
    <row r="939" spans="1:22" x14ac:dyDescent="0.25">
      <c r="A939" t="s">
        <v>1014</v>
      </c>
      <c r="B939" s="1">
        <v>46116</v>
      </c>
      <c r="C939" t="s">
        <v>12</v>
      </c>
      <c r="D939" t="s">
        <v>40</v>
      </c>
      <c r="E939" t="s">
        <v>55</v>
      </c>
      <c r="F939" t="s">
        <v>34</v>
      </c>
      <c r="G939">
        <v>11</v>
      </c>
      <c r="H939">
        <v>35000</v>
      </c>
      <c r="I939">
        <v>26996</v>
      </c>
      <c r="J939" t="s">
        <v>22</v>
      </c>
      <c r="K939" t="s">
        <v>17</v>
      </c>
      <c r="L939">
        <f>SUM(Clean_Data[[#This Row],[Units_Sold]]*Clean_Data[[#This Row],[Unit_Price]])</f>
        <v>385000</v>
      </c>
      <c r="M939">
        <f>Clean_Data[[#This Row],[Units_Sold]]*Clean_Data[[#This Row],[Cost_Price]]</f>
        <v>296956</v>
      </c>
      <c r="N939">
        <f>Clean_Data[[#This Row],[Total_Sales]]-Clean_Data[[#This Row],[Total_Cost]]</f>
        <v>88044</v>
      </c>
      <c r="O939" s="2">
        <f>Clean_Data[[#This Row],[Profit]]/Clean_Data[[#This Row],[Total_Sales]]</f>
        <v>0.2286857142857143</v>
      </c>
      <c r="P939" t="str">
        <f>_xlfn.XLOOKUP(Clean_Data[[#This Row],[Product_Code]],Product_Catalog!A:A,Product_Catalog!C:C)</f>
        <v>Furniture</v>
      </c>
      <c r="Q939">
        <f>IF(Clean_Data[[#This Row],[Order_Date]]="","",YEAR(Clean_Data[[#This Row],[Order_Date]]))</f>
        <v>2026</v>
      </c>
      <c r="R939" t="str">
        <f>TEXT(Clean_Data[[#This Row],[Order_Date]],"mmm")</f>
        <v>Apr</v>
      </c>
      <c r="S939" t="str">
        <f>TEXT(Clean_Data[[#This Row],[Order_Date]],"mmm-yy")</f>
        <v>Apr-26</v>
      </c>
      <c r="V939"/>
    </row>
    <row r="940" spans="1:22" x14ac:dyDescent="0.25">
      <c r="A940" t="s">
        <v>1015</v>
      </c>
      <c r="B940" s="1">
        <v>46002</v>
      </c>
      <c r="C940" t="s">
        <v>48</v>
      </c>
      <c r="D940" t="s">
        <v>36</v>
      </c>
      <c r="E940" t="s">
        <v>49</v>
      </c>
      <c r="F940" t="s">
        <v>50</v>
      </c>
      <c r="G940">
        <v>19</v>
      </c>
      <c r="H940">
        <v>75000</v>
      </c>
      <c r="I940">
        <v>59760</v>
      </c>
      <c r="J940" t="s">
        <v>16</v>
      </c>
      <c r="K940" t="s">
        <v>23</v>
      </c>
      <c r="L940">
        <f>SUM(Clean_Data[[#This Row],[Units_Sold]]*Clean_Data[[#This Row],[Unit_Price]])</f>
        <v>1425000</v>
      </c>
      <c r="M940">
        <f>Clean_Data[[#This Row],[Units_Sold]]*Clean_Data[[#This Row],[Cost_Price]]</f>
        <v>1135440</v>
      </c>
      <c r="N940">
        <f>Clean_Data[[#This Row],[Total_Sales]]-Clean_Data[[#This Row],[Total_Cost]]</f>
        <v>289560</v>
      </c>
      <c r="O940" s="2">
        <f>Clean_Data[[#This Row],[Profit]]/Clean_Data[[#This Row],[Total_Sales]]</f>
        <v>0.20319999999999999</v>
      </c>
      <c r="P940" t="str">
        <f>_xlfn.XLOOKUP(Clean_Data[[#This Row],[Product_Code]],Product_Catalog!A:A,Product_Catalog!C:C)</f>
        <v>Electronics</v>
      </c>
      <c r="Q940">
        <f>IF(Clean_Data[[#This Row],[Order_Date]]="","",YEAR(Clean_Data[[#This Row],[Order_Date]]))</f>
        <v>2025</v>
      </c>
      <c r="R940" t="str">
        <f>TEXT(Clean_Data[[#This Row],[Order_Date]],"mmm")</f>
        <v>Dec</v>
      </c>
      <c r="S940" t="str">
        <f>TEXT(Clean_Data[[#This Row],[Order_Date]],"mmm-yy")</f>
        <v>Dec-25</v>
      </c>
      <c r="V940"/>
    </row>
    <row r="941" spans="1:22" x14ac:dyDescent="0.25">
      <c r="A941" t="s">
        <v>1016</v>
      </c>
      <c r="B941" s="1">
        <v>46121</v>
      </c>
      <c r="C941" t="s">
        <v>31</v>
      </c>
      <c r="D941" t="s">
        <v>33</v>
      </c>
      <c r="E941" t="s">
        <v>41</v>
      </c>
      <c r="F941" t="s">
        <v>42</v>
      </c>
      <c r="G941">
        <v>12</v>
      </c>
      <c r="H941">
        <v>28000</v>
      </c>
      <c r="I941">
        <v>18763</v>
      </c>
      <c r="J941" t="s">
        <v>16</v>
      </c>
      <c r="K941" t="s">
        <v>17</v>
      </c>
      <c r="L941">
        <f>SUM(Clean_Data[[#This Row],[Units_Sold]]*Clean_Data[[#This Row],[Unit_Price]])</f>
        <v>336000</v>
      </c>
      <c r="M941">
        <f>Clean_Data[[#This Row],[Units_Sold]]*Clean_Data[[#This Row],[Cost_Price]]</f>
        <v>225156</v>
      </c>
      <c r="N941">
        <f>Clean_Data[[#This Row],[Total_Sales]]-Clean_Data[[#This Row],[Total_Cost]]</f>
        <v>110844</v>
      </c>
      <c r="O941" s="2">
        <f>Clean_Data[[#This Row],[Profit]]/Clean_Data[[#This Row],[Total_Sales]]</f>
        <v>0.32989285714285715</v>
      </c>
      <c r="P941" t="str">
        <f>_xlfn.XLOOKUP(Clean_Data[[#This Row],[Product_Code]],Product_Catalog!A:A,Product_Catalog!C:C)</f>
        <v>Electronics</v>
      </c>
      <c r="Q941">
        <f>IF(Clean_Data[[#This Row],[Order_Date]]="","",YEAR(Clean_Data[[#This Row],[Order_Date]]))</f>
        <v>2026</v>
      </c>
      <c r="R941" t="str">
        <f>TEXT(Clean_Data[[#This Row],[Order_Date]],"mmm")</f>
        <v>Apr</v>
      </c>
      <c r="S941" t="str">
        <f>TEXT(Clean_Data[[#This Row],[Order_Date]],"mmm-yy")</f>
        <v>Apr-26</v>
      </c>
      <c r="V941"/>
    </row>
    <row r="942" spans="1:22" x14ac:dyDescent="0.25">
      <c r="A942" t="s">
        <v>1017</v>
      </c>
      <c r="B942" s="1">
        <v>45946</v>
      </c>
      <c r="C942" t="s">
        <v>73</v>
      </c>
      <c r="D942" t="s">
        <v>36</v>
      </c>
      <c r="E942" t="s">
        <v>14</v>
      </c>
      <c r="F942" t="s">
        <v>15</v>
      </c>
      <c r="G942">
        <v>17</v>
      </c>
      <c r="H942">
        <v>12500</v>
      </c>
      <c r="I942">
        <v>9091</v>
      </c>
      <c r="J942" t="s">
        <v>22</v>
      </c>
      <c r="K942" t="s">
        <v>17</v>
      </c>
      <c r="L942">
        <f>SUM(Clean_Data[[#This Row],[Units_Sold]]*Clean_Data[[#This Row],[Unit_Price]])</f>
        <v>212500</v>
      </c>
      <c r="M942">
        <f>Clean_Data[[#This Row],[Units_Sold]]*Clean_Data[[#This Row],[Cost_Price]]</f>
        <v>154547</v>
      </c>
      <c r="N942">
        <f>Clean_Data[[#This Row],[Total_Sales]]-Clean_Data[[#This Row],[Total_Cost]]</f>
        <v>57953</v>
      </c>
      <c r="O942" s="2">
        <f>Clean_Data[[#This Row],[Profit]]/Clean_Data[[#This Row],[Total_Sales]]</f>
        <v>0.27272000000000002</v>
      </c>
      <c r="P942" t="str">
        <f>_xlfn.XLOOKUP(Clean_Data[[#This Row],[Product_Code]],Product_Catalog!A:A,Product_Catalog!C:C)</f>
        <v>Accessories</v>
      </c>
      <c r="Q942">
        <f>IF(Clean_Data[[#This Row],[Order_Date]]="","",YEAR(Clean_Data[[#This Row],[Order_Date]]))</f>
        <v>2025</v>
      </c>
      <c r="R942" t="str">
        <f>TEXT(Clean_Data[[#This Row],[Order_Date]],"mmm")</f>
        <v>Oct</v>
      </c>
      <c r="S942" t="str">
        <f>TEXT(Clean_Data[[#This Row],[Order_Date]],"mmm-yy")</f>
        <v>Oct-25</v>
      </c>
      <c r="V942"/>
    </row>
    <row r="943" spans="1:22" x14ac:dyDescent="0.25">
      <c r="A943" t="s">
        <v>1018</v>
      </c>
      <c r="B943" s="1">
        <v>45915</v>
      </c>
      <c r="C943" t="s">
        <v>19</v>
      </c>
      <c r="D943" t="s">
        <v>13</v>
      </c>
      <c r="E943" t="s">
        <v>14</v>
      </c>
      <c r="F943" t="s">
        <v>15</v>
      </c>
      <c r="G943">
        <v>14</v>
      </c>
      <c r="H943">
        <v>12500</v>
      </c>
      <c r="I943">
        <v>8721</v>
      </c>
      <c r="J943" t="s">
        <v>45</v>
      </c>
      <c r="K943" t="s">
        <v>46</v>
      </c>
      <c r="L943">
        <f>SUM(Clean_Data[[#This Row],[Units_Sold]]*Clean_Data[[#This Row],[Unit_Price]])</f>
        <v>175000</v>
      </c>
      <c r="M943">
        <f>Clean_Data[[#This Row],[Units_Sold]]*Clean_Data[[#This Row],[Cost_Price]]</f>
        <v>122094</v>
      </c>
      <c r="N943">
        <f>Clean_Data[[#This Row],[Total_Sales]]-Clean_Data[[#This Row],[Total_Cost]]</f>
        <v>52906</v>
      </c>
      <c r="O943" s="2">
        <f>Clean_Data[[#This Row],[Profit]]/Clean_Data[[#This Row],[Total_Sales]]</f>
        <v>0.30231999999999998</v>
      </c>
      <c r="P943" t="str">
        <f>_xlfn.XLOOKUP(Clean_Data[[#This Row],[Product_Code]],Product_Catalog!A:A,Product_Catalog!C:C)</f>
        <v>Accessories</v>
      </c>
      <c r="Q943">
        <f>IF(Clean_Data[[#This Row],[Order_Date]]="","",YEAR(Clean_Data[[#This Row],[Order_Date]]))</f>
        <v>2025</v>
      </c>
      <c r="R943" t="str">
        <f>TEXT(Clean_Data[[#This Row],[Order_Date]],"mmm")</f>
        <v>Sep</v>
      </c>
      <c r="S943" t="str">
        <f>TEXT(Clean_Data[[#This Row],[Order_Date]],"mmm-yy")</f>
        <v>Sep-25</v>
      </c>
      <c r="V943"/>
    </row>
    <row r="944" spans="1:22" x14ac:dyDescent="0.25">
      <c r="A944" t="s">
        <v>1019</v>
      </c>
      <c r="B944" s="1">
        <v>46250</v>
      </c>
      <c r="C944" t="s">
        <v>31</v>
      </c>
      <c r="D944" t="s">
        <v>36</v>
      </c>
      <c r="E944" t="s">
        <v>37</v>
      </c>
      <c r="F944" t="s">
        <v>38</v>
      </c>
      <c r="G944">
        <v>9</v>
      </c>
      <c r="H944">
        <v>55000</v>
      </c>
      <c r="I944">
        <v>36922</v>
      </c>
      <c r="J944" t="s">
        <v>29</v>
      </c>
      <c r="K944" t="s">
        <v>17</v>
      </c>
      <c r="L944">
        <f>SUM(Clean_Data[[#This Row],[Units_Sold]]*Clean_Data[[#This Row],[Unit_Price]])</f>
        <v>495000</v>
      </c>
      <c r="M944">
        <f>Clean_Data[[#This Row],[Units_Sold]]*Clean_Data[[#This Row],[Cost_Price]]</f>
        <v>332298</v>
      </c>
      <c r="N944">
        <f>Clean_Data[[#This Row],[Total_Sales]]-Clean_Data[[#This Row],[Total_Cost]]</f>
        <v>162702</v>
      </c>
      <c r="O944" s="2">
        <f>Clean_Data[[#This Row],[Profit]]/Clean_Data[[#This Row],[Total_Sales]]</f>
        <v>0.32869090909090909</v>
      </c>
      <c r="P944" t="str">
        <f>_xlfn.XLOOKUP(Clean_Data[[#This Row],[Product_Code]],Product_Catalog!A:A,Product_Catalog!C:C)</f>
        <v>Electronics</v>
      </c>
      <c r="Q944">
        <f>IF(Clean_Data[[#This Row],[Order_Date]]="","",YEAR(Clean_Data[[#This Row],[Order_Date]]))</f>
        <v>2026</v>
      </c>
      <c r="R944" t="str">
        <f>TEXT(Clean_Data[[#This Row],[Order_Date]],"mmm")</f>
        <v>Aug</v>
      </c>
      <c r="S944" t="str">
        <f>TEXT(Clean_Data[[#This Row],[Order_Date]],"mmm-yy")</f>
        <v>Aug-26</v>
      </c>
      <c r="V944"/>
    </row>
    <row r="945" spans="1:22" x14ac:dyDescent="0.25">
      <c r="A945" t="s">
        <v>1021</v>
      </c>
      <c r="B945" s="1">
        <v>45900</v>
      </c>
      <c r="C945" t="s">
        <v>48</v>
      </c>
      <c r="D945" t="s">
        <v>40</v>
      </c>
      <c r="E945" t="s">
        <v>14</v>
      </c>
      <c r="F945" t="s">
        <v>15</v>
      </c>
      <c r="G945">
        <v>3</v>
      </c>
      <c r="H945">
        <v>12500</v>
      </c>
      <c r="I945">
        <v>9262</v>
      </c>
      <c r="J945" t="s">
        <v>16</v>
      </c>
      <c r="K945" t="s">
        <v>23</v>
      </c>
      <c r="L945">
        <f>SUM(Clean_Data[[#This Row],[Units_Sold]]*Clean_Data[[#This Row],[Unit_Price]])</f>
        <v>37500</v>
      </c>
      <c r="M945">
        <f>Clean_Data[[#This Row],[Units_Sold]]*Clean_Data[[#This Row],[Cost_Price]]</f>
        <v>27786</v>
      </c>
      <c r="N945">
        <f>Clean_Data[[#This Row],[Total_Sales]]-Clean_Data[[#This Row],[Total_Cost]]</f>
        <v>9714</v>
      </c>
      <c r="O945" s="2">
        <f>Clean_Data[[#This Row],[Profit]]/Clean_Data[[#This Row],[Total_Sales]]</f>
        <v>0.25903999999999999</v>
      </c>
      <c r="P945" t="str">
        <f>_xlfn.XLOOKUP(Clean_Data[[#This Row],[Product_Code]],Product_Catalog!A:A,Product_Catalog!C:C)</f>
        <v>Accessories</v>
      </c>
      <c r="Q945">
        <f>IF(Clean_Data[[#This Row],[Order_Date]]="","",YEAR(Clean_Data[[#This Row],[Order_Date]]))</f>
        <v>2025</v>
      </c>
      <c r="R945" t="str">
        <f>TEXT(Clean_Data[[#This Row],[Order_Date]],"mmm")</f>
        <v>Aug</v>
      </c>
      <c r="S945" t="str">
        <f>TEXT(Clean_Data[[#This Row],[Order_Date]],"mmm-yy")</f>
        <v>Aug-25</v>
      </c>
      <c r="V945"/>
    </row>
    <row r="946" spans="1:22" x14ac:dyDescent="0.25">
      <c r="A946" t="s">
        <v>1022</v>
      </c>
      <c r="B946" s="1">
        <v>45771</v>
      </c>
      <c r="C946" t="s">
        <v>62</v>
      </c>
      <c r="D946" t="s">
        <v>13</v>
      </c>
      <c r="E946" t="s">
        <v>14</v>
      </c>
      <c r="F946" t="s">
        <v>15</v>
      </c>
      <c r="G946">
        <v>7</v>
      </c>
      <c r="H946">
        <v>12500</v>
      </c>
      <c r="I946">
        <v>8015</v>
      </c>
      <c r="J946" t="s">
        <v>29</v>
      </c>
      <c r="K946" t="s">
        <v>23</v>
      </c>
      <c r="L946">
        <f>SUM(Clean_Data[[#This Row],[Units_Sold]]*Clean_Data[[#This Row],[Unit_Price]])</f>
        <v>87500</v>
      </c>
      <c r="M946">
        <f>Clean_Data[[#This Row],[Units_Sold]]*Clean_Data[[#This Row],[Cost_Price]]</f>
        <v>56105</v>
      </c>
      <c r="N946">
        <f>Clean_Data[[#This Row],[Total_Sales]]-Clean_Data[[#This Row],[Total_Cost]]</f>
        <v>31395</v>
      </c>
      <c r="O946" s="2">
        <f>Clean_Data[[#This Row],[Profit]]/Clean_Data[[#This Row],[Total_Sales]]</f>
        <v>0.35880000000000001</v>
      </c>
      <c r="P946" t="str">
        <f>_xlfn.XLOOKUP(Clean_Data[[#This Row],[Product_Code]],Product_Catalog!A:A,Product_Catalog!C:C)</f>
        <v>Accessories</v>
      </c>
      <c r="Q946">
        <f>IF(Clean_Data[[#This Row],[Order_Date]]="","",YEAR(Clean_Data[[#This Row],[Order_Date]]))</f>
        <v>2025</v>
      </c>
      <c r="R946" t="str">
        <f>TEXT(Clean_Data[[#This Row],[Order_Date]],"mmm")</f>
        <v>Apr</v>
      </c>
      <c r="S946" t="str">
        <f>TEXT(Clean_Data[[#This Row],[Order_Date]],"mmm-yy")</f>
        <v>Apr-25</v>
      </c>
      <c r="V946"/>
    </row>
    <row r="947" spans="1:22" x14ac:dyDescent="0.25">
      <c r="A947" t="s">
        <v>1023</v>
      </c>
      <c r="B947" s="1">
        <v>45800</v>
      </c>
      <c r="C947" t="s">
        <v>19</v>
      </c>
      <c r="D947" t="s">
        <v>13</v>
      </c>
      <c r="E947" t="s">
        <v>20</v>
      </c>
      <c r="F947" t="s">
        <v>21</v>
      </c>
      <c r="G947">
        <v>7</v>
      </c>
      <c r="H947">
        <v>8500</v>
      </c>
      <c r="I947">
        <v>6397</v>
      </c>
      <c r="J947" t="s">
        <v>29</v>
      </c>
      <c r="K947" t="s">
        <v>23</v>
      </c>
      <c r="L947">
        <f>SUM(Clean_Data[[#This Row],[Units_Sold]]*Clean_Data[[#This Row],[Unit_Price]])</f>
        <v>59500</v>
      </c>
      <c r="M947">
        <f>Clean_Data[[#This Row],[Units_Sold]]*Clean_Data[[#This Row],[Cost_Price]]</f>
        <v>44779</v>
      </c>
      <c r="N947">
        <f>Clean_Data[[#This Row],[Total_Sales]]-Clean_Data[[#This Row],[Total_Cost]]</f>
        <v>14721</v>
      </c>
      <c r="O947" s="2">
        <f>Clean_Data[[#This Row],[Profit]]/Clean_Data[[#This Row],[Total_Sales]]</f>
        <v>0.24741176470588236</v>
      </c>
      <c r="P947" t="str">
        <f>_xlfn.XLOOKUP(Clean_Data[[#This Row],[Product_Code]],Product_Catalog!A:A,Product_Catalog!C:C)</f>
        <v>Accessories</v>
      </c>
      <c r="Q947">
        <f>IF(Clean_Data[[#This Row],[Order_Date]]="","",YEAR(Clean_Data[[#This Row],[Order_Date]]))</f>
        <v>2025</v>
      </c>
      <c r="R947" t="str">
        <f>TEXT(Clean_Data[[#This Row],[Order_Date]],"mmm")</f>
        <v>May</v>
      </c>
      <c r="S947" t="str">
        <f>TEXT(Clean_Data[[#This Row],[Order_Date]],"mmm-yy")</f>
        <v>May-25</v>
      </c>
      <c r="V947"/>
    </row>
    <row r="948" spans="1:22" x14ac:dyDescent="0.25">
      <c r="A948" t="s">
        <v>1024</v>
      </c>
      <c r="B948" s="1">
        <v>46218</v>
      </c>
      <c r="C948" t="s">
        <v>62</v>
      </c>
      <c r="D948" t="s">
        <v>13</v>
      </c>
      <c r="E948" t="s">
        <v>55</v>
      </c>
      <c r="F948" t="s">
        <v>34</v>
      </c>
      <c r="G948">
        <v>9</v>
      </c>
      <c r="H948">
        <v>35000</v>
      </c>
      <c r="I948">
        <v>24788</v>
      </c>
      <c r="J948" t="s">
        <v>16</v>
      </c>
      <c r="K948" t="s">
        <v>23</v>
      </c>
      <c r="L948">
        <f>SUM(Clean_Data[[#This Row],[Units_Sold]]*Clean_Data[[#This Row],[Unit_Price]])</f>
        <v>315000</v>
      </c>
      <c r="M948">
        <f>Clean_Data[[#This Row],[Units_Sold]]*Clean_Data[[#This Row],[Cost_Price]]</f>
        <v>223092</v>
      </c>
      <c r="N948">
        <f>Clean_Data[[#This Row],[Total_Sales]]-Clean_Data[[#This Row],[Total_Cost]]</f>
        <v>91908</v>
      </c>
      <c r="O948" s="2">
        <f>Clean_Data[[#This Row],[Profit]]/Clean_Data[[#This Row],[Total_Sales]]</f>
        <v>0.29177142857142857</v>
      </c>
      <c r="P948" t="str">
        <f>_xlfn.XLOOKUP(Clean_Data[[#This Row],[Product_Code]],Product_Catalog!A:A,Product_Catalog!C:C)</f>
        <v>Furniture</v>
      </c>
      <c r="Q948">
        <f>IF(Clean_Data[[#This Row],[Order_Date]]="","",YEAR(Clean_Data[[#This Row],[Order_Date]]))</f>
        <v>2026</v>
      </c>
      <c r="R948" t="str">
        <f>TEXT(Clean_Data[[#This Row],[Order_Date]],"mmm")</f>
        <v>Jul</v>
      </c>
      <c r="S948" t="str">
        <f>TEXT(Clean_Data[[#This Row],[Order_Date]],"mmm-yy")</f>
        <v>Jul-26</v>
      </c>
      <c r="V948"/>
    </row>
    <row r="949" spans="1:22" x14ac:dyDescent="0.25">
      <c r="A949" t="s">
        <v>1025</v>
      </c>
      <c r="B949" s="1">
        <v>45827</v>
      </c>
      <c r="C949" t="s">
        <v>62</v>
      </c>
      <c r="D949" t="s">
        <v>40</v>
      </c>
      <c r="E949" t="s">
        <v>63</v>
      </c>
      <c r="F949" t="s">
        <v>59</v>
      </c>
      <c r="G949">
        <v>3</v>
      </c>
      <c r="H949">
        <v>4500</v>
      </c>
      <c r="I949">
        <v>2889</v>
      </c>
      <c r="J949" t="s">
        <v>29</v>
      </c>
      <c r="K949" t="s">
        <v>23</v>
      </c>
      <c r="L949">
        <f>SUM(Clean_Data[[#This Row],[Units_Sold]]*Clean_Data[[#This Row],[Unit_Price]])</f>
        <v>13500</v>
      </c>
      <c r="M949">
        <f>Clean_Data[[#This Row],[Units_Sold]]*Clean_Data[[#This Row],[Cost_Price]]</f>
        <v>8667</v>
      </c>
      <c r="N949">
        <f>Clean_Data[[#This Row],[Total_Sales]]-Clean_Data[[#This Row],[Total_Cost]]</f>
        <v>4833</v>
      </c>
      <c r="O949" s="2">
        <f>Clean_Data[[#This Row],[Profit]]/Clean_Data[[#This Row],[Total_Sales]]</f>
        <v>0.35799999999999998</v>
      </c>
      <c r="P949" t="str">
        <f>_xlfn.XLOOKUP(Clean_Data[[#This Row],[Product_Code]],Product_Catalog!A:A,Product_Catalog!C:C)</f>
        <v>Electronics</v>
      </c>
      <c r="Q949">
        <f>IF(Clean_Data[[#This Row],[Order_Date]]="","",YEAR(Clean_Data[[#This Row],[Order_Date]]))</f>
        <v>2025</v>
      </c>
      <c r="R949" t="str">
        <f>TEXT(Clean_Data[[#This Row],[Order_Date]],"mmm")</f>
        <v>Jun</v>
      </c>
      <c r="S949" t="str">
        <f>TEXT(Clean_Data[[#This Row],[Order_Date]],"mmm-yy")</f>
        <v>Jun-25</v>
      </c>
      <c r="V949"/>
    </row>
    <row r="950" spans="1:22" x14ac:dyDescent="0.25">
      <c r="A950" t="s">
        <v>1026</v>
      </c>
      <c r="B950" s="1">
        <v>46240</v>
      </c>
      <c r="C950" t="s">
        <v>31</v>
      </c>
      <c r="D950" t="s">
        <v>40</v>
      </c>
      <c r="E950" t="s">
        <v>20</v>
      </c>
      <c r="F950" t="s">
        <v>21</v>
      </c>
      <c r="G950">
        <v>17</v>
      </c>
      <c r="H950">
        <v>8500</v>
      </c>
      <c r="I950">
        <v>6120</v>
      </c>
      <c r="J950" t="s">
        <v>29</v>
      </c>
      <c r="K950" t="s">
        <v>17</v>
      </c>
      <c r="L950">
        <f>SUM(Clean_Data[[#This Row],[Units_Sold]]*Clean_Data[[#This Row],[Unit_Price]])</f>
        <v>144500</v>
      </c>
      <c r="M950">
        <f>Clean_Data[[#This Row],[Units_Sold]]*Clean_Data[[#This Row],[Cost_Price]]</f>
        <v>104040</v>
      </c>
      <c r="N950">
        <f>Clean_Data[[#This Row],[Total_Sales]]-Clean_Data[[#This Row],[Total_Cost]]</f>
        <v>40460</v>
      </c>
      <c r="O950" s="2">
        <f>Clean_Data[[#This Row],[Profit]]/Clean_Data[[#This Row],[Total_Sales]]</f>
        <v>0.28000000000000003</v>
      </c>
      <c r="P950" t="str">
        <f>_xlfn.XLOOKUP(Clean_Data[[#This Row],[Product_Code]],Product_Catalog!A:A,Product_Catalog!C:C)</f>
        <v>Accessories</v>
      </c>
      <c r="Q950">
        <f>IF(Clean_Data[[#This Row],[Order_Date]]="","",YEAR(Clean_Data[[#This Row],[Order_Date]]))</f>
        <v>2026</v>
      </c>
      <c r="R950" t="str">
        <f>TEXT(Clean_Data[[#This Row],[Order_Date]],"mmm")</f>
        <v>Aug</v>
      </c>
      <c r="S950" t="str">
        <f>TEXT(Clean_Data[[#This Row],[Order_Date]],"mmm-yy")</f>
        <v>Aug-26</v>
      </c>
      <c r="V950"/>
    </row>
    <row r="951" spans="1:22" x14ac:dyDescent="0.25">
      <c r="A951" t="s">
        <v>1027</v>
      </c>
      <c r="B951" s="1">
        <v>45938</v>
      </c>
      <c r="C951" t="s">
        <v>31</v>
      </c>
      <c r="D951" t="s">
        <v>33</v>
      </c>
      <c r="E951" t="s">
        <v>27</v>
      </c>
      <c r="F951" t="s">
        <v>28</v>
      </c>
      <c r="G951">
        <v>8</v>
      </c>
      <c r="H951">
        <v>14000</v>
      </c>
      <c r="I951">
        <v>9350</v>
      </c>
      <c r="J951" t="s">
        <v>29</v>
      </c>
      <c r="K951" t="s">
        <v>46</v>
      </c>
      <c r="L951">
        <f>SUM(Clean_Data[[#This Row],[Units_Sold]]*Clean_Data[[#This Row],[Unit_Price]])</f>
        <v>112000</v>
      </c>
      <c r="M951">
        <f>Clean_Data[[#This Row],[Units_Sold]]*Clean_Data[[#This Row],[Cost_Price]]</f>
        <v>74800</v>
      </c>
      <c r="N951">
        <f>Clean_Data[[#This Row],[Total_Sales]]-Clean_Data[[#This Row],[Total_Cost]]</f>
        <v>37200</v>
      </c>
      <c r="O951" s="2">
        <f>Clean_Data[[#This Row],[Profit]]/Clean_Data[[#This Row],[Total_Sales]]</f>
        <v>0.33214285714285713</v>
      </c>
      <c r="P951" t="str">
        <f>_xlfn.XLOOKUP(Clean_Data[[#This Row],[Product_Code]],Product_Catalog!A:A,Product_Catalog!C:C)</f>
        <v>Furniture</v>
      </c>
      <c r="Q951">
        <f>IF(Clean_Data[[#This Row],[Order_Date]]="","",YEAR(Clean_Data[[#This Row],[Order_Date]]))</f>
        <v>2025</v>
      </c>
      <c r="R951" t="str">
        <f>TEXT(Clean_Data[[#This Row],[Order_Date]],"mmm")</f>
        <v>Oct</v>
      </c>
      <c r="S951" t="str">
        <f>TEXT(Clean_Data[[#This Row],[Order_Date]],"mmm-yy")</f>
        <v>Oct-25</v>
      </c>
      <c r="V951"/>
    </row>
    <row r="952" spans="1:22" x14ac:dyDescent="0.25">
      <c r="A952" t="s">
        <v>1028</v>
      </c>
      <c r="B952" s="1">
        <v>45927</v>
      </c>
      <c r="C952" t="s">
        <v>25</v>
      </c>
      <c r="D952" t="s">
        <v>40</v>
      </c>
      <c r="E952" t="s">
        <v>20</v>
      </c>
      <c r="F952" t="s">
        <v>21</v>
      </c>
      <c r="G952">
        <v>16</v>
      </c>
      <c r="H952">
        <v>8500</v>
      </c>
      <c r="I952">
        <v>6239</v>
      </c>
      <c r="J952" t="s">
        <v>16</v>
      </c>
      <c r="K952" t="s">
        <v>23</v>
      </c>
      <c r="L952">
        <f>SUM(Clean_Data[[#This Row],[Units_Sold]]*Clean_Data[[#This Row],[Unit_Price]])</f>
        <v>136000</v>
      </c>
      <c r="M952">
        <f>Clean_Data[[#This Row],[Units_Sold]]*Clean_Data[[#This Row],[Cost_Price]]</f>
        <v>99824</v>
      </c>
      <c r="N952">
        <f>Clean_Data[[#This Row],[Total_Sales]]-Clean_Data[[#This Row],[Total_Cost]]</f>
        <v>36176</v>
      </c>
      <c r="O952" s="2">
        <f>Clean_Data[[#This Row],[Profit]]/Clean_Data[[#This Row],[Total_Sales]]</f>
        <v>0.26600000000000001</v>
      </c>
      <c r="P952" t="str">
        <f>_xlfn.XLOOKUP(Clean_Data[[#This Row],[Product_Code]],Product_Catalog!A:A,Product_Catalog!C:C)</f>
        <v>Accessories</v>
      </c>
      <c r="Q952">
        <f>IF(Clean_Data[[#This Row],[Order_Date]]="","",YEAR(Clean_Data[[#This Row],[Order_Date]]))</f>
        <v>2025</v>
      </c>
      <c r="R952" t="str">
        <f>TEXT(Clean_Data[[#This Row],[Order_Date]],"mmm")</f>
        <v>Sep</v>
      </c>
      <c r="S952" t="str">
        <f>TEXT(Clean_Data[[#This Row],[Order_Date]],"mmm-yy")</f>
        <v>Sep-25</v>
      </c>
      <c r="V952"/>
    </row>
    <row r="953" spans="1:22" x14ac:dyDescent="0.25">
      <c r="A953" t="s">
        <v>1029</v>
      </c>
      <c r="B953" s="1">
        <v>45834</v>
      </c>
      <c r="C953" t="s">
        <v>73</v>
      </c>
      <c r="D953" t="s">
        <v>36</v>
      </c>
      <c r="E953" t="s">
        <v>49</v>
      </c>
      <c r="F953" t="s">
        <v>50</v>
      </c>
      <c r="G953">
        <v>2</v>
      </c>
      <c r="H953">
        <v>75000</v>
      </c>
      <c r="I953">
        <v>45480</v>
      </c>
      <c r="J953" t="s">
        <v>29</v>
      </c>
      <c r="K953" t="s">
        <v>46</v>
      </c>
      <c r="L953">
        <f>SUM(Clean_Data[[#This Row],[Units_Sold]]*Clean_Data[[#This Row],[Unit_Price]])</f>
        <v>150000</v>
      </c>
      <c r="M953">
        <f>Clean_Data[[#This Row],[Units_Sold]]*Clean_Data[[#This Row],[Cost_Price]]</f>
        <v>90960</v>
      </c>
      <c r="N953">
        <f>Clean_Data[[#This Row],[Total_Sales]]-Clean_Data[[#This Row],[Total_Cost]]</f>
        <v>59040</v>
      </c>
      <c r="O953" s="2">
        <f>Clean_Data[[#This Row],[Profit]]/Clean_Data[[#This Row],[Total_Sales]]</f>
        <v>0.39360000000000001</v>
      </c>
      <c r="P953" t="str">
        <f>_xlfn.XLOOKUP(Clean_Data[[#This Row],[Product_Code]],Product_Catalog!A:A,Product_Catalog!C:C)</f>
        <v>Electronics</v>
      </c>
      <c r="Q953">
        <f>IF(Clean_Data[[#This Row],[Order_Date]]="","",YEAR(Clean_Data[[#This Row],[Order_Date]]))</f>
        <v>2025</v>
      </c>
      <c r="R953" t="str">
        <f>TEXT(Clean_Data[[#This Row],[Order_Date]],"mmm")</f>
        <v>Jun</v>
      </c>
      <c r="S953" t="str">
        <f>TEXT(Clean_Data[[#This Row],[Order_Date]],"mmm-yy")</f>
        <v>Jun-25</v>
      </c>
      <c r="V953"/>
    </row>
    <row r="954" spans="1:22" x14ac:dyDescent="0.25">
      <c r="A954" t="s">
        <v>1030</v>
      </c>
      <c r="B954" s="1">
        <v>46177</v>
      </c>
      <c r="C954" t="s">
        <v>62</v>
      </c>
      <c r="D954" t="s">
        <v>13</v>
      </c>
      <c r="E954" t="s">
        <v>41</v>
      </c>
      <c r="F954" t="s">
        <v>42</v>
      </c>
      <c r="G954">
        <v>4</v>
      </c>
      <c r="H954">
        <v>28000</v>
      </c>
      <c r="I954">
        <v>21254</v>
      </c>
      <c r="J954" t="s">
        <v>22</v>
      </c>
      <c r="K954" t="s">
        <v>46</v>
      </c>
      <c r="L954">
        <f>SUM(Clean_Data[[#This Row],[Units_Sold]]*Clean_Data[[#This Row],[Unit_Price]])</f>
        <v>112000</v>
      </c>
      <c r="M954">
        <f>Clean_Data[[#This Row],[Units_Sold]]*Clean_Data[[#This Row],[Cost_Price]]</f>
        <v>85016</v>
      </c>
      <c r="N954">
        <f>Clean_Data[[#This Row],[Total_Sales]]-Clean_Data[[#This Row],[Total_Cost]]</f>
        <v>26984</v>
      </c>
      <c r="O954" s="2">
        <f>Clean_Data[[#This Row],[Profit]]/Clean_Data[[#This Row],[Total_Sales]]</f>
        <v>0.24092857142857144</v>
      </c>
      <c r="P954" t="str">
        <f>_xlfn.XLOOKUP(Clean_Data[[#This Row],[Product_Code]],Product_Catalog!A:A,Product_Catalog!C:C)</f>
        <v>Electronics</v>
      </c>
      <c r="Q954">
        <f>IF(Clean_Data[[#This Row],[Order_Date]]="","",YEAR(Clean_Data[[#This Row],[Order_Date]]))</f>
        <v>2026</v>
      </c>
      <c r="R954" t="str">
        <f>TEXT(Clean_Data[[#This Row],[Order_Date]],"mmm")</f>
        <v>Jun</v>
      </c>
      <c r="S954" t="str">
        <f>TEXT(Clean_Data[[#This Row],[Order_Date]],"mmm-yy")</f>
        <v>Jun-26</v>
      </c>
      <c r="V954"/>
    </row>
    <row r="955" spans="1:22" x14ac:dyDescent="0.25">
      <c r="A955" t="s">
        <v>1031</v>
      </c>
      <c r="B955" s="1">
        <v>45999</v>
      </c>
      <c r="C955" t="s">
        <v>62</v>
      </c>
      <c r="D955" t="s">
        <v>36</v>
      </c>
      <c r="E955" t="s">
        <v>49</v>
      </c>
      <c r="F955" t="s">
        <v>50</v>
      </c>
      <c r="G955">
        <v>5</v>
      </c>
      <c r="H955">
        <v>75000</v>
      </c>
      <c r="I955">
        <v>48594</v>
      </c>
      <c r="J955" t="s">
        <v>45</v>
      </c>
      <c r="K955" t="s">
        <v>17</v>
      </c>
      <c r="L955">
        <f>SUM(Clean_Data[[#This Row],[Units_Sold]]*Clean_Data[[#This Row],[Unit_Price]])</f>
        <v>375000</v>
      </c>
      <c r="M955">
        <f>Clean_Data[[#This Row],[Units_Sold]]*Clean_Data[[#This Row],[Cost_Price]]</f>
        <v>242970</v>
      </c>
      <c r="N955">
        <f>Clean_Data[[#This Row],[Total_Sales]]-Clean_Data[[#This Row],[Total_Cost]]</f>
        <v>132030</v>
      </c>
      <c r="O955" s="2">
        <f>Clean_Data[[#This Row],[Profit]]/Clean_Data[[#This Row],[Total_Sales]]</f>
        <v>0.35208</v>
      </c>
      <c r="P955" t="str">
        <f>_xlfn.XLOOKUP(Clean_Data[[#This Row],[Product_Code]],Product_Catalog!A:A,Product_Catalog!C:C)</f>
        <v>Electronics</v>
      </c>
      <c r="Q955">
        <f>IF(Clean_Data[[#This Row],[Order_Date]]="","",YEAR(Clean_Data[[#This Row],[Order_Date]]))</f>
        <v>2025</v>
      </c>
      <c r="R955" t="str">
        <f>TEXT(Clean_Data[[#This Row],[Order_Date]],"mmm")</f>
        <v>Dec</v>
      </c>
      <c r="S955" t="str">
        <f>TEXT(Clean_Data[[#This Row],[Order_Date]],"mmm-yy")</f>
        <v>Dec-25</v>
      </c>
      <c r="V955"/>
    </row>
    <row r="956" spans="1:22" x14ac:dyDescent="0.25">
      <c r="A956" t="s">
        <v>1032</v>
      </c>
      <c r="B956" s="1">
        <v>45956</v>
      </c>
      <c r="C956" t="s">
        <v>31</v>
      </c>
      <c r="D956" t="s">
        <v>26</v>
      </c>
      <c r="E956" t="s">
        <v>14</v>
      </c>
      <c r="F956" t="s">
        <v>15</v>
      </c>
      <c r="G956">
        <v>14</v>
      </c>
      <c r="H956">
        <v>12500</v>
      </c>
      <c r="I956">
        <v>7957</v>
      </c>
      <c r="J956" t="s">
        <v>29</v>
      </c>
      <c r="K956" t="s">
        <v>46</v>
      </c>
      <c r="L956">
        <f>SUM(Clean_Data[[#This Row],[Units_Sold]]*Clean_Data[[#This Row],[Unit_Price]])</f>
        <v>175000</v>
      </c>
      <c r="M956">
        <f>Clean_Data[[#This Row],[Units_Sold]]*Clean_Data[[#This Row],[Cost_Price]]</f>
        <v>111398</v>
      </c>
      <c r="N956">
        <f>Clean_Data[[#This Row],[Total_Sales]]-Clean_Data[[#This Row],[Total_Cost]]</f>
        <v>63602</v>
      </c>
      <c r="O956" s="2">
        <f>Clean_Data[[#This Row],[Profit]]/Clean_Data[[#This Row],[Total_Sales]]</f>
        <v>0.36343999999999999</v>
      </c>
      <c r="P956" t="str">
        <f>_xlfn.XLOOKUP(Clean_Data[[#This Row],[Product_Code]],Product_Catalog!A:A,Product_Catalog!C:C)</f>
        <v>Accessories</v>
      </c>
      <c r="Q956">
        <f>IF(Clean_Data[[#This Row],[Order_Date]]="","",YEAR(Clean_Data[[#This Row],[Order_Date]]))</f>
        <v>2025</v>
      </c>
      <c r="R956" t="str">
        <f>TEXT(Clean_Data[[#This Row],[Order_Date]],"mmm")</f>
        <v>Oct</v>
      </c>
      <c r="S956" t="str">
        <f>TEXT(Clean_Data[[#This Row],[Order_Date]],"mmm-yy")</f>
        <v>Oct-25</v>
      </c>
      <c r="V956"/>
    </row>
    <row r="957" spans="1:22" x14ac:dyDescent="0.25">
      <c r="A957" t="s">
        <v>1033</v>
      </c>
      <c r="B957" s="1">
        <v>45925</v>
      </c>
      <c r="C957" t="s">
        <v>73</v>
      </c>
      <c r="D957" t="s">
        <v>33</v>
      </c>
      <c r="E957" t="s">
        <v>49</v>
      </c>
      <c r="F957" t="s">
        <v>50</v>
      </c>
      <c r="G957">
        <v>5</v>
      </c>
      <c r="H957">
        <v>75000</v>
      </c>
      <c r="I957">
        <v>55585</v>
      </c>
      <c r="J957" t="s">
        <v>29</v>
      </c>
      <c r="K957" t="s">
        <v>17</v>
      </c>
      <c r="L957">
        <f>SUM(Clean_Data[[#This Row],[Units_Sold]]*Clean_Data[[#This Row],[Unit_Price]])</f>
        <v>375000</v>
      </c>
      <c r="M957">
        <f>Clean_Data[[#This Row],[Units_Sold]]*Clean_Data[[#This Row],[Cost_Price]]</f>
        <v>277925</v>
      </c>
      <c r="N957">
        <f>Clean_Data[[#This Row],[Total_Sales]]-Clean_Data[[#This Row],[Total_Cost]]</f>
        <v>97075</v>
      </c>
      <c r="O957" s="2">
        <f>Clean_Data[[#This Row],[Profit]]/Clean_Data[[#This Row],[Total_Sales]]</f>
        <v>0.25886666666666669</v>
      </c>
      <c r="P957" t="str">
        <f>_xlfn.XLOOKUP(Clean_Data[[#This Row],[Product_Code]],Product_Catalog!A:A,Product_Catalog!C:C)</f>
        <v>Electronics</v>
      </c>
      <c r="Q957">
        <f>IF(Clean_Data[[#This Row],[Order_Date]]="","",YEAR(Clean_Data[[#This Row],[Order_Date]]))</f>
        <v>2025</v>
      </c>
      <c r="R957" t="str">
        <f>TEXT(Clean_Data[[#This Row],[Order_Date]],"mmm")</f>
        <v>Sep</v>
      </c>
      <c r="S957" t="str">
        <f>TEXT(Clean_Data[[#This Row],[Order_Date]],"mmm-yy")</f>
        <v>Sep-25</v>
      </c>
      <c r="V957"/>
    </row>
    <row r="958" spans="1:22" x14ac:dyDescent="0.25">
      <c r="A958" t="s">
        <v>1034</v>
      </c>
      <c r="B958" s="1">
        <v>46082</v>
      </c>
      <c r="C958" t="s">
        <v>48</v>
      </c>
      <c r="D958" t="s">
        <v>26</v>
      </c>
      <c r="E958" t="s">
        <v>20</v>
      </c>
      <c r="F958" t="s">
        <v>21</v>
      </c>
      <c r="G958">
        <v>14</v>
      </c>
      <c r="H958">
        <v>8500</v>
      </c>
      <c r="I958">
        <v>5257</v>
      </c>
      <c r="J958" t="s">
        <v>22</v>
      </c>
      <c r="K958" t="s">
        <v>17</v>
      </c>
      <c r="L958">
        <f>SUM(Clean_Data[[#This Row],[Units_Sold]]*Clean_Data[[#This Row],[Unit_Price]])</f>
        <v>119000</v>
      </c>
      <c r="M958">
        <f>Clean_Data[[#This Row],[Units_Sold]]*Clean_Data[[#This Row],[Cost_Price]]</f>
        <v>73598</v>
      </c>
      <c r="N958">
        <f>Clean_Data[[#This Row],[Total_Sales]]-Clean_Data[[#This Row],[Total_Cost]]</f>
        <v>45402</v>
      </c>
      <c r="O958" s="2">
        <f>Clean_Data[[#This Row],[Profit]]/Clean_Data[[#This Row],[Total_Sales]]</f>
        <v>0.38152941176470589</v>
      </c>
      <c r="P958" t="str">
        <f>_xlfn.XLOOKUP(Clean_Data[[#This Row],[Product_Code]],Product_Catalog!A:A,Product_Catalog!C:C)</f>
        <v>Accessories</v>
      </c>
      <c r="Q958">
        <f>IF(Clean_Data[[#This Row],[Order_Date]]="","",YEAR(Clean_Data[[#This Row],[Order_Date]]))</f>
        <v>2026</v>
      </c>
      <c r="R958" t="str">
        <f>TEXT(Clean_Data[[#This Row],[Order_Date]],"mmm")</f>
        <v>Mar</v>
      </c>
      <c r="S958" t="str">
        <f>TEXT(Clean_Data[[#This Row],[Order_Date]],"mmm-yy")</f>
        <v>Mar-26</v>
      </c>
      <c r="V958"/>
    </row>
    <row r="959" spans="1:22" x14ac:dyDescent="0.25">
      <c r="A959" t="s">
        <v>1035</v>
      </c>
      <c r="B959" s="1">
        <v>46151</v>
      </c>
      <c r="C959" t="s">
        <v>73</v>
      </c>
      <c r="D959" t="s">
        <v>13</v>
      </c>
      <c r="E959" t="s">
        <v>20</v>
      </c>
      <c r="F959" t="s">
        <v>21</v>
      </c>
      <c r="G959">
        <v>17</v>
      </c>
      <c r="H959">
        <v>8500</v>
      </c>
      <c r="I959">
        <v>6691</v>
      </c>
      <c r="J959" t="s">
        <v>45</v>
      </c>
      <c r="K959" t="s">
        <v>23</v>
      </c>
      <c r="L959">
        <f>SUM(Clean_Data[[#This Row],[Units_Sold]]*Clean_Data[[#This Row],[Unit_Price]])</f>
        <v>144500</v>
      </c>
      <c r="M959">
        <f>Clean_Data[[#This Row],[Units_Sold]]*Clean_Data[[#This Row],[Cost_Price]]</f>
        <v>113747</v>
      </c>
      <c r="N959">
        <f>Clean_Data[[#This Row],[Total_Sales]]-Clean_Data[[#This Row],[Total_Cost]]</f>
        <v>30753</v>
      </c>
      <c r="O959" s="2">
        <f>Clean_Data[[#This Row],[Profit]]/Clean_Data[[#This Row],[Total_Sales]]</f>
        <v>0.21282352941176472</v>
      </c>
      <c r="P959" t="str">
        <f>_xlfn.XLOOKUP(Clean_Data[[#This Row],[Product_Code]],Product_Catalog!A:A,Product_Catalog!C:C)</f>
        <v>Accessories</v>
      </c>
      <c r="Q959">
        <f>IF(Clean_Data[[#This Row],[Order_Date]]="","",YEAR(Clean_Data[[#This Row],[Order_Date]]))</f>
        <v>2026</v>
      </c>
      <c r="R959" t="str">
        <f>TEXT(Clean_Data[[#This Row],[Order_Date]],"mmm")</f>
        <v>May</v>
      </c>
      <c r="S959" t="str">
        <f>TEXT(Clean_Data[[#This Row],[Order_Date]],"mmm-yy")</f>
        <v>May-26</v>
      </c>
      <c r="V959"/>
    </row>
    <row r="960" spans="1:22" x14ac:dyDescent="0.25">
      <c r="A960" t="s">
        <v>1036</v>
      </c>
      <c r="B960" s="1">
        <v>45987</v>
      </c>
      <c r="C960" t="s">
        <v>25</v>
      </c>
      <c r="D960" t="s">
        <v>13</v>
      </c>
      <c r="E960" t="s">
        <v>49</v>
      </c>
      <c r="F960" t="s">
        <v>50</v>
      </c>
      <c r="G960">
        <v>5</v>
      </c>
      <c r="H960">
        <v>75000</v>
      </c>
      <c r="I960">
        <v>45138</v>
      </c>
      <c r="J960" t="s">
        <v>22</v>
      </c>
      <c r="K960" t="s">
        <v>17</v>
      </c>
      <c r="L960">
        <f>SUM(Clean_Data[[#This Row],[Units_Sold]]*Clean_Data[[#This Row],[Unit_Price]])</f>
        <v>375000</v>
      </c>
      <c r="M960">
        <f>Clean_Data[[#This Row],[Units_Sold]]*Clean_Data[[#This Row],[Cost_Price]]</f>
        <v>225690</v>
      </c>
      <c r="N960">
        <f>Clean_Data[[#This Row],[Total_Sales]]-Clean_Data[[#This Row],[Total_Cost]]</f>
        <v>149310</v>
      </c>
      <c r="O960" s="2">
        <f>Clean_Data[[#This Row],[Profit]]/Clean_Data[[#This Row],[Total_Sales]]</f>
        <v>0.39816000000000001</v>
      </c>
      <c r="P960" t="str">
        <f>_xlfn.XLOOKUP(Clean_Data[[#This Row],[Product_Code]],Product_Catalog!A:A,Product_Catalog!C:C)</f>
        <v>Electronics</v>
      </c>
      <c r="Q960">
        <f>IF(Clean_Data[[#This Row],[Order_Date]]="","",YEAR(Clean_Data[[#This Row],[Order_Date]]))</f>
        <v>2025</v>
      </c>
      <c r="R960" t="str">
        <f>TEXT(Clean_Data[[#This Row],[Order_Date]],"mmm")</f>
        <v>Nov</v>
      </c>
      <c r="S960" t="str">
        <f>TEXT(Clean_Data[[#This Row],[Order_Date]],"mmm-yy")</f>
        <v>Nov-25</v>
      </c>
      <c r="V960"/>
    </row>
    <row r="961" spans="1:22" x14ac:dyDescent="0.25">
      <c r="A961" t="s">
        <v>1037</v>
      </c>
      <c r="B961" s="1">
        <v>46091</v>
      </c>
      <c r="C961" t="s">
        <v>62</v>
      </c>
      <c r="D961" t="s">
        <v>26</v>
      </c>
      <c r="E961" t="s">
        <v>27</v>
      </c>
      <c r="F961" t="s">
        <v>28</v>
      </c>
      <c r="G961">
        <v>7</v>
      </c>
      <c r="H961">
        <v>14000</v>
      </c>
      <c r="I961">
        <v>10921</v>
      </c>
      <c r="J961" t="s">
        <v>45</v>
      </c>
      <c r="K961" t="s">
        <v>17</v>
      </c>
      <c r="L961">
        <f>SUM(Clean_Data[[#This Row],[Units_Sold]]*Clean_Data[[#This Row],[Unit_Price]])</f>
        <v>98000</v>
      </c>
      <c r="M961">
        <f>Clean_Data[[#This Row],[Units_Sold]]*Clean_Data[[#This Row],[Cost_Price]]</f>
        <v>76447</v>
      </c>
      <c r="N961">
        <f>Clean_Data[[#This Row],[Total_Sales]]-Clean_Data[[#This Row],[Total_Cost]]</f>
        <v>21553</v>
      </c>
      <c r="O961" s="2">
        <f>Clean_Data[[#This Row],[Profit]]/Clean_Data[[#This Row],[Total_Sales]]</f>
        <v>0.21992857142857142</v>
      </c>
      <c r="P961" t="str">
        <f>_xlfn.XLOOKUP(Clean_Data[[#This Row],[Product_Code]],Product_Catalog!A:A,Product_Catalog!C:C)</f>
        <v>Furniture</v>
      </c>
      <c r="Q961">
        <f>IF(Clean_Data[[#This Row],[Order_Date]]="","",YEAR(Clean_Data[[#This Row],[Order_Date]]))</f>
        <v>2026</v>
      </c>
      <c r="R961" t="str">
        <f>TEXT(Clean_Data[[#This Row],[Order_Date]],"mmm")</f>
        <v>Mar</v>
      </c>
      <c r="S961" t="str">
        <f>TEXT(Clean_Data[[#This Row],[Order_Date]],"mmm-yy")</f>
        <v>Mar-26</v>
      </c>
      <c r="V961"/>
    </row>
    <row r="962" spans="1:22" x14ac:dyDescent="0.25">
      <c r="A962" t="s">
        <v>1038</v>
      </c>
      <c r="B962" s="1">
        <v>45986</v>
      </c>
      <c r="C962" t="s">
        <v>44</v>
      </c>
      <c r="D962" t="s">
        <v>26</v>
      </c>
      <c r="E962" t="s">
        <v>66</v>
      </c>
      <c r="F962" t="s">
        <v>67</v>
      </c>
      <c r="G962">
        <v>15</v>
      </c>
      <c r="H962">
        <v>2500</v>
      </c>
      <c r="I962">
        <v>1744</v>
      </c>
      <c r="J962" t="s">
        <v>22</v>
      </c>
      <c r="K962" t="s">
        <v>17</v>
      </c>
      <c r="L962">
        <f>SUM(Clean_Data[[#This Row],[Units_Sold]]*Clean_Data[[#This Row],[Unit_Price]])</f>
        <v>37500</v>
      </c>
      <c r="M962">
        <f>Clean_Data[[#This Row],[Units_Sold]]*Clean_Data[[#This Row],[Cost_Price]]</f>
        <v>26160</v>
      </c>
      <c r="N962">
        <f>Clean_Data[[#This Row],[Total_Sales]]-Clean_Data[[#This Row],[Total_Cost]]</f>
        <v>11340</v>
      </c>
      <c r="O962" s="2">
        <f>Clean_Data[[#This Row],[Profit]]/Clean_Data[[#This Row],[Total_Sales]]</f>
        <v>0.3024</v>
      </c>
      <c r="P962" t="str">
        <f>_xlfn.XLOOKUP(Clean_Data[[#This Row],[Product_Code]],Product_Catalog!A:A,Product_Catalog!C:C)</f>
        <v>Electronics</v>
      </c>
      <c r="Q962">
        <f>IF(Clean_Data[[#This Row],[Order_Date]]="","",YEAR(Clean_Data[[#This Row],[Order_Date]]))</f>
        <v>2025</v>
      </c>
      <c r="R962" t="str">
        <f>TEXT(Clean_Data[[#This Row],[Order_Date]],"mmm")</f>
        <v>Nov</v>
      </c>
      <c r="S962" t="str">
        <f>TEXT(Clean_Data[[#This Row],[Order_Date]],"mmm-yy")</f>
        <v>Nov-25</v>
      </c>
      <c r="V962"/>
    </row>
    <row r="963" spans="1:22" x14ac:dyDescent="0.25">
      <c r="A963" t="s">
        <v>1039</v>
      </c>
      <c r="B963" s="1">
        <v>45962</v>
      </c>
      <c r="C963" t="s">
        <v>31</v>
      </c>
      <c r="D963" t="s">
        <v>40</v>
      </c>
      <c r="E963" t="s">
        <v>20</v>
      </c>
      <c r="F963" t="s">
        <v>21</v>
      </c>
      <c r="G963">
        <v>11</v>
      </c>
      <c r="H963">
        <v>8500</v>
      </c>
      <c r="I963">
        <v>5538</v>
      </c>
      <c r="J963" t="s">
        <v>29</v>
      </c>
      <c r="K963" t="s">
        <v>46</v>
      </c>
      <c r="L963">
        <f>SUM(Clean_Data[[#This Row],[Units_Sold]]*Clean_Data[[#This Row],[Unit_Price]])</f>
        <v>93500</v>
      </c>
      <c r="M963">
        <f>Clean_Data[[#This Row],[Units_Sold]]*Clean_Data[[#This Row],[Cost_Price]]</f>
        <v>60918</v>
      </c>
      <c r="N963">
        <f>Clean_Data[[#This Row],[Total_Sales]]-Clean_Data[[#This Row],[Total_Cost]]</f>
        <v>32582</v>
      </c>
      <c r="O963" s="2">
        <f>Clean_Data[[#This Row],[Profit]]/Clean_Data[[#This Row],[Total_Sales]]</f>
        <v>0.34847058823529414</v>
      </c>
      <c r="P963" t="str">
        <f>_xlfn.XLOOKUP(Clean_Data[[#This Row],[Product_Code]],Product_Catalog!A:A,Product_Catalog!C:C)</f>
        <v>Accessories</v>
      </c>
      <c r="Q963">
        <f>IF(Clean_Data[[#This Row],[Order_Date]]="","",YEAR(Clean_Data[[#This Row],[Order_Date]]))</f>
        <v>2025</v>
      </c>
      <c r="R963" t="str">
        <f>TEXT(Clean_Data[[#This Row],[Order_Date]],"mmm")</f>
        <v>Nov</v>
      </c>
      <c r="S963" t="str">
        <f>TEXT(Clean_Data[[#This Row],[Order_Date]],"mmm-yy")</f>
        <v>Nov-25</v>
      </c>
      <c r="V963"/>
    </row>
    <row r="964" spans="1:22" x14ac:dyDescent="0.25">
      <c r="A964" t="s">
        <v>1040</v>
      </c>
      <c r="B964" s="1">
        <v>45694</v>
      </c>
      <c r="C964" t="s">
        <v>48</v>
      </c>
      <c r="D964" t="s">
        <v>13</v>
      </c>
      <c r="E964" t="s">
        <v>14</v>
      </c>
      <c r="F964" t="s">
        <v>15</v>
      </c>
      <c r="G964">
        <v>18</v>
      </c>
      <c r="H964">
        <v>12500</v>
      </c>
      <c r="I964">
        <v>7666</v>
      </c>
      <c r="J964" t="s">
        <v>29</v>
      </c>
      <c r="K964" t="s">
        <v>17</v>
      </c>
      <c r="L964">
        <f>SUM(Clean_Data[[#This Row],[Units_Sold]]*Clean_Data[[#This Row],[Unit_Price]])</f>
        <v>225000</v>
      </c>
      <c r="M964">
        <f>Clean_Data[[#This Row],[Units_Sold]]*Clean_Data[[#This Row],[Cost_Price]]</f>
        <v>137988</v>
      </c>
      <c r="N964">
        <f>Clean_Data[[#This Row],[Total_Sales]]-Clean_Data[[#This Row],[Total_Cost]]</f>
        <v>87012</v>
      </c>
      <c r="O964" s="2">
        <f>Clean_Data[[#This Row],[Profit]]/Clean_Data[[#This Row],[Total_Sales]]</f>
        <v>0.38672000000000001</v>
      </c>
      <c r="P964" t="str">
        <f>_xlfn.XLOOKUP(Clean_Data[[#This Row],[Product_Code]],Product_Catalog!A:A,Product_Catalog!C:C)</f>
        <v>Accessories</v>
      </c>
      <c r="Q964">
        <f>IF(Clean_Data[[#This Row],[Order_Date]]="","",YEAR(Clean_Data[[#This Row],[Order_Date]]))</f>
        <v>2025</v>
      </c>
      <c r="R964" t="str">
        <f>TEXT(Clean_Data[[#This Row],[Order_Date]],"mmm")</f>
        <v>Feb</v>
      </c>
      <c r="S964" t="str">
        <f>TEXT(Clean_Data[[#This Row],[Order_Date]],"mmm-yy")</f>
        <v>Feb-25</v>
      </c>
      <c r="V964"/>
    </row>
    <row r="965" spans="1:22" x14ac:dyDescent="0.25">
      <c r="A965" t="s">
        <v>1041</v>
      </c>
      <c r="B965" s="1">
        <v>45806</v>
      </c>
      <c r="C965" t="s">
        <v>48</v>
      </c>
      <c r="D965" t="s">
        <v>13</v>
      </c>
      <c r="E965" t="s">
        <v>49</v>
      </c>
      <c r="F965" t="s">
        <v>50</v>
      </c>
      <c r="G965">
        <v>11</v>
      </c>
      <c r="H965">
        <v>75000</v>
      </c>
      <c r="I965">
        <v>52334</v>
      </c>
      <c r="J965" t="s">
        <v>16</v>
      </c>
      <c r="K965" t="s">
        <v>46</v>
      </c>
      <c r="L965">
        <f>SUM(Clean_Data[[#This Row],[Units_Sold]]*Clean_Data[[#This Row],[Unit_Price]])</f>
        <v>825000</v>
      </c>
      <c r="M965">
        <f>Clean_Data[[#This Row],[Units_Sold]]*Clean_Data[[#This Row],[Cost_Price]]</f>
        <v>575674</v>
      </c>
      <c r="N965">
        <f>Clean_Data[[#This Row],[Total_Sales]]-Clean_Data[[#This Row],[Total_Cost]]</f>
        <v>249326</v>
      </c>
      <c r="O965" s="2">
        <f>Clean_Data[[#This Row],[Profit]]/Clean_Data[[#This Row],[Total_Sales]]</f>
        <v>0.30221333333333333</v>
      </c>
      <c r="P965" t="str">
        <f>_xlfn.XLOOKUP(Clean_Data[[#This Row],[Product_Code]],Product_Catalog!A:A,Product_Catalog!C:C)</f>
        <v>Electronics</v>
      </c>
      <c r="Q965">
        <f>IF(Clean_Data[[#This Row],[Order_Date]]="","",YEAR(Clean_Data[[#This Row],[Order_Date]]))</f>
        <v>2025</v>
      </c>
      <c r="R965" t="str">
        <f>TEXT(Clean_Data[[#This Row],[Order_Date]],"mmm")</f>
        <v>May</v>
      </c>
      <c r="S965" t="str">
        <f>TEXT(Clean_Data[[#This Row],[Order_Date]],"mmm-yy")</f>
        <v>May-25</v>
      </c>
      <c r="V965"/>
    </row>
    <row r="966" spans="1:22" x14ac:dyDescent="0.25">
      <c r="A966" t="s">
        <v>1042</v>
      </c>
      <c r="B966" s="1">
        <v>45863</v>
      </c>
      <c r="C966" t="s">
        <v>31</v>
      </c>
      <c r="D966" t="s">
        <v>36</v>
      </c>
      <c r="E966" t="s">
        <v>55</v>
      </c>
      <c r="F966" t="s">
        <v>34</v>
      </c>
      <c r="G966">
        <v>9</v>
      </c>
      <c r="H966">
        <v>35000</v>
      </c>
      <c r="I966">
        <v>23188</v>
      </c>
      <c r="J966" t="s">
        <v>29</v>
      </c>
      <c r="K966" t="s">
        <v>17</v>
      </c>
      <c r="L966">
        <f>SUM(Clean_Data[[#This Row],[Units_Sold]]*Clean_Data[[#This Row],[Unit_Price]])</f>
        <v>315000</v>
      </c>
      <c r="M966">
        <f>Clean_Data[[#This Row],[Units_Sold]]*Clean_Data[[#This Row],[Cost_Price]]</f>
        <v>208692</v>
      </c>
      <c r="N966">
        <f>Clean_Data[[#This Row],[Total_Sales]]-Clean_Data[[#This Row],[Total_Cost]]</f>
        <v>106308</v>
      </c>
      <c r="O966" s="2">
        <f>Clean_Data[[#This Row],[Profit]]/Clean_Data[[#This Row],[Total_Sales]]</f>
        <v>0.33748571428571428</v>
      </c>
      <c r="P966" t="str">
        <f>_xlfn.XLOOKUP(Clean_Data[[#This Row],[Product_Code]],Product_Catalog!A:A,Product_Catalog!C:C)</f>
        <v>Furniture</v>
      </c>
      <c r="Q966">
        <f>IF(Clean_Data[[#This Row],[Order_Date]]="","",YEAR(Clean_Data[[#This Row],[Order_Date]]))</f>
        <v>2025</v>
      </c>
      <c r="R966" t="str">
        <f>TEXT(Clean_Data[[#This Row],[Order_Date]],"mmm")</f>
        <v>Jul</v>
      </c>
      <c r="S966" t="str">
        <f>TEXT(Clean_Data[[#This Row],[Order_Date]],"mmm-yy")</f>
        <v>Jul-25</v>
      </c>
      <c r="V966"/>
    </row>
    <row r="967" spans="1:22" x14ac:dyDescent="0.25">
      <c r="A967" t="s">
        <v>1043</v>
      </c>
      <c r="B967" s="1">
        <v>45839</v>
      </c>
      <c r="C967" t="s">
        <v>44</v>
      </c>
      <c r="D967" t="s">
        <v>40</v>
      </c>
      <c r="E967" t="s">
        <v>49</v>
      </c>
      <c r="F967" t="s">
        <v>50</v>
      </c>
      <c r="G967">
        <v>10</v>
      </c>
      <c r="H967">
        <v>75000</v>
      </c>
      <c r="I967">
        <v>51332</v>
      </c>
      <c r="J967" t="s">
        <v>16</v>
      </c>
      <c r="K967" t="s">
        <v>23</v>
      </c>
      <c r="L967">
        <f>SUM(Clean_Data[[#This Row],[Units_Sold]]*Clean_Data[[#This Row],[Unit_Price]])</f>
        <v>750000</v>
      </c>
      <c r="M967">
        <f>Clean_Data[[#This Row],[Units_Sold]]*Clean_Data[[#This Row],[Cost_Price]]</f>
        <v>513320</v>
      </c>
      <c r="N967">
        <f>Clean_Data[[#This Row],[Total_Sales]]-Clean_Data[[#This Row],[Total_Cost]]</f>
        <v>236680</v>
      </c>
      <c r="O967" s="2">
        <f>Clean_Data[[#This Row],[Profit]]/Clean_Data[[#This Row],[Total_Sales]]</f>
        <v>0.31557333333333332</v>
      </c>
      <c r="P967" t="str">
        <f>_xlfn.XLOOKUP(Clean_Data[[#This Row],[Product_Code]],Product_Catalog!A:A,Product_Catalog!C:C)</f>
        <v>Electronics</v>
      </c>
      <c r="Q967">
        <f>IF(Clean_Data[[#This Row],[Order_Date]]="","",YEAR(Clean_Data[[#This Row],[Order_Date]]))</f>
        <v>2025</v>
      </c>
      <c r="R967" t="str">
        <f>TEXT(Clean_Data[[#This Row],[Order_Date]],"mmm")</f>
        <v>Jul</v>
      </c>
      <c r="S967" t="str">
        <f>TEXT(Clean_Data[[#This Row],[Order_Date]],"mmm-yy")</f>
        <v>Jul-25</v>
      </c>
      <c r="V967"/>
    </row>
    <row r="968" spans="1:22" x14ac:dyDescent="0.25">
      <c r="A968" t="s">
        <v>1044</v>
      </c>
      <c r="B968" s="1">
        <v>45996</v>
      </c>
      <c r="C968" t="s">
        <v>25</v>
      </c>
      <c r="D968" t="s">
        <v>13</v>
      </c>
      <c r="E968" t="s">
        <v>49</v>
      </c>
      <c r="F968" t="s">
        <v>50</v>
      </c>
      <c r="G968">
        <v>5</v>
      </c>
      <c r="H968">
        <v>75000</v>
      </c>
      <c r="I968">
        <v>53952</v>
      </c>
      <c r="J968" t="s">
        <v>16</v>
      </c>
      <c r="K968" t="s">
        <v>46</v>
      </c>
      <c r="L968">
        <f>SUM(Clean_Data[[#This Row],[Units_Sold]]*Clean_Data[[#This Row],[Unit_Price]])</f>
        <v>375000</v>
      </c>
      <c r="M968">
        <f>Clean_Data[[#This Row],[Units_Sold]]*Clean_Data[[#This Row],[Cost_Price]]</f>
        <v>269760</v>
      </c>
      <c r="N968">
        <f>Clean_Data[[#This Row],[Total_Sales]]-Clean_Data[[#This Row],[Total_Cost]]</f>
        <v>105240</v>
      </c>
      <c r="O968" s="2">
        <f>Clean_Data[[#This Row],[Profit]]/Clean_Data[[#This Row],[Total_Sales]]</f>
        <v>0.28064</v>
      </c>
      <c r="P968" t="str">
        <f>_xlfn.XLOOKUP(Clean_Data[[#This Row],[Product_Code]],Product_Catalog!A:A,Product_Catalog!C:C)</f>
        <v>Electronics</v>
      </c>
      <c r="Q968">
        <f>IF(Clean_Data[[#This Row],[Order_Date]]="","",YEAR(Clean_Data[[#This Row],[Order_Date]]))</f>
        <v>2025</v>
      </c>
      <c r="R968" t="str">
        <f>TEXT(Clean_Data[[#This Row],[Order_Date]],"mmm")</f>
        <v>Dec</v>
      </c>
      <c r="S968" t="str">
        <f>TEXT(Clean_Data[[#This Row],[Order_Date]],"mmm-yy")</f>
        <v>Dec-25</v>
      </c>
      <c r="V968"/>
    </row>
    <row r="969" spans="1:22" x14ac:dyDescent="0.25">
      <c r="A969" t="s">
        <v>1045</v>
      </c>
      <c r="B969" s="1">
        <v>45840</v>
      </c>
      <c r="C969" t="s">
        <v>73</v>
      </c>
      <c r="D969" t="s">
        <v>40</v>
      </c>
      <c r="E969" t="s">
        <v>14</v>
      </c>
      <c r="F969" t="s">
        <v>15</v>
      </c>
      <c r="G969">
        <v>2</v>
      </c>
      <c r="H969">
        <v>12500</v>
      </c>
      <c r="I969">
        <v>9736</v>
      </c>
      <c r="J969" t="s">
        <v>29</v>
      </c>
      <c r="K969" t="s">
        <v>23</v>
      </c>
      <c r="L969">
        <f>SUM(Clean_Data[[#This Row],[Units_Sold]]*Clean_Data[[#This Row],[Unit_Price]])</f>
        <v>25000</v>
      </c>
      <c r="M969">
        <f>Clean_Data[[#This Row],[Units_Sold]]*Clean_Data[[#This Row],[Cost_Price]]</f>
        <v>19472</v>
      </c>
      <c r="N969">
        <f>Clean_Data[[#This Row],[Total_Sales]]-Clean_Data[[#This Row],[Total_Cost]]</f>
        <v>5528</v>
      </c>
      <c r="O969" s="2">
        <f>Clean_Data[[#This Row],[Profit]]/Clean_Data[[#This Row],[Total_Sales]]</f>
        <v>0.22112000000000001</v>
      </c>
      <c r="P969" t="str">
        <f>_xlfn.XLOOKUP(Clean_Data[[#This Row],[Product_Code]],Product_Catalog!A:A,Product_Catalog!C:C)</f>
        <v>Accessories</v>
      </c>
      <c r="Q969">
        <f>IF(Clean_Data[[#This Row],[Order_Date]]="","",YEAR(Clean_Data[[#This Row],[Order_Date]]))</f>
        <v>2025</v>
      </c>
      <c r="R969" t="str">
        <f>TEXT(Clean_Data[[#This Row],[Order_Date]],"mmm")</f>
        <v>Jul</v>
      </c>
      <c r="S969" t="str">
        <f>TEXT(Clean_Data[[#This Row],[Order_Date]],"mmm-yy")</f>
        <v>Jul-25</v>
      </c>
      <c r="V969"/>
    </row>
    <row r="970" spans="1:22" x14ac:dyDescent="0.25">
      <c r="A970" t="s">
        <v>1046</v>
      </c>
      <c r="B970" s="1">
        <v>46104</v>
      </c>
      <c r="C970" t="s">
        <v>48</v>
      </c>
      <c r="D970" t="s">
        <v>33</v>
      </c>
      <c r="E970" t="s">
        <v>27</v>
      </c>
      <c r="F970" t="s">
        <v>28</v>
      </c>
      <c r="G970">
        <v>7</v>
      </c>
      <c r="H970">
        <v>14000</v>
      </c>
      <c r="I970">
        <v>8833</v>
      </c>
      <c r="J970" t="s">
        <v>22</v>
      </c>
      <c r="K970" t="s">
        <v>17</v>
      </c>
      <c r="L970">
        <f>SUM(Clean_Data[[#This Row],[Units_Sold]]*Clean_Data[[#This Row],[Unit_Price]])</f>
        <v>98000</v>
      </c>
      <c r="M970">
        <f>Clean_Data[[#This Row],[Units_Sold]]*Clean_Data[[#This Row],[Cost_Price]]</f>
        <v>61831</v>
      </c>
      <c r="N970">
        <f>Clean_Data[[#This Row],[Total_Sales]]-Clean_Data[[#This Row],[Total_Cost]]</f>
        <v>36169</v>
      </c>
      <c r="O970" s="2">
        <f>Clean_Data[[#This Row],[Profit]]/Clean_Data[[#This Row],[Total_Sales]]</f>
        <v>0.36907142857142855</v>
      </c>
      <c r="P970" t="str">
        <f>_xlfn.XLOOKUP(Clean_Data[[#This Row],[Product_Code]],Product_Catalog!A:A,Product_Catalog!C:C)</f>
        <v>Furniture</v>
      </c>
      <c r="Q970">
        <f>IF(Clean_Data[[#This Row],[Order_Date]]="","",YEAR(Clean_Data[[#This Row],[Order_Date]]))</f>
        <v>2026</v>
      </c>
      <c r="R970" t="str">
        <f>TEXT(Clean_Data[[#This Row],[Order_Date]],"mmm")</f>
        <v>Mar</v>
      </c>
      <c r="S970" t="str">
        <f>TEXT(Clean_Data[[#This Row],[Order_Date]],"mmm-yy")</f>
        <v>Mar-26</v>
      </c>
      <c r="V970"/>
    </row>
    <row r="971" spans="1:22" x14ac:dyDescent="0.25">
      <c r="A971" t="s">
        <v>1047</v>
      </c>
      <c r="B971" s="1">
        <v>45727</v>
      </c>
      <c r="C971" t="s">
        <v>12</v>
      </c>
      <c r="D971" t="s">
        <v>33</v>
      </c>
      <c r="E971" t="s">
        <v>27</v>
      </c>
      <c r="F971" t="s">
        <v>28</v>
      </c>
      <c r="G971">
        <v>17</v>
      </c>
      <c r="H971">
        <v>14000</v>
      </c>
      <c r="I971">
        <v>10302</v>
      </c>
      <c r="J971" t="s">
        <v>22</v>
      </c>
      <c r="K971" t="s">
        <v>17</v>
      </c>
      <c r="L971">
        <f>SUM(Clean_Data[[#This Row],[Units_Sold]]*Clean_Data[[#This Row],[Unit_Price]])</f>
        <v>238000</v>
      </c>
      <c r="M971">
        <f>Clean_Data[[#This Row],[Units_Sold]]*Clean_Data[[#This Row],[Cost_Price]]</f>
        <v>175134</v>
      </c>
      <c r="N971">
        <f>Clean_Data[[#This Row],[Total_Sales]]-Clean_Data[[#This Row],[Total_Cost]]</f>
        <v>62866</v>
      </c>
      <c r="O971" s="2">
        <f>Clean_Data[[#This Row],[Profit]]/Clean_Data[[#This Row],[Total_Sales]]</f>
        <v>0.26414285714285712</v>
      </c>
      <c r="P971" t="str">
        <f>_xlfn.XLOOKUP(Clean_Data[[#This Row],[Product_Code]],Product_Catalog!A:A,Product_Catalog!C:C)</f>
        <v>Furniture</v>
      </c>
      <c r="Q971">
        <f>IF(Clean_Data[[#This Row],[Order_Date]]="","",YEAR(Clean_Data[[#This Row],[Order_Date]]))</f>
        <v>2025</v>
      </c>
      <c r="R971" t="str">
        <f>TEXT(Clean_Data[[#This Row],[Order_Date]],"mmm")</f>
        <v>Mar</v>
      </c>
      <c r="S971" t="str">
        <f>TEXT(Clean_Data[[#This Row],[Order_Date]],"mmm-yy")</f>
        <v>Mar-25</v>
      </c>
      <c r="V971"/>
    </row>
    <row r="972" spans="1:22" x14ac:dyDescent="0.25">
      <c r="A972" t="s">
        <v>1048</v>
      </c>
      <c r="B972" s="1">
        <v>45914</v>
      </c>
      <c r="C972" t="s">
        <v>53</v>
      </c>
      <c r="D972" t="s">
        <v>36</v>
      </c>
      <c r="E972" t="s">
        <v>63</v>
      </c>
      <c r="F972" t="s">
        <v>59</v>
      </c>
      <c r="G972">
        <v>12</v>
      </c>
      <c r="H972">
        <v>4500</v>
      </c>
      <c r="I972">
        <v>3505</v>
      </c>
      <c r="J972" t="s">
        <v>22</v>
      </c>
      <c r="K972" t="s">
        <v>23</v>
      </c>
      <c r="L972">
        <f>SUM(Clean_Data[[#This Row],[Units_Sold]]*Clean_Data[[#This Row],[Unit_Price]])</f>
        <v>54000</v>
      </c>
      <c r="M972">
        <f>Clean_Data[[#This Row],[Units_Sold]]*Clean_Data[[#This Row],[Cost_Price]]</f>
        <v>42060</v>
      </c>
      <c r="N972">
        <f>Clean_Data[[#This Row],[Total_Sales]]-Clean_Data[[#This Row],[Total_Cost]]</f>
        <v>11940</v>
      </c>
      <c r="O972" s="2">
        <f>Clean_Data[[#This Row],[Profit]]/Clean_Data[[#This Row],[Total_Sales]]</f>
        <v>0.22111111111111112</v>
      </c>
      <c r="P972" t="str">
        <f>_xlfn.XLOOKUP(Clean_Data[[#This Row],[Product_Code]],Product_Catalog!A:A,Product_Catalog!C:C)</f>
        <v>Electronics</v>
      </c>
      <c r="Q972">
        <f>IF(Clean_Data[[#This Row],[Order_Date]]="","",YEAR(Clean_Data[[#This Row],[Order_Date]]))</f>
        <v>2025</v>
      </c>
      <c r="R972" t="str">
        <f>TEXT(Clean_Data[[#This Row],[Order_Date]],"mmm")</f>
        <v>Sep</v>
      </c>
      <c r="S972" t="str">
        <f>TEXT(Clean_Data[[#This Row],[Order_Date]],"mmm-yy")</f>
        <v>Sep-25</v>
      </c>
      <c r="V972"/>
    </row>
    <row r="973" spans="1:22" x14ac:dyDescent="0.25">
      <c r="A973" t="s">
        <v>1049</v>
      </c>
      <c r="B973" s="1">
        <v>46013</v>
      </c>
      <c r="C973" t="s">
        <v>25</v>
      </c>
      <c r="D973" t="s">
        <v>26</v>
      </c>
      <c r="E973" t="s">
        <v>66</v>
      </c>
      <c r="F973" t="s">
        <v>67</v>
      </c>
      <c r="G973">
        <v>7</v>
      </c>
      <c r="H973">
        <v>2500</v>
      </c>
      <c r="I973">
        <v>1515</v>
      </c>
      <c r="J973" t="s">
        <v>45</v>
      </c>
      <c r="K973" t="s">
        <v>17</v>
      </c>
      <c r="L973">
        <f>SUM(Clean_Data[[#This Row],[Units_Sold]]*Clean_Data[[#This Row],[Unit_Price]])</f>
        <v>17500</v>
      </c>
      <c r="M973">
        <f>Clean_Data[[#This Row],[Units_Sold]]*Clean_Data[[#This Row],[Cost_Price]]</f>
        <v>10605</v>
      </c>
      <c r="N973">
        <f>Clean_Data[[#This Row],[Total_Sales]]-Clean_Data[[#This Row],[Total_Cost]]</f>
        <v>6895</v>
      </c>
      <c r="O973" s="2">
        <f>Clean_Data[[#This Row],[Profit]]/Clean_Data[[#This Row],[Total_Sales]]</f>
        <v>0.39400000000000002</v>
      </c>
      <c r="P973" t="str">
        <f>_xlfn.XLOOKUP(Clean_Data[[#This Row],[Product_Code]],Product_Catalog!A:A,Product_Catalog!C:C)</f>
        <v>Electronics</v>
      </c>
      <c r="Q973">
        <f>IF(Clean_Data[[#This Row],[Order_Date]]="","",YEAR(Clean_Data[[#This Row],[Order_Date]]))</f>
        <v>2025</v>
      </c>
      <c r="R973" t="str">
        <f>TEXT(Clean_Data[[#This Row],[Order_Date]],"mmm")</f>
        <v>Dec</v>
      </c>
      <c r="S973" t="str">
        <f>TEXT(Clean_Data[[#This Row],[Order_Date]],"mmm-yy")</f>
        <v>Dec-25</v>
      </c>
      <c r="V973"/>
    </row>
    <row r="974" spans="1:22" x14ac:dyDescent="0.25">
      <c r="A974" t="s">
        <v>1050</v>
      </c>
      <c r="B974" s="1">
        <v>45951</v>
      </c>
      <c r="C974" t="s">
        <v>48</v>
      </c>
      <c r="D974" t="s">
        <v>13</v>
      </c>
      <c r="E974" t="s">
        <v>41</v>
      </c>
      <c r="F974" t="s">
        <v>42</v>
      </c>
      <c r="G974">
        <v>9</v>
      </c>
      <c r="H974">
        <v>28000</v>
      </c>
      <c r="I974">
        <v>19243</v>
      </c>
      <c r="J974" t="s">
        <v>22</v>
      </c>
      <c r="K974" t="s">
        <v>46</v>
      </c>
      <c r="L974">
        <f>SUM(Clean_Data[[#This Row],[Units_Sold]]*Clean_Data[[#This Row],[Unit_Price]])</f>
        <v>252000</v>
      </c>
      <c r="M974">
        <f>Clean_Data[[#This Row],[Units_Sold]]*Clean_Data[[#This Row],[Cost_Price]]</f>
        <v>173187</v>
      </c>
      <c r="N974">
        <f>Clean_Data[[#This Row],[Total_Sales]]-Clean_Data[[#This Row],[Total_Cost]]</f>
        <v>78813</v>
      </c>
      <c r="O974" s="2">
        <f>Clean_Data[[#This Row],[Profit]]/Clean_Data[[#This Row],[Total_Sales]]</f>
        <v>0.31274999999999997</v>
      </c>
      <c r="P974" t="str">
        <f>_xlfn.XLOOKUP(Clean_Data[[#This Row],[Product_Code]],Product_Catalog!A:A,Product_Catalog!C:C)</f>
        <v>Electronics</v>
      </c>
      <c r="Q974">
        <f>IF(Clean_Data[[#This Row],[Order_Date]]="","",YEAR(Clean_Data[[#This Row],[Order_Date]]))</f>
        <v>2025</v>
      </c>
      <c r="R974" t="str">
        <f>TEXT(Clean_Data[[#This Row],[Order_Date]],"mmm")</f>
        <v>Oct</v>
      </c>
      <c r="S974" t="str">
        <f>TEXT(Clean_Data[[#This Row],[Order_Date]],"mmm-yy")</f>
        <v>Oct-25</v>
      </c>
      <c r="V974"/>
    </row>
    <row r="975" spans="1:22" x14ac:dyDescent="0.25">
      <c r="A975" t="s">
        <v>1051</v>
      </c>
      <c r="B975" s="1">
        <v>46067</v>
      </c>
      <c r="C975" t="s">
        <v>19</v>
      </c>
      <c r="D975" t="s">
        <v>13</v>
      </c>
      <c r="E975" t="s">
        <v>41</v>
      </c>
      <c r="F975" t="s">
        <v>42</v>
      </c>
      <c r="G975">
        <v>7</v>
      </c>
      <c r="H975">
        <v>28000</v>
      </c>
      <c r="I975">
        <v>17379</v>
      </c>
      <c r="J975" t="s">
        <v>16</v>
      </c>
      <c r="K975" t="s">
        <v>23</v>
      </c>
      <c r="L975">
        <f>SUM(Clean_Data[[#This Row],[Units_Sold]]*Clean_Data[[#This Row],[Unit_Price]])</f>
        <v>196000</v>
      </c>
      <c r="M975">
        <f>Clean_Data[[#This Row],[Units_Sold]]*Clean_Data[[#This Row],[Cost_Price]]</f>
        <v>121653</v>
      </c>
      <c r="N975">
        <f>Clean_Data[[#This Row],[Total_Sales]]-Clean_Data[[#This Row],[Total_Cost]]</f>
        <v>74347</v>
      </c>
      <c r="O975" s="2">
        <f>Clean_Data[[#This Row],[Profit]]/Clean_Data[[#This Row],[Total_Sales]]</f>
        <v>0.37932142857142859</v>
      </c>
      <c r="P975" t="str">
        <f>_xlfn.XLOOKUP(Clean_Data[[#This Row],[Product_Code]],Product_Catalog!A:A,Product_Catalog!C:C)</f>
        <v>Electronics</v>
      </c>
      <c r="Q975">
        <f>IF(Clean_Data[[#This Row],[Order_Date]]="","",YEAR(Clean_Data[[#This Row],[Order_Date]]))</f>
        <v>2026</v>
      </c>
      <c r="R975" t="str">
        <f>TEXT(Clean_Data[[#This Row],[Order_Date]],"mmm")</f>
        <v>Feb</v>
      </c>
      <c r="S975" t="str">
        <f>TEXT(Clean_Data[[#This Row],[Order_Date]],"mmm-yy")</f>
        <v>Feb-26</v>
      </c>
      <c r="V975"/>
    </row>
    <row r="976" spans="1:22" x14ac:dyDescent="0.25">
      <c r="A976" t="s">
        <v>1052</v>
      </c>
      <c r="B976" s="1">
        <v>45709</v>
      </c>
      <c r="C976" t="s">
        <v>31</v>
      </c>
      <c r="D976" t="s">
        <v>40</v>
      </c>
      <c r="E976" t="s">
        <v>41</v>
      </c>
      <c r="F976" t="s">
        <v>42</v>
      </c>
      <c r="G976">
        <v>4</v>
      </c>
      <c r="H976">
        <v>28000</v>
      </c>
      <c r="I976">
        <v>21515</v>
      </c>
      <c r="J976" t="s">
        <v>29</v>
      </c>
      <c r="K976" t="s">
        <v>23</v>
      </c>
      <c r="L976">
        <f>SUM(Clean_Data[[#This Row],[Units_Sold]]*Clean_Data[[#This Row],[Unit_Price]])</f>
        <v>112000</v>
      </c>
      <c r="M976">
        <f>Clean_Data[[#This Row],[Units_Sold]]*Clean_Data[[#This Row],[Cost_Price]]</f>
        <v>86060</v>
      </c>
      <c r="N976">
        <f>Clean_Data[[#This Row],[Total_Sales]]-Clean_Data[[#This Row],[Total_Cost]]</f>
        <v>25940</v>
      </c>
      <c r="O976" s="2">
        <f>Clean_Data[[#This Row],[Profit]]/Clean_Data[[#This Row],[Total_Sales]]</f>
        <v>0.23160714285714284</v>
      </c>
      <c r="P976" t="str">
        <f>_xlfn.XLOOKUP(Clean_Data[[#This Row],[Product_Code]],Product_Catalog!A:A,Product_Catalog!C:C)</f>
        <v>Electronics</v>
      </c>
      <c r="Q976">
        <f>IF(Clean_Data[[#This Row],[Order_Date]]="","",YEAR(Clean_Data[[#This Row],[Order_Date]]))</f>
        <v>2025</v>
      </c>
      <c r="R976" t="str">
        <f>TEXT(Clean_Data[[#This Row],[Order_Date]],"mmm")</f>
        <v>Feb</v>
      </c>
      <c r="S976" t="str">
        <f>TEXT(Clean_Data[[#This Row],[Order_Date]],"mmm-yy")</f>
        <v>Feb-25</v>
      </c>
      <c r="V976"/>
    </row>
    <row r="977" spans="1:22" x14ac:dyDescent="0.25">
      <c r="A977" t="s">
        <v>1053</v>
      </c>
      <c r="B977" s="1">
        <v>46098</v>
      </c>
      <c r="C977" t="s">
        <v>31</v>
      </c>
      <c r="D977" t="s">
        <v>36</v>
      </c>
      <c r="E977" t="s">
        <v>66</v>
      </c>
      <c r="F977" t="s">
        <v>67</v>
      </c>
      <c r="G977">
        <v>3</v>
      </c>
      <c r="H977">
        <v>2500</v>
      </c>
      <c r="I977">
        <v>1824</v>
      </c>
      <c r="J977" t="s">
        <v>29</v>
      </c>
      <c r="K977" t="s">
        <v>17</v>
      </c>
      <c r="L977">
        <f>SUM(Clean_Data[[#This Row],[Units_Sold]]*Clean_Data[[#This Row],[Unit_Price]])</f>
        <v>7500</v>
      </c>
      <c r="M977">
        <f>Clean_Data[[#This Row],[Units_Sold]]*Clean_Data[[#This Row],[Cost_Price]]</f>
        <v>5472</v>
      </c>
      <c r="N977">
        <f>Clean_Data[[#This Row],[Total_Sales]]-Clean_Data[[#This Row],[Total_Cost]]</f>
        <v>2028</v>
      </c>
      <c r="O977" s="2">
        <f>Clean_Data[[#This Row],[Profit]]/Clean_Data[[#This Row],[Total_Sales]]</f>
        <v>0.27039999999999997</v>
      </c>
      <c r="P977" t="str">
        <f>_xlfn.XLOOKUP(Clean_Data[[#This Row],[Product_Code]],Product_Catalog!A:A,Product_Catalog!C:C)</f>
        <v>Electronics</v>
      </c>
      <c r="Q977">
        <f>IF(Clean_Data[[#This Row],[Order_Date]]="","",YEAR(Clean_Data[[#This Row],[Order_Date]]))</f>
        <v>2026</v>
      </c>
      <c r="R977" t="str">
        <f>TEXT(Clean_Data[[#This Row],[Order_Date]],"mmm")</f>
        <v>Mar</v>
      </c>
      <c r="S977" t="str">
        <f>TEXT(Clean_Data[[#This Row],[Order_Date]],"mmm-yy")</f>
        <v>Mar-26</v>
      </c>
      <c r="V977"/>
    </row>
    <row r="978" spans="1:22" x14ac:dyDescent="0.25">
      <c r="A978" t="s">
        <v>1055</v>
      </c>
      <c r="B978" s="1">
        <v>46126</v>
      </c>
      <c r="C978" t="s">
        <v>53</v>
      </c>
      <c r="D978" t="s">
        <v>13</v>
      </c>
      <c r="E978" t="s">
        <v>63</v>
      </c>
      <c r="F978" t="s">
        <v>59</v>
      </c>
      <c r="G978">
        <v>17</v>
      </c>
      <c r="H978">
        <v>4500</v>
      </c>
      <c r="I978">
        <v>3467</v>
      </c>
      <c r="J978" t="s">
        <v>29</v>
      </c>
      <c r="K978" t="s">
        <v>23</v>
      </c>
      <c r="L978">
        <f>SUM(Clean_Data[[#This Row],[Units_Sold]]*Clean_Data[[#This Row],[Unit_Price]])</f>
        <v>76500</v>
      </c>
      <c r="M978">
        <f>Clean_Data[[#This Row],[Units_Sold]]*Clean_Data[[#This Row],[Cost_Price]]</f>
        <v>58939</v>
      </c>
      <c r="N978">
        <f>Clean_Data[[#This Row],[Total_Sales]]-Clean_Data[[#This Row],[Total_Cost]]</f>
        <v>17561</v>
      </c>
      <c r="O978" s="2">
        <f>Clean_Data[[#This Row],[Profit]]/Clean_Data[[#This Row],[Total_Sales]]</f>
        <v>0.22955555555555557</v>
      </c>
      <c r="P978" t="str">
        <f>_xlfn.XLOOKUP(Clean_Data[[#This Row],[Product_Code]],Product_Catalog!A:A,Product_Catalog!C:C)</f>
        <v>Electronics</v>
      </c>
      <c r="Q978">
        <f>IF(Clean_Data[[#This Row],[Order_Date]]="","",YEAR(Clean_Data[[#This Row],[Order_Date]]))</f>
        <v>2026</v>
      </c>
      <c r="R978" t="str">
        <f>TEXT(Clean_Data[[#This Row],[Order_Date]],"mmm")</f>
        <v>Apr</v>
      </c>
      <c r="S978" t="str">
        <f>TEXT(Clean_Data[[#This Row],[Order_Date]],"mmm-yy")</f>
        <v>Apr-26</v>
      </c>
      <c r="V978"/>
    </row>
    <row r="979" spans="1:22" x14ac:dyDescent="0.25">
      <c r="A979" t="s">
        <v>1056</v>
      </c>
      <c r="B979" s="1">
        <v>46005</v>
      </c>
      <c r="C979" t="s">
        <v>62</v>
      </c>
      <c r="D979" t="s">
        <v>40</v>
      </c>
      <c r="E979" t="s">
        <v>63</v>
      </c>
      <c r="F979" t="s">
        <v>59</v>
      </c>
      <c r="G979">
        <v>9</v>
      </c>
      <c r="H979">
        <v>4500</v>
      </c>
      <c r="I979">
        <v>2880</v>
      </c>
      <c r="J979" t="s">
        <v>16</v>
      </c>
      <c r="K979" t="s">
        <v>23</v>
      </c>
      <c r="L979">
        <f>SUM(Clean_Data[[#This Row],[Units_Sold]]*Clean_Data[[#This Row],[Unit_Price]])</f>
        <v>40500</v>
      </c>
      <c r="M979">
        <f>Clean_Data[[#This Row],[Units_Sold]]*Clean_Data[[#This Row],[Cost_Price]]</f>
        <v>25920</v>
      </c>
      <c r="N979">
        <f>Clean_Data[[#This Row],[Total_Sales]]-Clean_Data[[#This Row],[Total_Cost]]</f>
        <v>14580</v>
      </c>
      <c r="O979" s="2">
        <f>Clean_Data[[#This Row],[Profit]]/Clean_Data[[#This Row],[Total_Sales]]</f>
        <v>0.36</v>
      </c>
      <c r="P979" t="str">
        <f>_xlfn.XLOOKUP(Clean_Data[[#This Row],[Product_Code]],Product_Catalog!A:A,Product_Catalog!C:C)</f>
        <v>Electronics</v>
      </c>
      <c r="Q979">
        <f>IF(Clean_Data[[#This Row],[Order_Date]]="","",YEAR(Clean_Data[[#This Row],[Order_Date]]))</f>
        <v>2025</v>
      </c>
      <c r="R979" t="str">
        <f>TEXT(Clean_Data[[#This Row],[Order_Date]],"mmm")</f>
        <v>Dec</v>
      </c>
      <c r="S979" t="str">
        <f>TEXT(Clean_Data[[#This Row],[Order_Date]],"mmm-yy")</f>
        <v>Dec-25</v>
      </c>
      <c r="V979"/>
    </row>
    <row r="980" spans="1:22" x14ac:dyDescent="0.25">
      <c r="A980" t="s">
        <v>1057</v>
      </c>
      <c r="B980" s="1">
        <v>45774</v>
      </c>
      <c r="C980" t="s">
        <v>12</v>
      </c>
      <c r="D980" t="s">
        <v>40</v>
      </c>
      <c r="E980" t="s">
        <v>37</v>
      </c>
      <c r="F980" t="s">
        <v>38</v>
      </c>
      <c r="G980">
        <v>8</v>
      </c>
      <c r="H980">
        <v>55000</v>
      </c>
      <c r="I980">
        <v>34321</v>
      </c>
      <c r="J980" t="s">
        <v>29</v>
      </c>
      <c r="K980" t="s">
        <v>17</v>
      </c>
      <c r="L980">
        <f>SUM(Clean_Data[[#This Row],[Units_Sold]]*Clean_Data[[#This Row],[Unit_Price]])</f>
        <v>440000</v>
      </c>
      <c r="M980">
        <f>Clean_Data[[#This Row],[Units_Sold]]*Clean_Data[[#This Row],[Cost_Price]]</f>
        <v>274568</v>
      </c>
      <c r="N980">
        <f>Clean_Data[[#This Row],[Total_Sales]]-Clean_Data[[#This Row],[Total_Cost]]</f>
        <v>165432</v>
      </c>
      <c r="O980" s="2">
        <f>Clean_Data[[#This Row],[Profit]]/Clean_Data[[#This Row],[Total_Sales]]</f>
        <v>0.37598181818181819</v>
      </c>
      <c r="P980" t="str">
        <f>_xlfn.XLOOKUP(Clean_Data[[#This Row],[Product_Code]],Product_Catalog!A:A,Product_Catalog!C:C)</f>
        <v>Electronics</v>
      </c>
      <c r="Q980">
        <f>IF(Clean_Data[[#This Row],[Order_Date]]="","",YEAR(Clean_Data[[#This Row],[Order_Date]]))</f>
        <v>2025</v>
      </c>
      <c r="R980" t="str">
        <f>TEXT(Clean_Data[[#This Row],[Order_Date]],"mmm")</f>
        <v>Apr</v>
      </c>
      <c r="S980" t="str">
        <f>TEXT(Clean_Data[[#This Row],[Order_Date]],"mmm-yy")</f>
        <v>Apr-25</v>
      </c>
      <c r="V980"/>
    </row>
    <row r="981" spans="1:22" x14ac:dyDescent="0.25">
      <c r="A981" t="s">
        <v>1058</v>
      </c>
      <c r="B981" s="1">
        <v>45993</v>
      </c>
      <c r="C981" t="s">
        <v>53</v>
      </c>
      <c r="D981" t="s">
        <v>13</v>
      </c>
      <c r="E981" t="s">
        <v>63</v>
      </c>
      <c r="F981" t="s">
        <v>59</v>
      </c>
      <c r="G981">
        <v>13</v>
      </c>
      <c r="H981">
        <v>4500</v>
      </c>
      <c r="I981">
        <v>3447</v>
      </c>
      <c r="J981" t="s">
        <v>16</v>
      </c>
      <c r="K981" t="s">
        <v>17</v>
      </c>
      <c r="L981">
        <f>SUM(Clean_Data[[#This Row],[Units_Sold]]*Clean_Data[[#This Row],[Unit_Price]])</f>
        <v>58500</v>
      </c>
      <c r="M981">
        <f>Clean_Data[[#This Row],[Units_Sold]]*Clean_Data[[#This Row],[Cost_Price]]</f>
        <v>44811</v>
      </c>
      <c r="N981">
        <f>Clean_Data[[#This Row],[Total_Sales]]-Clean_Data[[#This Row],[Total_Cost]]</f>
        <v>13689</v>
      </c>
      <c r="O981" s="2">
        <f>Clean_Data[[#This Row],[Profit]]/Clean_Data[[#This Row],[Total_Sales]]</f>
        <v>0.23400000000000001</v>
      </c>
      <c r="P981" t="str">
        <f>_xlfn.XLOOKUP(Clean_Data[[#This Row],[Product_Code]],Product_Catalog!A:A,Product_Catalog!C:C)</f>
        <v>Electronics</v>
      </c>
      <c r="Q981">
        <f>IF(Clean_Data[[#This Row],[Order_Date]]="","",YEAR(Clean_Data[[#This Row],[Order_Date]]))</f>
        <v>2025</v>
      </c>
      <c r="R981" t="str">
        <f>TEXT(Clean_Data[[#This Row],[Order_Date]],"mmm")</f>
        <v>Dec</v>
      </c>
      <c r="S981" t="str">
        <f>TEXT(Clean_Data[[#This Row],[Order_Date]],"mmm-yy")</f>
        <v>Dec-25</v>
      </c>
      <c r="V981"/>
    </row>
    <row r="982" spans="1:22" x14ac:dyDescent="0.25">
      <c r="A982" t="s">
        <v>1059</v>
      </c>
      <c r="B982" s="1">
        <v>45726</v>
      </c>
      <c r="C982" t="s">
        <v>62</v>
      </c>
      <c r="D982" t="s">
        <v>13</v>
      </c>
      <c r="E982" t="s">
        <v>27</v>
      </c>
      <c r="F982" t="s">
        <v>28</v>
      </c>
      <c r="G982">
        <v>3</v>
      </c>
      <c r="H982">
        <v>14000</v>
      </c>
      <c r="I982">
        <v>9785</v>
      </c>
      <c r="J982" t="s">
        <v>29</v>
      </c>
      <c r="K982" t="s">
        <v>17</v>
      </c>
      <c r="L982">
        <f>SUM(Clean_Data[[#This Row],[Units_Sold]]*Clean_Data[[#This Row],[Unit_Price]])</f>
        <v>42000</v>
      </c>
      <c r="M982">
        <f>Clean_Data[[#This Row],[Units_Sold]]*Clean_Data[[#This Row],[Cost_Price]]</f>
        <v>29355</v>
      </c>
      <c r="N982">
        <f>Clean_Data[[#This Row],[Total_Sales]]-Clean_Data[[#This Row],[Total_Cost]]</f>
        <v>12645</v>
      </c>
      <c r="O982" s="2">
        <f>Clean_Data[[#This Row],[Profit]]/Clean_Data[[#This Row],[Total_Sales]]</f>
        <v>0.30107142857142855</v>
      </c>
      <c r="P982" t="str">
        <f>_xlfn.XLOOKUP(Clean_Data[[#This Row],[Product_Code]],Product_Catalog!A:A,Product_Catalog!C:C)</f>
        <v>Furniture</v>
      </c>
      <c r="Q982">
        <f>IF(Clean_Data[[#This Row],[Order_Date]]="","",YEAR(Clean_Data[[#This Row],[Order_Date]]))</f>
        <v>2025</v>
      </c>
      <c r="R982" t="str">
        <f>TEXT(Clean_Data[[#This Row],[Order_Date]],"mmm")</f>
        <v>Mar</v>
      </c>
      <c r="S982" t="str">
        <f>TEXT(Clean_Data[[#This Row],[Order_Date]],"mmm-yy")</f>
        <v>Mar-25</v>
      </c>
      <c r="V982"/>
    </row>
    <row r="983" spans="1:22" x14ac:dyDescent="0.25">
      <c r="A983" t="s">
        <v>1060</v>
      </c>
      <c r="B983" s="1">
        <v>45851</v>
      </c>
      <c r="C983" t="s">
        <v>53</v>
      </c>
      <c r="D983" t="s">
        <v>40</v>
      </c>
      <c r="E983" t="s">
        <v>37</v>
      </c>
      <c r="F983" t="s">
        <v>38</v>
      </c>
      <c r="G983">
        <v>2</v>
      </c>
      <c r="H983">
        <v>55000</v>
      </c>
      <c r="I983">
        <v>34614</v>
      </c>
      <c r="J983" t="s">
        <v>22</v>
      </c>
      <c r="K983" t="s">
        <v>23</v>
      </c>
      <c r="L983">
        <f>SUM(Clean_Data[[#This Row],[Units_Sold]]*Clean_Data[[#This Row],[Unit_Price]])</f>
        <v>110000</v>
      </c>
      <c r="M983">
        <f>Clean_Data[[#This Row],[Units_Sold]]*Clean_Data[[#This Row],[Cost_Price]]</f>
        <v>69228</v>
      </c>
      <c r="N983">
        <f>Clean_Data[[#This Row],[Total_Sales]]-Clean_Data[[#This Row],[Total_Cost]]</f>
        <v>40772</v>
      </c>
      <c r="O983" s="2">
        <f>Clean_Data[[#This Row],[Profit]]/Clean_Data[[#This Row],[Total_Sales]]</f>
        <v>0.37065454545454546</v>
      </c>
      <c r="P983" t="str">
        <f>_xlfn.XLOOKUP(Clean_Data[[#This Row],[Product_Code]],Product_Catalog!A:A,Product_Catalog!C:C)</f>
        <v>Electronics</v>
      </c>
      <c r="Q983">
        <f>IF(Clean_Data[[#This Row],[Order_Date]]="","",YEAR(Clean_Data[[#This Row],[Order_Date]]))</f>
        <v>2025</v>
      </c>
      <c r="R983" t="str">
        <f>TEXT(Clean_Data[[#This Row],[Order_Date]],"mmm")</f>
        <v>Jul</v>
      </c>
      <c r="S983" t="str">
        <f>TEXT(Clean_Data[[#This Row],[Order_Date]],"mmm-yy")</f>
        <v>Jul-25</v>
      </c>
      <c r="V983"/>
    </row>
    <row r="984" spans="1:22" x14ac:dyDescent="0.25">
      <c r="A984" t="s">
        <v>1061</v>
      </c>
      <c r="B984" s="1">
        <v>45877</v>
      </c>
      <c r="C984" t="s">
        <v>48</v>
      </c>
      <c r="D984" t="s">
        <v>26</v>
      </c>
      <c r="E984" t="s">
        <v>27</v>
      </c>
      <c r="F984" t="s">
        <v>28</v>
      </c>
      <c r="G984">
        <v>13</v>
      </c>
      <c r="H984">
        <v>14000</v>
      </c>
      <c r="I984">
        <v>8491</v>
      </c>
      <c r="J984" t="s">
        <v>22</v>
      </c>
      <c r="K984" t="s">
        <v>46</v>
      </c>
      <c r="L984">
        <f>SUM(Clean_Data[[#This Row],[Units_Sold]]*Clean_Data[[#This Row],[Unit_Price]])</f>
        <v>182000</v>
      </c>
      <c r="M984">
        <f>Clean_Data[[#This Row],[Units_Sold]]*Clean_Data[[#This Row],[Cost_Price]]</f>
        <v>110383</v>
      </c>
      <c r="N984">
        <f>Clean_Data[[#This Row],[Total_Sales]]-Clean_Data[[#This Row],[Total_Cost]]</f>
        <v>71617</v>
      </c>
      <c r="O984" s="2">
        <f>Clean_Data[[#This Row],[Profit]]/Clean_Data[[#This Row],[Total_Sales]]</f>
        <v>0.39350000000000002</v>
      </c>
      <c r="P984" t="str">
        <f>_xlfn.XLOOKUP(Clean_Data[[#This Row],[Product_Code]],Product_Catalog!A:A,Product_Catalog!C:C)</f>
        <v>Furniture</v>
      </c>
      <c r="Q984">
        <f>IF(Clean_Data[[#This Row],[Order_Date]]="","",YEAR(Clean_Data[[#This Row],[Order_Date]]))</f>
        <v>2025</v>
      </c>
      <c r="R984" t="str">
        <f>TEXT(Clean_Data[[#This Row],[Order_Date]],"mmm")</f>
        <v>Aug</v>
      </c>
      <c r="S984" t="str">
        <f>TEXT(Clean_Data[[#This Row],[Order_Date]],"mmm-yy")</f>
        <v>Aug-25</v>
      </c>
      <c r="V984"/>
    </row>
    <row r="985" spans="1:22" x14ac:dyDescent="0.25">
      <c r="A985" t="s">
        <v>1062</v>
      </c>
      <c r="B985" s="1">
        <v>45724</v>
      </c>
      <c r="C985" t="s">
        <v>48</v>
      </c>
      <c r="D985" t="s">
        <v>40</v>
      </c>
      <c r="E985" t="s">
        <v>66</v>
      </c>
      <c r="F985" t="s">
        <v>67</v>
      </c>
      <c r="G985">
        <v>17</v>
      </c>
      <c r="H985">
        <v>2500</v>
      </c>
      <c r="I985">
        <v>1817</v>
      </c>
      <c r="J985" t="s">
        <v>16</v>
      </c>
      <c r="K985" t="s">
        <v>17</v>
      </c>
      <c r="L985">
        <f>SUM(Clean_Data[[#This Row],[Units_Sold]]*Clean_Data[[#This Row],[Unit_Price]])</f>
        <v>42500</v>
      </c>
      <c r="M985">
        <f>Clean_Data[[#This Row],[Units_Sold]]*Clean_Data[[#This Row],[Cost_Price]]</f>
        <v>30889</v>
      </c>
      <c r="N985">
        <f>Clean_Data[[#This Row],[Total_Sales]]-Clean_Data[[#This Row],[Total_Cost]]</f>
        <v>11611</v>
      </c>
      <c r="O985" s="2">
        <f>Clean_Data[[#This Row],[Profit]]/Clean_Data[[#This Row],[Total_Sales]]</f>
        <v>0.2732</v>
      </c>
      <c r="P985" t="str">
        <f>_xlfn.XLOOKUP(Clean_Data[[#This Row],[Product_Code]],Product_Catalog!A:A,Product_Catalog!C:C)</f>
        <v>Electronics</v>
      </c>
      <c r="Q985">
        <f>IF(Clean_Data[[#This Row],[Order_Date]]="","",YEAR(Clean_Data[[#This Row],[Order_Date]]))</f>
        <v>2025</v>
      </c>
      <c r="R985" t="str">
        <f>TEXT(Clean_Data[[#This Row],[Order_Date]],"mmm")</f>
        <v>Mar</v>
      </c>
      <c r="S985" t="str">
        <f>TEXT(Clean_Data[[#This Row],[Order_Date]],"mmm-yy")</f>
        <v>Mar-25</v>
      </c>
      <c r="V985"/>
    </row>
    <row r="986" spans="1:22" x14ac:dyDescent="0.25">
      <c r="A986" t="s">
        <v>1063</v>
      </c>
      <c r="B986" s="1">
        <v>45710</v>
      </c>
      <c r="C986" t="s">
        <v>19</v>
      </c>
      <c r="D986" t="s">
        <v>26</v>
      </c>
      <c r="E986" t="s">
        <v>55</v>
      </c>
      <c r="F986" t="s">
        <v>34</v>
      </c>
      <c r="G986">
        <v>15</v>
      </c>
      <c r="H986">
        <v>35000</v>
      </c>
      <c r="I986">
        <v>21748</v>
      </c>
      <c r="J986" t="s">
        <v>45</v>
      </c>
      <c r="K986" t="s">
        <v>46</v>
      </c>
      <c r="L986">
        <f>SUM(Clean_Data[[#This Row],[Units_Sold]]*Clean_Data[[#This Row],[Unit_Price]])</f>
        <v>525000</v>
      </c>
      <c r="M986">
        <f>Clean_Data[[#This Row],[Units_Sold]]*Clean_Data[[#This Row],[Cost_Price]]</f>
        <v>326220</v>
      </c>
      <c r="N986">
        <f>Clean_Data[[#This Row],[Total_Sales]]-Clean_Data[[#This Row],[Total_Cost]]</f>
        <v>198780</v>
      </c>
      <c r="O986" s="2">
        <f>Clean_Data[[#This Row],[Profit]]/Clean_Data[[#This Row],[Total_Sales]]</f>
        <v>0.37862857142857143</v>
      </c>
      <c r="P986" t="str">
        <f>_xlfn.XLOOKUP(Clean_Data[[#This Row],[Product_Code]],Product_Catalog!A:A,Product_Catalog!C:C)</f>
        <v>Furniture</v>
      </c>
      <c r="Q986">
        <f>IF(Clean_Data[[#This Row],[Order_Date]]="","",YEAR(Clean_Data[[#This Row],[Order_Date]]))</f>
        <v>2025</v>
      </c>
      <c r="R986" t="str">
        <f>TEXT(Clean_Data[[#This Row],[Order_Date]],"mmm")</f>
        <v>Feb</v>
      </c>
      <c r="S986" t="str">
        <f>TEXT(Clean_Data[[#This Row],[Order_Date]],"mmm-yy")</f>
        <v>Feb-25</v>
      </c>
      <c r="V986"/>
    </row>
    <row r="987" spans="1:22" x14ac:dyDescent="0.25">
      <c r="A987" t="s">
        <v>1064</v>
      </c>
      <c r="B987" s="1">
        <v>45727</v>
      </c>
      <c r="C987" t="s">
        <v>53</v>
      </c>
      <c r="D987" t="s">
        <v>33</v>
      </c>
      <c r="E987" t="s">
        <v>63</v>
      </c>
      <c r="F987" t="s">
        <v>59</v>
      </c>
      <c r="G987">
        <v>11</v>
      </c>
      <c r="H987">
        <v>4500</v>
      </c>
      <c r="I987">
        <v>3388</v>
      </c>
      <c r="J987" t="s">
        <v>22</v>
      </c>
      <c r="K987" t="s">
        <v>46</v>
      </c>
      <c r="L987">
        <f>SUM(Clean_Data[[#This Row],[Units_Sold]]*Clean_Data[[#This Row],[Unit_Price]])</f>
        <v>49500</v>
      </c>
      <c r="M987">
        <f>Clean_Data[[#This Row],[Units_Sold]]*Clean_Data[[#This Row],[Cost_Price]]</f>
        <v>37268</v>
      </c>
      <c r="N987">
        <f>Clean_Data[[#This Row],[Total_Sales]]-Clean_Data[[#This Row],[Total_Cost]]</f>
        <v>12232</v>
      </c>
      <c r="O987" s="2">
        <f>Clean_Data[[#This Row],[Profit]]/Clean_Data[[#This Row],[Total_Sales]]</f>
        <v>0.24711111111111111</v>
      </c>
      <c r="P987" t="str">
        <f>_xlfn.XLOOKUP(Clean_Data[[#This Row],[Product_Code]],Product_Catalog!A:A,Product_Catalog!C:C)</f>
        <v>Electronics</v>
      </c>
      <c r="Q987">
        <f>IF(Clean_Data[[#This Row],[Order_Date]]="","",YEAR(Clean_Data[[#This Row],[Order_Date]]))</f>
        <v>2025</v>
      </c>
      <c r="R987" t="str">
        <f>TEXT(Clean_Data[[#This Row],[Order_Date]],"mmm")</f>
        <v>Mar</v>
      </c>
      <c r="S987" t="str">
        <f>TEXT(Clean_Data[[#This Row],[Order_Date]],"mmm-yy")</f>
        <v>Mar-25</v>
      </c>
      <c r="V987"/>
    </row>
    <row r="988" spans="1:22" x14ac:dyDescent="0.25">
      <c r="A988" t="s">
        <v>1065</v>
      </c>
      <c r="B988" s="1">
        <v>46080</v>
      </c>
      <c r="C988" t="s">
        <v>44</v>
      </c>
      <c r="D988" t="s">
        <v>26</v>
      </c>
      <c r="E988" t="s">
        <v>55</v>
      </c>
      <c r="F988" t="s">
        <v>34</v>
      </c>
      <c r="G988">
        <v>14</v>
      </c>
      <c r="H988">
        <v>35000</v>
      </c>
      <c r="I988">
        <v>23047</v>
      </c>
      <c r="J988" t="s">
        <v>29</v>
      </c>
      <c r="K988" t="s">
        <v>46</v>
      </c>
      <c r="L988">
        <f>SUM(Clean_Data[[#This Row],[Units_Sold]]*Clean_Data[[#This Row],[Unit_Price]])</f>
        <v>490000</v>
      </c>
      <c r="M988">
        <f>Clean_Data[[#This Row],[Units_Sold]]*Clean_Data[[#This Row],[Cost_Price]]</f>
        <v>322658</v>
      </c>
      <c r="N988">
        <f>Clean_Data[[#This Row],[Total_Sales]]-Clean_Data[[#This Row],[Total_Cost]]</f>
        <v>167342</v>
      </c>
      <c r="O988" s="2">
        <f>Clean_Data[[#This Row],[Profit]]/Clean_Data[[#This Row],[Total_Sales]]</f>
        <v>0.34151428571428571</v>
      </c>
      <c r="P988" t="str">
        <f>_xlfn.XLOOKUP(Clean_Data[[#This Row],[Product_Code]],Product_Catalog!A:A,Product_Catalog!C:C)</f>
        <v>Furniture</v>
      </c>
      <c r="Q988">
        <f>IF(Clean_Data[[#This Row],[Order_Date]]="","",YEAR(Clean_Data[[#This Row],[Order_Date]]))</f>
        <v>2026</v>
      </c>
      <c r="R988" t="str">
        <f>TEXT(Clean_Data[[#This Row],[Order_Date]],"mmm")</f>
        <v>Feb</v>
      </c>
      <c r="S988" t="str">
        <f>TEXT(Clean_Data[[#This Row],[Order_Date]],"mmm-yy")</f>
        <v>Feb-26</v>
      </c>
      <c r="V988"/>
    </row>
    <row r="989" spans="1:22" x14ac:dyDescent="0.25">
      <c r="A989" t="s">
        <v>1066</v>
      </c>
      <c r="B989" s="1">
        <v>45672</v>
      </c>
      <c r="C989" t="s">
        <v>19</v>
      </c>
      <c r="D989" t="s">
        <v>26</v>
      </c>
      <c r="E989" t="s">
        <v>49</v>
      </c>
      <c r="F989" t="s">
        <v>50</v>
      </c>
      <c r="G989">
        <v>7</v>
      </c>
      <c r="H989">
        <v>75000</v>
      </c>
      <c r="I989">
        <v>53140</v>
      </c>
      <c r="J989" t="s">
        <v>45</v>
      </c>
      <c r="K989" t="s">
        <v>23</v>
      </c>
      <c r="L989">
        <f>SUM(Clean_Data[[#This Row],[Units_Sold]]*Clean_Data[[#This Row],[Unit_Price]])</f>
        <v>525000</v>
      </c>
      <c r="M989">
        <f>Clean_Data[[#This Row],[Units_Sold]]*Clean_Data[[#This Row],[Cost_Price]]</f>
        <v>371980</v>
      </c>
      <c r="N989">
        <f>Clean_Data[[#This Row],[Total_Sales]]-Clean_Data[[#This Row],[Total_Cost]]</f>
        <v>153020</v>
      </c>
      <c r="O989" s="2">
        <f>Clean_Data[[#This Row],[Profit]]/Clean_Data[[#This Row],[Total_Sales]]</f>
        <v>0.29146666666666665</v>
      </c>
      <c r="P989" t="str">
        <f>_xlfn.XLOOKUP(Clean_Data[[#This Row],[Product_Code]],Product_Catalog!A:A,Product_Catalog!C:C)</f>
        <v>Electronics</v>
      </c>
      <c r="Q989">
        <f>IF(Clean_Data[[#This Row],[Order_Date]]="","",YEAR(Clean_Data[[#This Row],[Order_Date]]))</f>
        <v>2025</v>
      </c>
      <c r="R989" t="str">
        <f>TEXT(Clean_Data[[#This Row],[Order_Date]],"mmm")</f>
        <v>Jan</v>
      </c>
      <c r="S989" t="str">
        <f>TEXT(Clean_Data[[#This Row],[Order_Date]],"mmm-yy")</f>
        <v>Jan-25</v>
      </c>
      <c r="V989"/>
    </row>
    <row r="990" spans="1:22" x14ac:dyDescent="0.25">
      <c r="A990" t="s">
        <v>1067</v>
      </c>
      <c r="B990" s="1">
        <v>45728</v>
      </c>
      <c r="C990" t="s">
        <v>25</v>
      </c>
      <c r="D990" t="s">
        <v>40</v>
      </c>
      <c r="E990" t="s">
        <v>41</v>
      </c>
      <c r="F990" t="s">
        <v>42</v>
      </c>
      <c r="G990">
        <v>18</v>
      </c>
      <c r="H990">
        <v>28000</v>
      </c>
      <c r="I990">
        <v>22069</v>
      </c>
      <c r="J990" t="s">
        <v>16</v>
      </c>
      <c r="K990" t="s">
        <v>23</v>
      </c>
      <c r="L990">
        <f>SUM(Clean_Data[[#This Row],[Units_Sold]]*Clean_Data[[#This Row],[Unit_Price]])</f>
        <v>504000</v>
      </c>
      <c r="M990">
        <f>Clean_Data[[#This Row],[Units_Sold]]*Clean_Data[[#This Row],[Cost_Price]]</f>
        <v>397242</v>
      </c>
      <c r="N990">
        <f>Clean_Data[[#This Row],[Total_Sales]]-Clean_Data[[#This Row],[Total_Cost]]</f>
        <v>106758</v>
      </c>
      <c r="O990" s="2">
        <f>Clean_Data[[#This Row],[Profit]]/Clean_Data[[#This Row],[Total_Sales]]</f>
        <v>0.21182142857142858</v>
      </c>
      <c r="P990" t="str">
        <f>_xlfn.XLOOKUP(Clean_Data[[#This Row],[Product_Code]],Product_Catalog!A:A,Product_Catalog!C:C)</f>
        <v>Electronics</v>
      </c>
      <c r="Q990">
        <f>IF(Clean_Data[[#This Row],[Order_Date]]="","",YEAR(Clean_Data[[#This Row],[Order_Date]]))</f>
        <v>2025</v>
      </c>
      <c r="R990" t="str">
        <f>TEXT(Clean_Data[[#This Row],[Order_Date]],"mmm")</f>
        <v>Mar</v>
      </c>
      <c r="S990" t="str">
        <f>TEXT(Clean_Data[[#This Row],[Order_Date]],"mmm-yy")</f>
        <v>Mar-25</v>
      </c>
      <c r="V990"/>
    </row>
    <row r="991" spans="1:22" x14ac:dyDescent="0.25">
      <c r="A991" t="s">
        <v>1068</v>
      </c>
      <c r="B991" s="1">
        <v>46070</v>
      </c>
      <c r="C991" t="s">
        <v>12</v>
      </c>
      <c r="D991" t="s">
        <v>33</v>
      </c>
      <c r="E991" t="s">
        <v>41</v>
      </c>
      <c r="F991" t="s">
        <v>42</v>
      </c>
      <c r="G991">
        <v>8</v>
      </c>
      <c r="H991">
        <v>28000</v>
      </c>
      <c r="I991">
        <v>19953</v>
      </c>
      <c r="J991" t="s">
        <v>29</v>
      </c>
      <c r="K991" t="s">
        <v>23</v>
      </c>
      <c r="L991">
        <f>SUM(Clean_Data[[#This Row],[Units_Sold]]*Clean_Data[[#This Row],[Unit_Price]])</f>
        <v>224000</v>
      </c>
      <c r="M991">
        <f>Clean_Data[[#This Row],[Units_Sold]]*Clean_Data[[#This Row],[Cost_Price]]</f>
        <v>159624</v>
      </c>
      <c r="N991">
        <f>Clean_Data[[#This Row],[Total_Sales]]-Clean_Data[[#This Row],[Total_Cost]]</f>
        <v>64376</v>
      </c>
      <c r="O991" s="2">
        <f>Clean_Data[[#This Row],[Profit]]/Clean_Data[[#This Row],[Total_Sales]]</f>
        <v>0.28739285714285712</v>
      </c>
      <c r="P991" t="str">
        <f>_xlfn.XLOOKUP(Clean_Data[[#This Row],[Product_Code]],Product_Catalog!A:A,Product_Catalog!C:C)</f>
        <v>Electronics</v>
      </c>
      <c r="Q991">
        <f>IF(Clean_Data[[#This Row],[Order_Date]]="","",YEAR(Clean_Data[[#This Row],[Order_Date]]))</f>
        <v>2026</v>
      </c>
      <c r="R991" t="str">
        <f>TEXT(Clean_Data[[#This Row],[Order_Date]],"mmm")</f>
        <v>Feb</v>
      </c>
      <c r="S991" t="str">
        <f>TEXT(Clean_Data[[#This Row],[Order_Date]],"mmm-yy")</f>
        <v>Feb-26</v>
      </c>
      <c r="V991"/>
    </row>
    <row r="992" spans="1:22" x14ac:dyDescent="0.25">
      <c r="A992" t="s">
        <v>1069</v>
      </c>
      <c r="B992" s="1">
        <v>46140</v>
      </c>
      <c r="C992" t="s">
        <v>19</v>
      </c>
      <c r="D992" t="s">
        <v>40</v>
      </c>
      <c r="E992" t="s">
        <v>20</v>
      </c>
      <c r="F992" t="s">
        <v>21</v>
      </c>
      <c r="G992">
        <v>15</v>
      </c>
      <c r="H992">
        <v>8500</v>
      </c>
      <c r="I992">
        <v>5487</v>
      </c>
      <c r="J992" t="s">
        <v>29</v>
      </c>
      <c r="K992" t="s">
        <v>23</v>
      </c>
      <c r="L992">
        <f>SUM(Clean_Data[[#This Row],[Units_Sold]]*Clean_Data[[#This Row],[Unit_Price]])</f>
        <v>127500</v>
      </c>
      <c r="M992">
        <f>Clean_Data[[#This Row],[Units_Sold]]*Clean_Data[[#This Row],[Cost_Price]]</f>
        <v>82305</v>
      </c>
      <c r="N992">
        <f>Clean_Data[[#This Row],[Total_Sales]]-Clean_Data[[#This Row],[Total_Cost]]</f>
        <v>45195</v>
      </c>
      <c r="O992" s="2">
        <f>Clean_Data[[#This Row],[Profit]]/Clean_Data[[#This Row],[Total_Sales]]</f>
        <v>0.35447058823529409</v>
      </c>
      <c r="P992" t="str">
        <f>_xlfn.XLOOKUP(Clean_Data[[#This Row],[Product_Code]],Product_Catalog!A:A,Product_Catalog!C:C)</f>
        <v>Accessories</v>
      </c>
      <c r="Q992">
        <f>IF(Clean_Data[[#This Row],[Order_Date]]="","",YEAR(Clean_Data[[#This Row],[Order_Date]]))</f>
        <v>2026</v>
      </c>
      <c r="R992" t="str">
        <f>TEXT(Clean_Data[[#This Row],[Order_Date]],"mmm")</f>
        <v>Apr</v>
      </c>
      <c r="S992" t="str">
        <f>TEXT(Clean_Data[[#This Row],[Order_Date]],"mmm-yy")</f>
        <v>Apr-26</v>
      </c>
      <c r="V992"/>
    </row>
    <row r="993" spans="1:22" x14ac:dyDescent="0.25">
      <c r="A993" t="s">
        <v>1070</v>
      </c>
      <c r="B993" s="1">
        <v>45956</v>
      </c>
      <c r="C993" t="s">
        <v>48</v>
      </c>
      <c r="D993" t="s">
        <v>33</v>
      </c>
      <c r="E993" t="s">
        <v>14</v>
      </c>
      <c r="F993" t="s">
        <v>15</v>
      </c>
      <c r="G993">
        <v>13</v>
      </c>
      <c r="H993">
        <v>12500</v>
      </c>
      <c r="I993">
        <v>9265</v>
      </c>
      <c r="J993" t="s">
        <v>29</v>
      </c>
      <c r="K993" t="s">
        <v>23</v>
      </c>
      <c r="L993">
        <f>SUM(Clean_Data[[#This Row],[Units_Sold]]*Clean_Data[[#This Row],[Unit_Price]])</f>
        <v>162500</v>
      </c>
      <c r="M993">
        <f>Clean_Data[[#This Row],[Units_Sold]]*Clean_Data[[#This Row],[Cost_Price]]</f>
        <v>120445</v>
      </c>
      <c r="N993">
        <f>Clean_Data[[#This Row],[Total_Sales]]-Clean_Data[[#This Row],[Total_Cost]]</f>
        <v>42055</v>
      </c>
      <c r="O993" s="2">
        <f>Clean_Data[[#This Row],[Profit]]/Clean_Data[[#This Row],[Total_Sales]]</f>
        <v>0.25879999999999997</v>
      </c>
      <c r="P993" t="str">
        <f>_xlfn.XLOOKUP(Clean_Data[[#This Row],[Product_Code]],Product_Catalog!A:A,Product_Catalog!C:C)</f>
        <v>Accessories</v>
      </c>
      <c r="Q993">
        <f>IF(Clean_Data[[#This Row],[Order_Date]]="","",YEAR(Clean_Data[[#This Row],[Order_Date]]))</f>
        <v>2025</v>
      </c>
      <c r="R993" t="str">
        <f>TEXT(Clean_Data[[#This Row],[Order_Date]],"mmm")</f>
        <v>Oct</v>
      </c>
      <c r="S993" t="str">
        <f>TEXT(Clean_Data[[#This Row],[Order_Date]],"mmm-yy")</f>
        <v>Oct-25</v>
      </c>
      <c r="V993"/>
    </row>
    <row r="994" spans="1:22" x14ac:dyDescent="0.25">
      <c r="A994" t="s">
        <v>1071</v>
      </c>
      <c r="B994" s="1">
        <v>46200</v>
      </c>
      <c r="C994" t="s">
        <v>31</v>
      </c>
      <c r="D994" t="s">
        <v>33</v>
      </c>
      <c r="E994" t="s">
        <v>66</v>
      </c>
      <c r="F994" t="s">
        <v>67</v>
      </c>
      <c r="G994">
        <v>10</v>
      </c>
      <c r="H994">
        <v>2500</v>
      </c>
      <c r="I994">
        <v>1624</v>
      </c>
      <c r="J994" t="s">
        <v>29</v>
      </c>
      <c r="K994" t="s">
        <v>46</v>
      </c>
      <c r="L994">
        <f>SUM(Clean_Data[[#This Row],[Units_Sold]]*Clean_Data[[#This Row],[Unit_Price]])</f>
        <v>25000</v>
      </c>
      <c r="M994">
        <f>Clean_Data[[#This Row],[Units_Sold]]*Clean_Data[[#This Row],[Cost_Price]]</f>
        <v>16240</v>
      </c>
      <c r="N994">
        <f>Clean_Data[[#This Row],[Total_Sales]]-Clean_Data[[#This Row],[Total_Cost]]</f>
        <v>8760</v>
      </c>
      <c r="O994" s="2">
        <f>Clean_Data[[#This Row],[Profit]]/Clean_Data[[#This Row],[Total_Sales]]</f>
        <v>0.35039999999999999</v>
      </c>
      <c r="P994" t="str">
        <f>_xlfn.XLOOKUP(Clean_Data[[#This Row],[Product_Code]],Product_Catalog!A:A,Product_Catalog!C:C)</f>
        <v>Electronics</v>
      </c>
      <c r="Q994">
        <f>IF(Clean_Data[[#This Row],[Order_Date]]="","",YEAR(Clean_Data[[#This Row],[Order_Date]]))</f>
        <v>2026</v>
      </c>
      <c r="R994" t="str">
        <f>TEXT(Clean_Data[[#This Row],[Order_Date]],"mmm")</f>
        <v>Jun</v>
      </c>
      <c r="S994" t="str">
        <f>TEXT(Clean_Data[[#This Row],[Order_Date]],"mmm-yy")</f>
        <v>Jun-26</v>
      </c>
      <c r="V994"/>
    </row>
    <row r="995" spans="1:22" x14ac:dyDescent="0.25">
      <c r="A995" t="s">
        <v>1072</v>
      </c>
      <c r="B995" s="1">
        <v>46011</v>
      </c>
      <c r="C995" t="s">
        <v>73</v>
      </c>
      <c r="D995" t="s">
        <v>13</v>
      </c>
      <c r="E995" t="s">
        <v>27</v>
      </c>
      <c r="F995" t="s">
        <v>28</v>
      </c>
      <c r="G995">
        <v>9</v>
      </c>
      <c r="H995">
        <v>14000</v>
      </c>
      <c r="I995">
        <v>11093</v>
      </c>
      <c r="J995" t="s">
        <v>29</v>
      </c>
      <c r="K995" t="s">
        <v>23</v>
      </c>
      <c r="L995">
        <f>SUM(Clean_Data[[#This Row],[Units_Sold]]*Clean_Data[[#This Row],[Unit_Price]])</f>
        <v>126000</v>
      </c>
      <c r="M995">
        <f>Clean_Data[[#This Row],[Units_Sold]]*Clean_Data[[#This Row],[Cost_Price]]</f>
        <v>99837</v>
      </c>
      <c r="N995">
        <f>Clean_Data[[#This Row],[Total_Sales]]-Clean_Data[[#This Row],[Total_Cost]]</f>
        <v>26163</v>
      </c>
      <c r="O995" s="2">
        <f>Clean_Data[[#This Row],[Profit]]/Clean_Data[[#This Row],[Total_Sales]]</f>
        <v>0.20764285714285713</v>
      </c>
      <c r="P995" t="str">
        <f>_xlfn.XLOOKUP(Clean_Data[[#This Row],[Product_Code]],Product_Catalog!A:A,Product_Catalog!C:C)</f>
        <v>Furniture</v>
      </c>
      <c r="Q995">
        <f>IF(Clean_Data[[#This Row],[Order_Date]]="","",YEAR(Clean_Data[[#This Row],[Order_Date]]))</f>
        <v>2025</v>
      </c>
      <c r="R995" t="str">
        <f>TEXT(Clean_Data[[#This Row],[Order_Date]],"mmm")</f>
        <v>Dec</v>
      </c>
      <c r="S995" t="str">
        <f>TEXT(Clean_Data[[#This Row],[Order_Date]],"mmm-yy")</f>
        <v>Dec-25</v>
      </c>
      <c r="V995"/>
    </row>
    <row r="996" spans="1:22" x14ac:dyDescent="0.25">
      <c r="A996" t="s">
        <v>1073</v>
      </c>
      <c r="B996" s="1">
        <v>46148</v>
      </c>
      <c r="C996" t="s">
        <v>73</v>
      </c>
      <c r="D996" t="s">
        <v>26</v>
      </c>
      <c r="E996" t="s">
        <v>27</v>
      </c>
      <c r="F996" t="s">
        <v>28</v>
      </c>
      <c r="G996">
        <v>15</v>
      </c>
      <c r="H996">
        <v>14000</v>
      </c>
      <c r="I996">
        <v>9646</v>
      </c>
      <c r="J996" t="s">
        <v>29</v>
      </c>
      <c r="K996" t="s">
        <v>23</v>
      </c>
      <c r="L996">
        <f>SUM(Clean_Data[[#This Row],[Units_Sold]]*Clean_Data[[#This Row],[Unit_Price]])</f>
        <v>210000</v>
      </c>
      <c r="M996">
        <f>Clean_Data[[#This Row],[Units_Sold]]*Clean_Data[[#This Row],[Cost_Price]]</f>
        <v>144690</v>
      </c>
      <c r="N996">
        <f>Clean_Data[[#This Row],[Total_Sales]]-Clean_Data[[#This Row],[Total_Cost]]</f>
        <v>65310</v>
      </c>
      <c r="O996" s="2">
        <f>Clean_Data[[#This Row],[Profit]]/Clean_Data[[#This Row],[Total_Sales]]</f>
        <v>0.311</v>
      </c>
      <c r="P996" t="str">
        <f>_xlfn.XLOOKUP(Clean_Data[[#This Row],[Product_Code]],Product_Catalog!A:A,Product_Catalog!C:C)</f>
        <v>Furniture</v>
      </c>
      <c r="Q996">
        <f>IF(Clean_Data[[#This Row],[Order_Date]]="","",YEAR(Clean_Data[[#This Row],[Order_Date]]))</f>
        <v>2026</v>
      </c>
      <c r="R996" t="str">
        <f>TEXT(Clean_Data[[#This Row],[Order_Date]],"mmm")</f>
        <v>May</v>
      </c>
      <c r="S996" t="str">
        <f>TEXT(Clean_Data[[#This Row],[Order_Date]],"mmm-yy")</f>
        <v>May-26</v>
      </c>
      <c r="V996"/>
    </row>
    <row r="997" spans="1:22" x14ac:dyDescent="0.25">
      <c r="A997" t="s">
        <v>1074</v>
      </c>
      <c r="B997" s="1">
        <v>45956</v>
      </c>
      <c r="C997" t="s">
        <v>44</v>
      </c>
      <c r="D997" t="s">
        <v>40</v>
      </c>
      <c r="E997" t="s">
        <v>66</v>
      </c>
      <c r="F997" t="s">
        <v>67</v>
      </c>
      <c r="G997">
        <v>6</v>
      </c>
      <c r="H997">
        <v>2500</v>
      </c>
      <c r="I997">
        <v>1861</v>
      </c>
      <c r="J997" t="s">
        <v>29</v>
      </c>
      <c r="K997" t="s">
        <v>84</v>
      </c>
      <c r="L997">
        <f>SUM(Clean_Data[[#This Row],[Units_Sold]]*Clean_Data[[#This Row],[Unit_Price]])</f>
        <v>15000</v>
      </c>
      <c r="M997">
        <f>Clean_Data[[#This Row],[Units_Sold]]*Clean_Data[[#This Row],[Cost_Price]]</f>
        <v>11166</v>
      </c>
      <c r="N997">
        <f>Clean_Data[[#This Row],[Total_Sales]]-Clean_Data[[#This Row],[Total_Cost]]</f>
        <v>3834</v>
      </c>
      <c r="O997" s="2">
        <f>Clean_Data[[#This Row],[Profit]]/Clean_Data[[#This Row],[Total_Sales]]</f>
        <v>0.25559999999999999</v>
      </c>
      <c r="P997" t="str">
        <f>_xlfn.XLOOKUP(Clean_Data[[#This Row],[Product_Code]],Product_Catalog!A:A,Product_Catalog!C:C)</f>
        <v>Electronics</v>
      </c>
      <c r="Q997">
        <f>IF(Clean_Data[[#This Row],[Order_Date]]="","",YEAR(Clean_Data[[#This Row],[Order_Date]]))</f>
        <v>2025</v>
      </c>
      <c r="R997" t="str">
        <f>TEXT(Clean_Data[[#This Row],[Order_Date]],"mmm")</f>
        <v>Oct</v>
      </c>
      <c r="S997" t="str">
        <f>TEXT(Clean_Data[[#This Row],[Order_Date]],"mmm-yy")</f>
        <v>Oct-25</v>
      </c>
      <c r="V997"/>
    </row>
    <row r="998" spans="1:22" x14ac:dyDescent="0.25">
      <c r="A998" t="s">
        <v>1075</v>
      </c>
      <c r="B998" s="1">
        <v>46229</v>
      </c>
      <c r="C998" t="s">
        <v>25</v>
      </c>
      <c r="D998" t="s">
        <v>26</v>
      </c>
      <c r="E998" t="s">
        <v>37</v>
      </c>
      <c r="F998" t="s">
        <v>38</v>
      </c>
      <c r="G998">
        <v>13</v>
      </c>
      <c r="H998">
        <v>55000</v>
      </c>
      <c r="I998">
        <v>34168</v>
      </c>
      <c r="J998" t="s">
        <v>22</v>
      </c>
      <c r="K998" t="s">
        <v>17</v>
      </c>
      <c r="L998">
        <f>SUM(Clean_Data[[#This Row],[Units_Sold]]*Clean_Data[[#This Row],[Unit_Price]])</f>
        <v>715000</v>
      </c>
      <c r="M998">
        <f>Clean_Data[[#This Row],[Units_Sold]]*Clean_Data[[#This Row],[Cost_Price]]</f>
        <v>444184</v>
      </c>
      <c r="N998">
        <f>Clean_Data[[#This Row],[Total_Sales]]-Clean_Data[[#This Row],[Total_Cost]]</f>
        <v>270816</v>
      </c>
      <c r="O998" s="2">
        <f>Clean_Data[[#This Row],[Profit]]/Clean_Data[[#This Row],[Total_Sales]]</f>
        <v>0.37876363636363636</v>
      </c>
      <c r="P998" t="str">
        <f>_xlfn.XLOOKUP(Clean_Data[[#This Row],[Product_Code]],Product_Catalog!A:A,Product_Catalog!C:C)</f>
        <v>Electronics</v>
      </c>
      <c r="Q998">
        <f>IF(Clean_Data[[#This Row],[Order_Date]]="","",YEAR(Clean_Data[[#This Row],[Order_Date]]))</f>
        <v>2026</v>
      </c>
      <c r="R998" t="str">
        <f>TEXT(Clean_Data[[#This Row],[Order_Date]],"mmm")</f>
        <v>Jul</v>
      </c>
      <c r="S998" t="str">
        <f>TEXT(Clean_Data[[#This Row],[Order_Date]],"mmm-yy")</f>
        <v>Jul-26</v>
      </c>
      <c r="V998"/>
    </row>
    <row r="999" spans="1:22" x14ac:dyDescent="0.25">
      <c r="A999" t="s">
        <v>1076</v>
      </c>
      <c r="B999" s="1">
        <v>45838</v>
      </c>
      <c r="C999" t="s">
        <v>31</v>
      </c>
      <c r="D999" t="s">
        <v>26</v>
      </c>
      <c r="E999" t="s">
        <v>63</v>
      </c>
      <c r="F999" t="s">
        <v>59</v>
      </c>
      <c r="G999">
        <v>16</v>
      </c>
      <c r="H999">
        <v>4500</v>
      </c>
      <c r="I999">
        <v>3315</v>
      </c>
      <c r="J999" t="s">
        <v>29</v>
      </c>
      <c r="K999" t="s">
        <v>17</v>
      </c>
      <c r="L999">
        <f>SUM(Clean_Data[[#This Row],[Units_Sold]]*Clean_Data[[#This Row],[Unit_Price]])</f>
        <v>72000</v>
      </c>
      <c r="M999">
        <f>Clean_Data[[#This Row],[Units_Sold]]*Clean_Data[[#This Row],[Cost_Price]]</f>
        <v>53040</v>
      </c>
      <c r="N999">
        <f>Clean_Data[[#This Row],[Total_Sales]]-Clean_Data[[#This Row],[Total_Cost]]</f>
        <v>18960</v>
      </c>
      <c r="O999" s="2">
        <f>Clean_Data[[#This Row],[Profit]]/Clean_Data[[#This Row],[Total_Sales]]</f>
        <v>0.26333333333333331</v>
      </c>
      <c r="P999" t="str">
        <f>_xlfn.XLOOKUP(Clean_Data[[#This Row],[Product_Code]],Product_Catalog!A:A,Product_Catalog!C:C)</f>
        <v>Electronics</v>
      </c>
      <c r="Q999">
        <f>IF(Clean_Data[[#This Row],[Order_Date]]="","",YEAR(Clean_Data[[#This Row],[Order_Date]]))</f>
        <v>2025</v>
      </c>
      <c r="R999" t="str">
        <f>TEXT(Clean_Data[[#This Row],[Order_Date]],"mmm")</f>
        <v>Jun</v>
      </c>
      <c r="S999" t="str">
        <f>TEXT(Clean_Data[[#This Row],[Order_Date]],"mmm-yy")</f>
        <v>Jun-25</v>
      </c>
      <c r="V999"/>
    </row>
    <row r="1000" spans="1:22" x14ac:dyDescent="0.25">
      <c r="A1000" t="s">
        <v>1077</v>
      </c>
      <c r="B1000" s="1">
        <v>46252</v>
      </c>
      <c r="C1000" t="s">
        <v>25</v>
      </c>
      <c r="D1000" t="s">
        <v>40</v>
      </c>
      <c r="E1000" t="s">
        <v>27</v>
      </c>
      <c r="F1000" t="s">
        <v>28</v>
      </c>
      <c r="G1000">
        <v>15</v>
      </c>
      <c r="H1000">
        <v>14000</v>
      </c>
      <c r="I1000">
        <v>9961</v>
      </c>
      <c r="J1000" t="s">
        <v>22</v>
      </c>
      <c r="K1000" t="s">
        <v>46</v>
      </c>
      <c r="L1000">
        <f>SUM(Clean_Data[[#This Row],[Units_Sold]]*Clean_Data[[#This Row],[Unit_Price]])</f>
        <v>210000</v>
      </c>
      <c r="M1000">
        <f>Clean_Data[[#This Row],[Units_Sold]]*Clean_Data[[#This Row],[Cost_Price]]</f>
        <v>149415</v>
      </c>
      <c r="N1000">
        <f>Clean_Data[[#This Row],[Total_Sales]]-Clean_Data[[#This Row],[Total_Cost]]</f>
        <v>60585</v>
      </c>
      <c r="O1000" s="2">
        <f>Clean_Data[[#This Row],[Profit]]/Clean_Data[[#This Row],[Total_Sales]]</f>
        <v>0.28849999999999998</v>
      </c>
      <c r="P1000" t="str">
        <f>_xlfn.XLOOKUP(Clean_Data[[#This Row],[Product_Code]],Product_Catalog!A:A,Product_Catalog!C:C)</f>
        <v>Furniture</v>
      </c>
      <c r="Q1000">
        <f>IF(Clean_Data[[#This Row],[Order_Date]]="","",YEAR(Clean_Data[[#This Row],[Order_Date]]))</f>
        <v>2026</v>
      </c>
      <c r="R1000" t="str">
        <f>TEXT(Clean_Data[[#This Row],[Order_Date]],"mmm")</f>
        <v>Aug</v>
      </c>
      <c r="S1000" t="str">
        <f>TEXT(Clean_Data[[#This Row],[Order_Date]],"mmm-yy")</f>
        <v>Aug-26</v>
      </c>
      <c r="V1000"/>
    </row>
    <row r="1001" spans="1:22" x14ac:dyDescent="0.25">
      <c r="A1001" t="s">
        <v>1078</v>
      </c>
      <c r="B1001" s="1">
        <v>45860</v>
      </c>
      <c r="C1001" t="s">
        <v>25</v>
      </c>
      <c r="D1001" t="s">
        <v>40</v>
      </c>
      <c r="E1001" t="s">
        <v>55</v>
      </c>
      <c r="F1001" t="s">
        <v>34</v>
      </c>
      <c r="G1001">
        <v>6</v>
      </c>
      <c r="H1001">
        <v>35000</v>
      </c>
      <c r="I1001">
        <v>25310</v>
      </c>
      <c r="J1001" t="s">
        <v>45</v>
      </c>
      <c r="K1001" t="s">
        <v>17</v>
      </c>
      <c r="L1001">
        <f>SUM(Clean_Data[[#This Row],[Units_Sold]]*Clean_Data[[#This Row],[Unit_Price]])</f>
        <v>210000</v>
      </c>
      <c r="M1001">
        <f>Clean_Data[[#This Row],[Units_Sold]]*Clean_Data[[#This Row],[Cost_Price]]</f>
        <v>151860</v>
      </c>
      <c r="N1001">
        <f>Clean_Data[[#This Row],[Total_Sales]]-Clean_Data[[#This Row],[Total_Cost]]</f>
        <v>58140</v>
      </c>
      <c r="O1001" s="2">
        <f>Clean_Data[[#This Row],[Profit]]/Clean_Data[[#This Row],[Total_Sales]]</f>
        <v>0.27685714285714286</v>
      </c>
      <c r="P1001" t="str">
        <f>_xlfn.XLOOKUP(Clean_Data[[#This Row],[Product_Code]],Product_Catalog!A:A,Product_Catalog!C:C)</f>
        <v>Furniture</v>
      </c>
      <c r="Q1001">
        <f>IF(Clean_Data[[#This Row],[Order_Date]]="","",YEAR(Clean_Data[[#This Row],[Order_Date]]))</f>
        <v>2025</v>
      </c>
      <c r="R1001" t="str">
        <f>TEXT(Clean_Data[[#This Row],[Order_Date]],"mmm")</f>
        <v>Jul</v>
      </c>
      <c r="S1001" t="str">
        <f>TEXT(Clean_Data[[#This Row],[Order_Date]],"mmm-yy")</f>
        <v>Jul-25</v>
      </c>
      <c r="V1001"/>
    </row>
    <row r="1002" spans="1:22" x14ac:dyDescent="0.25">
      <c r="A1002" t="s">
        <v>1079</v>
      </c>
      <c r="B1002" s="1">
        <v>45687</v>
      </c>
      <c r="C1002" t="s">
        <v>31</v>
      </c>
      <c r="D1002" t="s">
        <v>36</v>
      </c>
      <c r="E1002" t="s">
        <v>20</v>
      </c>
      <c r="F1002" t="s">
        <v>21</v>
      </c>
      <c r="G1002">
        <v>16</v>
      </c>
      <c r="H1002">
        <v>8500</v>
      </c>
      <c r="I1002">
        <v>6762</v>
      </c>
      <c r="J1002" t="s">
        <v>45</v>
      </c>
      <c r="K1002" t="s">
        <v>46</v>
      </c>
      <c r="L1002">
        <f>SUM(Clean_Data[[#This Row],[Units_Sold]]*Clean_Data[[#This Row],[Unit_Price]])</f>
        <v>136000</v>
      </c>
      <c r="M1002">
        <f>Clean_Data[[#This Row],[Units_Sold]]*Clean_Data[[#This Row],[Cost_Price]]</f>
        <v>108192</v>
      </c>
      <c r="N1002">
        <f>Clean_Data[[#This Row],[Total_Sales]]-Clean_Data[[#This Row],[Total_Cost]]</f>
        <v>27808</v>
      </c>
      <c r="O1002" s="2">
        <f>Clean_Data[[#This Row],[Profit]]/Clean_Data[[#This Row],[Total_Sales]]</f>
        <v>0.20447058823529413</v>
      </c>
      <c r="P1002" t="str">
        <f>_xlfn.XLOOKUP(Clean_Data[[#This Row],[Product_Code]],Product_Catalog!A:A,Product_Catalog!C:C)</f>
        <v>Accessories</v>
      </c>
      <c r="Q1002">
        <f>IF(Clean_Data[[#This Row],[Order_Date]]="","",YEAR(Clean_Data[[#This Row],[Order_Date]]))</f>
        <v>2025</v>
      </c>
      <c r="R1002" t="str">
        <f>TEXT(Clean_Data[[#This Row],[Order_Date]],"mmm")</f>
        <v>Jan</v>
      </c>
      <c r="S1002" t="str">
        <f>TEXT(Clean_Data[[#This Row],[Order_Date]],"mmm-yy")</f>
        <v>Jan-25</v>
      </c>
      <c r="V1002"/>
    </row>
    <row r="1003" spans="1:22" x14ac:dyDescent="0.25">
      <c r="A1003" t="s">
        <v>1080</v>
      </c>
      <c r="B1003" s="1">
        <v>45794</v>
      </c>
      <c r="C1003" t="s">
        <v>31</v>
      </c>
      <c r="D1003" t="s">
        <v>36</v>
      </c>
      <c r="E1003" t="s">
        <v>14</v>
      </c>
      <c r="F1003" t="s">
        <v>15</v>
      </c>
      <c r="G1003">
        <v>17</v>
      </c>
      <c r="H1003">
        <v>12500</v>
      </c>
      <c r="I1003">
        <v>9615</v>
      </c>
      <c r="J1003" t="s">
        <v>16</v>
      </c>
      <c r="K1003" t="s">
        <v>23</v>
      </c>
      <c r="L1003">
        <f>SUM(Clean_Data[[#This Row],[Units_Sold]]*Clean_Data[[#This Row],[Unit_Price]])</f>
        <v>212500</v>
      </c>
      <c r="M1003">
        <f>Clean_Data[[#This Row],[Units_Sold]]*Clean_Data[[#This Row],[Cost_Price]]</f>
        <v>163455</v>
      </c>
      <c r="N1003">
        <f>Clean_Data[[#This Row],[Total_Sales]]-Clean_Data[[#This Row],[Total_Cost]]</f>
        <v>49045</v>
      </c>
      <c r="O1003" s="2">
        <f>Clean_Data[[#This Row],[Profit]]/Clean_Data[[#This Row],[Total_Sales]]</f>
        <v>0.23080000000000001</v>
      </c>
      <c r="P1003" t="str">
        <f>_xlfn.XLOOKUP(Clean_Data[[#This Row],[Product_Code]],Product_Catalog!A:A,Product_Catalog!C:C)</f>
        <v>Accessories</v>
      </c>
      <c r="Q1003">
        <f>IF(Clean_Data[[#This Row],[Order_Date]]="","",YEAR(Clean_Data[[#This Row],[Order_Date]]))</f>
        <v>2025</v>
      </c>
      <c r="R1003" t="str">
        <f>TEXT(Clean_Data[[#This Row],[Order_Date]],"mmm")</f>
        <v>May</v>
      </c>
      <c r="S1003" t="str">
        <f>TEXT(Clean_Data[[#This Row],[Order_Date]],"mmm-yy")</f>
        <v>May-25</v>
      </c>
      <c r="V1003"/>
    </row>
    <row r="1004" spans="1:22" x14ac:dyDescent="0.25">
      <c r="A1004" t="s">
        <v>1081</v>
      </c>
      <c r="B1004" s="1">
        <v>45896</v>
      </c>
      <c r="C1004" t="s">
        <v>12</v>
      </c>
      <c r="D1004" t="s">
        <v>40</v>
      </c>
      <c r="E1004" t="s">
        <v>41</v>
      </c>
      <c r="F1004" t="s">
        <v>42</v>
      </c>
      <c r="G1004">
        <v>10</v>
      </c>
      <c r="H1004">
        <v>28000</v>
      </c>
      <c r="I1004">
        <v>21608</v>
      </c>
      <c r="J1004" t="s">
        <v>16</v>
      </c>
      <c r="K1004" t="s">
        <v>46</v>
      </c>
      <c r="L1004">
        <f>SUM(Clean_Data[[#This Row],[Units_Sold]]*Clean_Data[[#This Row],[Unit_Price]])</f>
        <v>280000</v>
      </c>
      <c r="M1004">
        <f>Clean_Data[[#This Row],[Units_Sold]]*Clean_Data[[#This Row],[Cost_Price]]</f>
        <v>216080</v>
      </c>
      <c r="N1004">
        <f>Clean_Data[[#This Row],[Total_Sales]]-Clean_Data[[#This Row],[Total_Cost]]</f>
        <v>63920</v>
      </c>
      <c r="O1004" s="2">
        <f>Clean_Data[[#This Row],[Profit]]/Clean_Data[[#This Row],[Total_Sales]]</f>
        <v>0.22828571428571429</v>
      </c>
      <c r="P1004" t="str">
        <f>_xlfn.XLOOKUP(Clean_Data[[#This Row],[Product_Code]],Product_Catalog!A:A,Product_Catalog!C:C)</f>
        <v>Electronics</v>
      </c>
      <c r="Q1004">
        <f>IF(Clean_Data[[#This Row],[Order_Date]]="","",YEAR(Clean_Data[[#This Row],[Order_Date]]))</f>
        <v>2025</v>
      </c>
      <c r="R1004" t="str">
        <f>TEXT(Clean_Data[[#This Row],[Order_Date]],"mmm")</f>
        <v>Aug</v>
      </c>
      <c r="S1004" t="str">
        <f>TEXT(Clean_Data[[#This Row],[Order_Date]],"mmm-yy")</f>
        <v>Aug-25</v>
      </c>
      <c r="V1004"/>
    </row>
    <row r="1005" spans="1:22" x14ac:dyDescent="0.25">
      <c r="A1005" t="s">
        <v>1082</v>
      </c>
      <c r="B1005" s="1">
        <v>46230</v>
      </c>
      <c r="C1005" t="s">
        <v>25</v>
      </c>
      <c r="D1005" t="s">
        <v>33</v>
      </c>
      <c r="E1005" t="s">
        <v>63</v>
      </c>
      <c r="F1005" t="s">
        <v>59</v>
      </c>
      <c r="G1005">
        <v>17</v>
      </c>
      <c r="H1005">
        <v>4500</v>
      </c>
      <c r="I1005">
        <v>3308</v>
      </c>
      <c r="J1005" t="s">
        <v>22</v>
      </c>
      <c r="K1005" t="s">
        <v>23</v>
      </c>
      <c r="L1005">
        <f>SUM(Clean_Data[[#This Row],[Units_Sold]]*Clean_Data[[#This Row],[Unit_Price]])</f>
        <v>76500</v>
      </c>
      <c r="M1005">
        <f>Clean_Data[[#This Row],[Units_Sold]]*Clean_Data[[#This Row],[Cost_Price]]</f>
        <v>56236</v>
      </c>
      <c r="N1005">
        <f>Clean_Data[[#This Row],[Total_Sales]]-Clean_Data[[#This Row],[Total_Cost]]</f>
        <v>20264</v>
      </c>
      <c r="O1005" s="2">
        <f>Clean_Data[[#This Row],[Profit]]/Clean_Data[[#This Row],[Total_Sales]]</f>
        <v>0.2648888888888889</v>
      </c>
      <c r="P1005" t="str">
        <f>_xlfn.XLOOKUP(Clean_Data[[#This Row],[Product_Code]],Product_Catalog!A:A,Product_Catalog!C:C)</f>
        <v>Electronics</v>
      </c>
      <c r="Q1005">
        <f>IF(Clean_Data[[#This Row],[Order_Date]]="","",YEAR(Clean_Data[[#This Row],[Order_Date]]))</f>
        <v>2026</v>
      </c>
      <c r="R1005" t="str">
        <f>TEXT(Clean_Data[[#This Row],[Order_Date]],"mmm")</f>
        <v>Jul</v>
      </c>
      <c r="S1005" t="str">
        <f>TEXT(Clean_Data[[#This Row],[Order_Date]],"mmm-yy")</f>
        <v>Jul-26</v>
      </c>
      <c r="V1005"/>
    </row>
    <row r="1006" spans="1:22" x14ac:dyDescent="0.25">
      <c r="A1006" t="s">
        <v>1083</v>
      </c>
      <c r="B1006" s="1">
        <v>46130</v>
      </c>
      <c r="C1006" t="s">
        <v>31</v>
      </c>
      <c r="D1006" t="s">
        <v>40</v>
      </c>
      <c r="E1006" t="s">
        <v>37</v>
      </c>
      <c r="F1006" t="s">
        <v>38</v>
      </c>
      <c r="G1006">
        <v>12</v>
      </c>
      <c r="H1006">
        <v>55000</v>
      </c>
      <c r="I1006">
        <v>38629</v>
      </c>
      <c r="J1006" t="s">
        <v>22</v>
      </c>
      <c r="K1006" t="s">
        <v>17</v>
      </c>
      <c r="L1006">
        <f>SUM(Clean_Data[[#This Row],[Units_Sold]]*Clean_Data[[#This Row],[Unit_Price]])</f>
        <v>660000</v>
      </c>
      <c r="M1006">
        <f>Clean_Data[[#This Row],[Units_Sold]]*Clean_Data[[#This Row],[Cost_Price]]</f>
        <v>463548</v>
      </c>
      <c r="N1006">
        <f>Clean_Data[[#This Row],[Total_Sales]]-Clean_Data[[#This Row],[Total_Cost]]</f>
        <v>196452</v>
      </c>
      <c r="O1006" s="2">
        <f>Clean_Data[[#This Row],[Profit]]/Clean_Data[[#This Row],[Total_Sales]]</f>
        <v>0.29765454545454545</v>
      </c>
      <c r="P1006" t="str">
        <f>_xlfn.XLOOKUP(Clean_Data[[#This Row],[Product_Code]],Product_Catalog!A:A,Product_Catalog!C:C)</f>
        <v>Electronics</v>
      </c>
      <c r="Q1006">
        <f>IF(Clean_Data[[#This Row],[Order_Date]]="","",YEAR(Clean_Data[[#This Row],[Order_Date]]))</f>
        <v>2026</v>
      </c>
      <c r="R1006" t="str">
        <f>TEXT(Clean_Data[[#This Row],[Order_Date]],"mmm")</f>
        <v>Apr</v>
      </c>
      <c r="S1006" t="str">
        <f>TEXT(Clean_Data[[#This Row],[Order_Date]],"mmm-yy")</f>
        <v>Apr-26</v>
      </c>
      <c r="V1006"/>
    </row>
    <row r="1007" spans="1:22" x14ac:dyDescent="0.25">
      <c r="A1007" t="s">
        <v>1084</v>
      </c>
      <c r="B1007" s="1">
        <v>46232</v>
      </c>
      <c r="C1007" t="s">
        <v>53</v>
      </c>
      <c r="D1007" t="s">
        <v>13</v>
      </c>
      <c r="E1007" t="s">
        <v>37</v>
      </c>
      <c r="F1007" t="s">
        <v>38</v>
      </c>
      <c r="G1007">
        <v>15</v>
      </c>
      <c r="H1007">
        <v>55000</v>
      </c>
      <c r="I1007">
        <v>33853</v>
      </c>
      <c r="J1007" t="s">
        <v>16</v>
      </c>
      <c r="K1007" t="s">
        <v>17</v>
      </c>
      <c r="L1007">
        <f>SUM(Clean_Data[[#This Row],[Units_Sold]]*Clean_Data[[#This Row],[Unit_Price]])</f>
        <v>825000</v>
      </c>
      <c r="M1007">
        <f>Clean_Data[[#This Row],[Units_Sold]]*Clean_Data[[#This Row],[Cost_Price]]</f>
        <v>507795</v>
      </c>
      <c r="N1007">
        <f>Clean_Data[[#This Row],[Total_Sales]]-Clean_Data[[#This Row],[Total_Cost]]</f>
        <v>317205</v>
      </c>
      <c r="O1007" s="2">
        <f>Clean_Data[[#This Row],[Profit]]/Clean_Data[[#This Row],[Total_Sales]]</f>
        <v>0.38449090909090911</v>
      </c>
      <c r="P1007" t="str">
        <f>_xlfn.XLOOKUP(Clean_Data[[#This Row],[Product_Code]],Product_Catalog!A:A,Product_Catalog!C:C)</f>
        <v>Electronics</v>
      </c>
      <c r="Q1007">
        <f>IF(Clean_Data[[#This Row],[Order_Date]]="","",YEAR(Clean_Data[[#This Row],[Order_Date]]))</f>
        <v>2026</v>
      </c>
      <c r="R1007" t="str">
        <f>TEXT(Clean_Data[[#This Row],[Order_Date]],"mmm")</f>
        <v>Jul</v>
      </c>
      <c r="S1007" t="str">
        <f>TEXT(Clean_Data[[#This Row],[Order_Date]],"mmm-yy")</f>
        <v>Jul-26</v>
      </c>
      <c r="V1007"/>
    </row>
    <row r="1008" spans="1:22" x14ac:dyDescent="0.25">
      <c r="A1008" t="s">
        <v>1085</v>
      </c>
      <c r="B1008" s="1">
        <v>45840</v>
      </c>
      <c r="C1008" t="s">
        <v>19</v>
      </c>
      <c r="D1008" t="s">
        <v>36</v>
      </c>
      <c r="E1008" t="s">
        <v>55</v>
      </c>
      <c r="F1008" t="s">
        <v>34</v>
      </c>
      <c r="G1008">
        <v>11</v>
      </c>
      <c r="H1008">
        <v>35000</v>
      </c>
      <c r="I1008">
        <v>26753</v>
      </c>
      <c r="J1008" t="s">
        <v>22</v>
      </c>
      <c r="K1008" t="s">
        <v>17</v>
      </c>
      <c r="L1008">
        <f>SUM(Clean_Data[[#This Row],[Units_Sold]]*Clean_Data[[#This Row],[Unit_Price]])</f>
        <v>385000</v>
      </c>
      <c r="M1008">
        <f>Clean_Data[[#This Row],[Units_Sold]]*Clean_Data[[#This Row],[Cost_Price]]</f>
        <v>294283</v>
      </c>
      <c r="N1008">
        <f>Clean_Data[[#This Row],[Total_Sales]]-Clean_Data[[#This Row],[Total_Cost]]</f>
        <v>90717</v>
      </c>
      <c r="O1008" s="2">
        <f>Clean_Data[[#This Row],[Profit]]/Clean_Data[[#This Row],[Total_Sales]]</f>
        <v>0.23562857142857144</v>
      </c>
      <c r="P1008" t="str">
        <f>_xlfn.XLOOKUP(Clean_Data[[#This Row],[Product_Code]],Product_Catalog!A:A,Product_Catalog!C:C)</f>
        <v>Furniture</v>
      </c>
      <c r="Q1008">
        <f>IF(Clean_Data[[#This Row],[Order_Date]]="","",YEAR(Clean_Data[[#This Row],[Order_Date]]))</f>
        <v>2025</v>
      </c>
      <c r="R1008" t="str">
        <f>TEXT(Clean_Data[[#This Row],[Order_Date]],"mmm")</f>
        <v>Jul</v>
      </c>
      <c r="S1008" t="str">
        <f>TEXT(Clean_Data[[#This Row],[Order_Date]],"mmm-yy")</f>
        <v>Jul-25</v>
      </c>
      <c r="V1008"/>
    </row>
    <row r="1009" spans="1:22" x14ac:dyDescent="0.25">
      <c r="A1009" t="s">
        <v>1086</v>
      </c>
      <c r="B1009" s="1">
        <v>46019</v>
      </c>
      <c r="C1009" t="s">
        <v>25</v>
      </c>
      <c r="D1009" t="s">
        <v>26</v>
      </c>
      <c r="E1009" t="s">
        <v>14</v>
      </c>
      <c r="F1009" t="s">
        <v>15</v>
      </c>
      <c r="G1009">
        <v>9</v>
      </c>
      <c r="H1009">
        <v>12500</v>
      </c>
      <c r="I1009">
        <v>9993</v>
      </c>
      <c r="J1009" t="s">
        <v>16</v>
      </c>
      <c r="K1009" t="s">
        <v>17</v>
      </c>
      <c r="L1009">
        <f>SUM(Clean_Data[[#This Row],[Units_Sold]]*Clean_Data[[#This Row],[Unit_Price]])</f>
        <v>112500</v>
      </c>
      <c r="M1009">
        <f>Clean_Data[[#This Row],[Units_Sold]]*Clean_Data[[#This Row],[Cost_Price]]</f>
        <v>89937</v>
      </c>
      <c r="N1009">
        <f>Clean_Data[[#This Row],[Total_Sales]]-Clean_Data[[#This Row],[Total_Cost]]</f>
        <v>22563</v>
      </c>
      <c r="O1009" s="2">
        <f>Clean_Data[[#This Row],[Profit]]/Clean_Data[[#This Row],[Total_Sales]]</f>
        <v>0.20055999999999999</v>
      </c>
      <c r="P1009" t="str">
        <f>_xlfn.XLOOKUP(Clean_Data[[#This Row],[Product_Code]],Product_Catalog!A:A,Product_Catalog!C:C)</f>
        <v>Accessories</v>
      </c>
      <c r="Q1009">
        <f>IF(Clean_Data[[#This Row],[Order_Date]]="","",YEAR(Clean_Data[[#This Row],[Order_Date]]))</f>
        <v>2025</v>
      </c>
      <c r="R1009" t="str">
        <f>TEXT(Clean_Data[[#This Row],[Order_Date]],"mmm")</f>
        <v>Dec</v>
      </c>
      <c r="S1009" t="str">
        <f>TEXT(Clean_Data[[#This Row],[Order_Date]],"mmm-yy")</f>
        <v>Dec-25</v>
      </c>
      <c r="V1009"/>
    </row>
    <row r="1010" spans="1:22" x14ac:dyDescent="0.25">
      <c r="A1010" t="s">
        <v>1087</v>
      </c>
      <c r="B1010" s="1">
        <v>45848</v>
      </c>
      <c r="C1010" t="s">
        <v>25</v>
      </c>
      <c r="D1010" t="s">
        <v>40</v>
      </c>
      <c r="E1010" t="s">
        <v>41</v>
      </c>
      <c r="F1010" t="s">
        <v>42</v>
      </c>
      <c r="G1010">
        <v>16</v>
      </c>
      <c r="H1010">
        <v>28000</v>
      </c>
      <c r="I1010">
        <v>19452</v>
      </c>
      <c r="J1010" t="s">
        <v>22</v>
      </c>
      <c r="K1010" t="s">
        <v>46</v>
      </c>
      <c r="L1010">
        <f>SUM(Clean_Data[[#This Row],[Units_Sold]]*Clean_Data[[#This Row],[Unit_Price]])</f>
        <v>448000</v>
      </c>
      <c r="M1010">
        <f>Clean_Data[[#This Row],[Units_Sold]]*Clean_Data[[#This Row],[Cost_Price]]</f>
        <v>311232</v>
      </c>
      <c r="N1010">
        <f>Clean_Data[[#This Row],[Total_Sales]]-Clean_Data[[#This Row],[Total_Cost]]</f>
        <v>136768</v>
      </c>
      <c r="O1010" s="2">
        <f>Clean_Data[[#This Row],[Profit]]/Clean_Data[[#This Row],[Total_Sales]]</f>
        <v>0.30528571428571427</v>
      </c>
      <c r="P1010" t="str">
        <f>_xlfn.XLOOKUP(Clean_Data[[#This Row],[Product_Code]],Product_Catalog!A:A,Product_Catalog!C:C)</f>
        <v>Electronics</v>
      </c>
      <c r="Q1010">
        <f>IF(Clean_Data[[#This Row],[Order_Date]]="","",YEAR(Clean_Data[[#This Row],[Order_Date]]))</f>
        <v>2025</v>
      </c>
      <c r="R1010" t="str">
        <f>TEXT(Clean_Data[[#This Row],[Order_Date]],"mmm")</f>
        <v>Jul</v>
      </c>
      <c r="S1010" t="str">
        <f>TEXT(Clean_Data[[#This Row],[Order_Date]],"mmm-yy")</f>
        <v>Jul-25</v>
      </c>
      <c r="V1010"/>
    </row>
    <row r="1011" spans="1:22" x14ac:dyDescent="0.25">
      <c r="A1011" t="s">
        <v>1088</v>
      </c>
      <c r="B1011" s="1">
        <v>45841</v>
      </c>
      <c r="C1011" t="s">
        <v>12</v>
      </c>
      <c r="D1011" t="s">
        <v>40</v>
      </c>
      <c r="E1011" t="s">
        <v>14</v>
      </c>
      <c r="F1011" t="s">
        <v>15</v>
      </c>
      <c r="G1011">
        <v>7</v>
      </c>
      <c r="H1011">
        <v>12500</v>
      </c>
      <c r="I1011">
        <v>7564</v>
      </c>
      <c r="J1011" t="s">
        <v>29</v>
      </c>
      <c r="K1011" t="s">
        <v>17</v>
      </c>
      <c r="L1011">
        <f>SUM(Clean_Data[[#This Row],[Units_Sold]]*Clean_Data[[#This Row],[Unit_Price]])</f>
        <v>87500</v>
      </c>
      <c r="M1011">
        <f>Clean_Data[[#This Row],[Units_Sold]]*Clean_Data[[#This Row],[Cost_Price]]</f>
        <v>52948</v>
      </c>
      <c r="N1011">
        <f>Clean_Data[[#This Row],[Total_Sales]]-Clean_Data[[#This Row],[Total_Cost]]</f>
        <v>34552</v>
      </c>
      <c r="O1011" s="2">
        <f>Clean_Data[[#This Row],[Profit]]/Clean_Data[[#This Row],[Total_Sales]]</f>
        <v>0.39488000000000001</v>
      </c>
      <c r="P1011" t="str">
        <f>_xlfn.XLOOKUP(Clean_Data[[#This Row],[Product_Code]],Product_Catalog!A:A,Product_Catalog!C:C)</f>
        <v>Accessories</v>
      </c>
      <c r="Q1011">
        <f>IF(Clean_Data[[#This Row],[Order_Date]]="","",YEAR(Clean_Data[[#This Row],[Order_Date]]))</f>
        <v>2025</v>
      </c>
      <c r="R1011" t="str">
        <f>TEXT(Clean_Data[[#This Row],[Order_Date]],"mmm")</f>
        <v>Jul</v>
      </c>
      <c r="S1011" t="str">
        <f>TEXT(Clean_Data[[#This Row],[Order_Date]],"mmm-yy")</f>
        <v>Jul-25</v>
      </c>
      <c r="V1011"/>
    </row>
    <row r="1012" spans="1:22" x14ac:dyDescent="0.25">
      <c r="A1012" t="s">
        <v>1090</v>
      </c>
      <c r="B1012" s="1">
        <v>45801</v>
      </c>
      <c r="C1012" t="s">
        <v>44</v>
      </c>
      <c r="D1012" t="s">
        <v>40</v>
      </c>
      <c r="E1012" t="s">
        <v>27</v>
      </c>
      <c r="F1012" t="s">
        <v>28</v>
      </c>
      <c r="G1012">
        <v>15</v>
      </c>
      <c r="H1012">
        <v>14000</v>
      </c>
      <c r="I1012">
        <v>9400</v>
      </c>
      <c r="J1012" t="s">
        <v>29</v>
      </c>
      <c r="K1012" t="s">
        <v>17</v>
      </c>
      <c r="L1012">
        <f>SUM(Clean_Data[[#This Row],[Units_Sold]]*Clean_Data[[#This Row],[Unit_Price]])</f>
        <v>210000</v>
      </c>
      <c r="M1012">
        <f>Clean_Data[[#This Row],[Units_Sold]]*Clean_Data[[#This Row],[Cost_Price]]</f>
        <v>141000</v>
      </c>
      <c r="N1012">
        <f>Clean_Data[[#This Row],[Total_Sales]]-Clean_Data[[#This Row],[Total_Cost]]</f>
        <v>69000</v>
      </c>
      <c r="O1012" s="2">
        <f>Clean_Data[[#This Row],[Profit]]/Clean_Data[[#This Row],[Total_Sales]]</f>
        <v>0.32857142857142857</v>
      </c>
      <c r="P1012" t="str">
        <f>_xlfn.XLOOKUP(Clean_Data[[#This Row],[Product_Code]],Product_Catalog!A:A,Product_Catalog!C:C)</f>
        <v>Furniture</v>
      </c>
      <c r="Q1012">
        <f>IF(Clean_Data[[#This Row],[Order_Date]]="","",YEAR(Clean_Data[[#This Row],[Order_Date]]))</f>
        <v>2025</v>
      </c>
      <c r="R1012" t="str">
        <f>TEXT(Clean_Data[[#This Row],[Order_Date]],"mmm")</f>
        <v>May</v>
      </c>
      <c r="S1012" t="str">
        <f>TEXT(Clean_Data[[#This Row],[Order_Date]],"mmm-yy")</f>
        <v>May-25</v>
      </c>
      <c r="V1012"/>
    </row>
    <row r="1013" spans="1:22" x14ac:dyDescent="0.25">
      <c r="A1013" t="s">
        <v>1091</v>
      </c>
      <c r="B1013" s="1">
        <v>45675</v>
      </c>
      <c r="C1013" t="s">
        <v>31</v>
      </c>
      <c r="D1013" t="s">
        <v>26</v>
      </c>
      <c r="E1013" t="s">
        <v>41</v>
      </c>
      <c r="F1013" t="s">
        <v>42</v>
      </c>
      <c r="G1013">
        <v>3</v>
      </c>
      <c r="H1013">
        <v>28000</v>
      </c>
      <c r="I1013">
        <v>19385</v>
      </c>
      <c r="J1013" t="s">
        <v>16</v>
      </c>
      <c r="K1013" t="s">
        <v>23</v>
      </c>
      <c r="L1013">
        <f>SUM(Clean_Data[[#This Row],[Units_Sold]]*Clean_Data[[#This Row],[Unit_Price]])</f>
        <v>84000</v>
      </c>
      <c r="M1013">
        <f>Clean_Data[[#This Row],[Units_Sold]]*Clean_Data[[#This Row],[Cost_Price]]</f>
        <v>58155</v>
      </c>
      <c r="N1013">
        <f>Clean_Data[[#This Row],[Total_Sales]]-Clean_Data[[#This Row],[Total_Cost]]</f>
        <v>25845</v>
      </c>
      <c r="O1013" s="2">
        <f>Clean_Data[[#This Row],[Profit]]/Clean_Data[[#This Row],[Total_Sales]]</f>
        <v>0.30767857142857141</v>
      </c>
      <c r="P1013" t="str">
        <f>_xlfn.XLOOKUP(Clean_Data[[#This Row],[Product_Code]],Product_Catalog!A:A,Product_Catalog!C:C)</f>
        <v>Electronics</v>
      </c>
      <c r="Q1013">
        <f>IF(Clean_Data[[#This Row],[Order_Date]]="","",YEAR(Clean_Data[[#This Row],[Order_Date]]))</f>
        <v>2025</v>
      </c>
      <c r="R1013" t="str">
        <f>TEXT(Clean_Data[[#This Row],[Order_Date]],"mmm")</f>
        <v>Jan</v>
      </c>
      <c r="S1013" t="str">
        <f>TEXT(Clean_Data[[#This Row],[Order_Date]],"mmm-yy")</f>
        <v>Jan-25</v>
      </c>
      <c r="V1013"/>
    </row>
    <row r="1014" spans="1:22" x14ac:dyDescent="0.25">
      <c r="A1014" t="s">
        <v>1092</v>
      </c>
      <c r="B1014" s="1">
        <v>46055</v>
      </c>
      <c r="C1014" t="s">
        <v>25</v>
      </c>
      <c r="D1014" t="s">
        <v>26</v>
      </c>
      <c r="E1014" t="s">
        <v>41</v>
      </c>
      <c r="F1014" t="s">
        <v>42</v>
      </c>
      <c r="G1014">
        <v>1</v>
      </c>
      <c r="H1014">
        <v>28000</v>
      </c>
      <c r="I1014">
        <v>19434</v>
      </c>
      <c r="J1014" t="s">
        <v>45</v>
      </c>
      <c r="K1014" t="s">
        <v>46</v>
      </c>
      <c r="L1014">
        <f>SUM(Clean_Data[[#This Row],[Units_Sold]]*Clean_Data[[#This Row],[Unit_Price]])</f>
        <v>28000</v>
      </c>
      <c r="M1014">
        <f>Clean_Data[[#This Row],[Units_Sold]]*Clean_Data[[#This Row],[Cost_Price]]</f>
        <v>19434</v>
      </c>
      <c r="N1014">
        <f>Clean_Data[[#This Row],[Total_Sales]]-Clean_Data[[#This Row],[Total_Cost]]</f>
        <v>8566</v>
      </c>
      <c r="O1014" s="2">
        <f>Clean_Data[[#This Row],[Profit]]/Clean_Data[[#This Row],[Total_Sales]]</f>
        <v>0.30592857142857144</v>
      </c>
      <c r="P1014" t="str">
        <f>_xlfn.XLOOKUP(Clean_Data[[#This Row],[Product_Code]],Product_Catalog!A:A,Product_Catalog!C:C)</f>
        <v>Electronics</v>
      </c>
      <c r="Q1014">
        <f>IF(Clean_Data[[#This Row],[Order_Date]]="","",YEAR(Clean_Data[[#This Row],[Order_Date]]))</f>
        <v>2026</v>
      </c>
      <c r="R1014" t="str">
        <f>TEXT(Clean_Data[[#This Row],[Order_Date]],"mmm")</f>
        <v>Feb</v>
      </c>
      <c r="S1014" t="str">
        <f>TEXT(Clean_Data[[#This Row],[Order_Date]],"mmm-yy")</f>
        <v>Feb-26</v>
      </c>
      <c r="V1014"/>
    </row>
    <row r="1015" spans="1:22" x14ac:dyDescent="0.25">
      <c r="A1015" t="s">
        <v>1093</v>
      </c>
      <c r="B1015" s="1">
        <v>46257</v>
      </c>
      <c r="C1015" t="s">
        <v>62</v>
      </c>
      <c r="D1015" t="s">
        <v>40</v>
      </c>
      <c r="E1015" t="s">
        <v>27</v>
      </c>
      <c r="F1015" t="s">
        <v>28</v>
      </c>
      <c r="G1015">
        <v>8</v>
      </c>
      <c r="H1015">
        <v>14000</v>
      </c>
      <c r="I1015">
        <v>8625</v>
      </c>
      <c r="J1015" t="s">
        <v>29</v>
      </c>
      <c r="K1015" t="s">
        <v>23</v>
      </c>
      <c r="L1015">
        <f>SUM(Clean_Data[[#This Row],[Units_Sold]]*Clean_Data[[#This Row],[Unit_Price]])</f>
        <v>112000</v>
      </c>
      <c r="M1015">
        <f>Clean_Data[[#This Row],[Units_Sold]]*Clean_Data[[#This Row],[Cost_Price]]</f>
        <v>69000</v>
      </c>
      <c r="N1015">
        <f>Clean_Data[[#This Row],[Total_Sales]]-Clean_Data[[#This Row],[Total_Cost]]</f>
        <v>43000</v>
      </c>
      <c r="O1015" s="2">
        <f>Clean_Data[[#This Row],[Profit]]/Clean_Data[[#This Row],[Total_Sales]]</f>
        <v>0.38392857142857145</v>
      </c>
      <c r="P1015" t="str">
        <f>_xlfn.XLOOKUP(Clean_Data[[#This Row],[Product_Code]],Product_Catalog!A:A,Product_Catalog!C:C)</f>
        <v>Furniture</v>
      </c>
      <c r="Q1015">
        <f>IF(Clean_Data[[#This Row],[Order_Date]]="","",YEAR(Clean_Data[[#This Row],[Order_Date]]))</f>
        <v>2026</v>
      </c>
      <c r="R1015" t="str">
        <f>TEXT(Clean_Data[[#This Row],[Order_Date]],"mmm")</f>
        <v>Aug</v>
      </c>
      <c r="S1015" t="str">
        <f>TEXT(Clean_Data[[#This Row],[Order_Date]],"mmm-yy")</f>
        <v>Aug-26</v>
      </c>
      <c r="V1015"/>
    </row>
    <row r="1016" spans="1:22" x14ac:dyDescent="0.25">
      <c r="A1016" t="s">
        <v>1094</v>
      </c>
      <c r="B1016" s="1">
        <v>46227</v>
      </c>
      <c r="C1016" t="s">
        <v>25</v>
      </c>
      <c r="D1016" t="s">
        <v>13</v>
      </c>
      <c r="E1016" t="s">
        <v>66</v>
      </c>
      <c r="F1016" t="s">
        <v>67</v>
      </c>
      <c r="G1016">
        <v>16</v>
      </c>
      <c r="H1016">
        <v>2500</v>
      </c>
      <c r="I1016">
        <v>1629</v>
      </c>
      <c r="J1016" t="s">
        <v>16</v>
      </c>
      <c r="K1016" t="s">
        <v>17</v>
      </c>
      <c r="L1016">
        <f>SUM(Clean_Data[[#This Row],[Units_Sold]]*Clean_Data[[#This Row],[Unit_Price]])</f>
        <v>40000</v>
      </c>
      <c r="M1016">
        <f>Clean_Data[[#This Row],[Units_Sold]]*Clean_Data[[#This Row],[Cost_Price]]</f>
        <v>26064</v>
      </c>
      <c r="N1016">
        <f>Clean_Data[[#This Row],[Total_Sales]]-Clean_Data[[#This Row],[Total_Cost]]</f>
        <v>13936</v>
      </c>
      <c r="O1016" s="2">
        <f>Clean_Data[[#This Row],[Profit]]/Clean_Data[[#This Row],[Total_Sales]]</f>
        <v>0.34839999999999999</v>
      </c>
      <c r="P1016" t="str">
        <f>_xlfn.XLOOKUP(Clean_Data[[#This Row],[Product_Code]],Product_Catalog!A:A,Product_Catalog!C:C)</f>
        <v>Electronics</v>
      </c>
      <c r="Q1016">
        <f>IF(Clean_Data[[#This Row],[Order_Date]]="","",YEAR(Clean_Data[[#This Row],[Order_Date]]))</f>
        <v>2026</v>
      </c>
      <c r="R1016" t="str">
        <f>TEXT(Clean_Data[[#This Row],[Order_Date]],"mmm")</f>
        <v>Jul</v>
      </c>
      <c r="S1016" t="str">
        <f>TEXT(Clean_Data[[#This Row],[Order_Date]],"mmm-yy")</f>
        <v>Jul-26</v>
      </c>
      <c r="V1016"/>
    </row>
    <row r="1017" spans="1:22" x14ac:dyDescent="0.25">
      <c r="A1017" t="s">
        <v>1095</v>
      </c>
      <c r="B1017" s="1">
        <v>45930</v>
      </c>
      <c r="C1017" t="s">
        <v>62</v>
      </c>
      <c r="D1017" t="s">
        <v>33</v>
      </c>
      <c r="E1017" t="s">
        <v>37</v>
      </c>
      <c r="F1017" t="s">
        <v>38</v>
      </c>
      <c r="G1017">
        <v>15</v>
      </c>
      <c r="H1017">
        <v>55000</v>
      </c>
      <c r="I1017">
        <v>40264</v>
      </c>
      <c r="J1017" t="s">
        <v>22</v>
      </c>
      <c r="K1017" t="s">
        <v>23</v>
      </c>
      <c r="L1017">
        <f>SUM(Clean_Data[[#This Row],[Units_Sold]]*Clean_Data[[#This Row],[Unit_Price]])</f>
        <v>825000</v>
      </c>
      <c r="M1017">
        <f>Clean_Data[[#This Row],[Units_Sold]]*Clean_Data[[#This Row],[Cost_Price]]</f>
        <v>603960</v>
      </c>
      <c r="N1017">
        <f>Clean_Data[[#This Row],[Total_Sales]]-Clean_Data[[#This Row],[Total_Cost]]</f>
        <v>221040</v>
      </c>
      <c r="O1017" s="2">
        <f>Clean_Data[[#This Row],[Profit]]/Clean_Data[[#This Row],[Total_Sales]]</f>
        <v>0.26792727272727274</v>
      </c>
      <c r="P1017" t="str">
        <f>_xlfn.XLOOKUP(Clean_Data[[#This Row],[Product_Code]],Product_Catalog!A:A,Product_Catalog!C:C)</f>
        <v>Electronics</v>
      </c>
      <c r="Q1017">
        <f>IF(Clean_Data[[#This Row],[Order_Date]]="","",YEAR(Clean_Data[[#This Row],[Order_Date]]))</f>
        <v>2025</v>
      </c>
      <c r="R1017" t="str">
        <f>TEXT(Clean_Data[[#This Row],[Order_Date]],"mmm")</f>
        <v>Sep</v>
      </c>
      <c r="S1017" t="str">
        <f>TEXT(Clean_Data[[#This Row],[Order_Date]],"mmm-yy")</f>
        <v>Sep-25</v>
      </c>
      <c r="V1017"/>
    </row>
    <row r="1018" spans="1:22" x14ac:dyDescent="0.25">
      <c r="A1018" t="s">
        <v>1096</v>
      </c>
      <c r="B1018" s="1">
        <v>46126</v>
      </c>
      <c r="C1018" t="s">
        <v>12</v>
      </c>
      <c r="D1018" t="s">
        <v>36</v>
      </c>
      <c r="E1018" t="s">
        <v>20</v>
      </c>
      <c r="F1018" t="s">
        <v>21</v>
      </c>
      <c r="G1018">
        <v>3</v>
      </c>
      <c r="H1018">
        <v>8500</v>
      </c>
      <c r="I1018">
        <v>6362</v>
      </c>
      <c r="J1018" t="s">
        <v>22</v>
      </c>
      <c r="K1018" t="s">
        <v>23</v>
      </c>
      <c r="L1018">
        <f>SUM(Clean_Data[[#This Row],[Units_Sold]]*Clean_Data[[#This Row],[Unit_Price]])</f>
        <v>25500</v>
      </c>
      <c r="M1018">
        <f>Clean_Data[[#This Row],[Units_Sold]]*Clean_Data[[#This Row],[Cost_Price]]</f>
        <v>19086</v>
      </c>
      <c r="N1018">
        <f>Clean_Data[[#This Row],[Total_Sales]]-Clean_Data[[#This Row],[Total_Cost]]</f>
        <v>6414</v>
      </c>
      <c r="O1018" s="2">
        <f>Clean_Data[[#This Row],[Profit]]/Clean_Data[[#This Row],[Total_Sales]]</f>
        <v>0.25152941176470589</v>
      </c>
      <c r="P1018" t="str">
        <f>_xlfn.XLOOKUP(Clean_Data[[#This Row],[Product_Code]],Product_Catalog!A:A,Product_Catalog!C:C)</f>
        <v>Accessories</v>
      </c>
      <c r="Q1018">
        <f>IF(Clean_Data[[#This Row],[Order_Date]]="","",YEAR(Clean_Data[[#This Row],[Order_Date]]))</f>
        <v>2026</v>
      </c>
      <c r="R1018" t="str">
        <f>TEXT(Clean_Data[[#This Row],[Order_Date]],"mmm")</f>
        <v>Apr</v>
      </c>
      <c r="S1018" t="str">
        <f>TEXT(Clean_Data[[#This Row],[Order_Date]],"mmm-yy")</f>
        <v>Apr-26</v>
      </c>
      <c r="V1018"/>
    </row>
    <row r="1019" spans="1:22" x14ac:dyDescent="0.25">
      <c r="A1019" t="s">
        <v>1097</v>
      </c>
      <c r="B1019" s="1">
        <v>46226</v>
      </c>
      <c r="C1019" t="s">
        <v>62</v>
      </c>
      <c r="D1019" t="s">
        <v>40</v>
      </c>
      <c r="E1019" t="s">
        <v>37</v>
      </c>
      <c r="F1019" t="s">
        <v>38</v>
      </c>
      <c r="G1019">
        <v>9</v>
      </c>
      <c r="H1019">
        <v>55000</v>
      </c>
      <c r="I1019">
        <v>35637</v>
      </c>
      <c r="J1019" t="s">
        <v>29</v>
      </c>
      <c r="K1019" t="s">
        <v>46</v>
      </c>
      <c r="L1019">
        <f>SUM(Clean_Data[[#This Row],[Units_Sold]]*Clean_Data[[#This Row],[Unit_Price]])</f>
        <v>495000</v>
      </c>
      <c r="M1019">
        <f>Clean_Data[[#This Row],[Units_Sold]]*Clean_Data[[#This Row],[Cost_Price]]</f>
        <v>320733</v>
      </c>
      <c r="N1019">
        <f>Clean_Data[[#This Row],[Total_Sales]]-Clean_Data[[#This Row],[Total_Cost]]</f>
        <v>174267</v>
      </c>
      <c r="O1019" s="2">
        <f>Clean_Data[[#This Row],[Profit]]/Clean_Data[[#This Row],[Total_Sales]]</f>
        <v>0.35205454545454545</v>
      </c>
      <c r="P1019" t="str">
        <f>_xlfn.XLOOKUP(Clean_Data[[#This Row],[Product_Code]],Product_Catalog!A:A,Product_Catalog!C:C)</f>
        <v>Electronics</v>
      </c>
      <c r="Q1019">
        <f>IF(Clean_Data[[#This Row],[Order_Date]]="","",YEAR(Clean_Data[[#This Row],[Order_Date]]))</f>
        <v>2026</v>
      </c>
      <c r="R1019" t="str">
        <f>TEXT(Clean_Data[[#This Row],[Order_Date]],"mmm")</f>
        <v>Jul</v>
      </c>
      <c r="S1019" t="str">
        <f>TEXT(Clean_Data[[#This Row],[Order_Date]],"mmm-yy")</f>
        <v>Jul-26</v>
      </c>
      <c r="V1019"/>
    </row>
    <row r="1020" spans="1:22" x14ac:dyDescent="0.25">
      <c r="A1020" t="s">
        <v>1098</v>
      </c>
      <c r="B1020" s="1">
        <v>45759</v>
      </c>
      <c r="C1020" t="s">
        <v>31</v>
      </c>
      <c r="D1020" t="s">
        <v>13</v>
      </c>
      <c r="E1020" t="s">
        <v>41</v>
      </c>
      <c r="F1020" t="s">
        <v>42</v>
      </c>
      <c r="G1020">
        <v>6</v>
      </c>
      <c r="H1020">
        <v>28000</v>
      </c>
      <c r="I1020">
        <v>21768</v>
      </c>
      <c r="J1020" t="s">
        <v>16</v>
      </c>
      <c r="K1020" t="s">
        <v>23</v>
      </c>
      <c r="L1020">
        <f>SUM(Clean_Data[[#This Row],[Units_Sold]]*Clean_Data[[#This Row],[Unit_Price]])</f>
        <v>168000</v>
      </c>
      <c r="M1020">
        <f>Clean_Data[[#This Row],[Units_Sold]]*Clean_Data[[#This Row],[Cost_Price]]</f>
        <v>130608</v>
      </c>
      <c r="N1020">
        <f>Clean_Data[[#This Row],[Total_Sales]]-Clean_Data[[#This Row],[Total_Cost]]</f>
        <v>37392</v>
      </c>
      <c r="O1020" s="2">
        <f>Clean_Data[[#This Row],[Profit]]/Clean_Data[[#This Row],[Total_Sales]]</f>
        <v>0.22257142857142856</v>
      </c>
      <c r="P1020" t="str">
        <f>_xlfn.XLOOKUP(Clean_Data[[#This Row],[Product_Code]],Product_Catalog!A:A,Product_Catalog!C:C)</f>
        <v>Electronics</v>
      </c>
      <c r="Q1020">
        <f>IF(Clean_Data[[#This Row],[Order_Date]]="","",YEAR(Clean_Data[[#This Row],[Order_Date]]))</f>
        <v>2025</v>
      </c>
      <c r="R1020" t="str">
        <f>TEXT(Clean_Data[[#This Row],[Order_Date]],"mmm")</f>
        <v>Apr</v>
      </c>
      <c r="S1020" t="str">
        <f>TEXT(Clean_Data[[#This Row],[Order_Date]],"mmm-yy")</f>
        <v>Apr-25</v>
      </c>
      <c r="V1020"/>
    </row>
    <row r="1021" spans="1:22" x14ac:dyDescent="0.25">
      <c r="A1021" t="s">
        <v>1099</v>
      </c>
      <c r="B1021" s="1">
        <v>46042</v>
      </c>
      <c r="C1021" t="s">
        <v>12</v>
      </c>
      <c r="D1021" t="s">
        <v>40</v>
      </c>
      <c r="E1021" t="s">
        <v>27</v>
      </c>
      <c r="F1021" t="s">
        <v>28</v>
      </c>
      <c r="G1021">
        <v>17</v>
      </c>
      <c r="H1021">
        <v>14000</v>
      </c>
      <c r="I1021">
        <v>10384</v>
      </c>
      <c r="J1021" t="s">
        <v>29</v>
      </c>
      <c r="K1021" t="s">
        <v>46</v>
      </c>
      <c r="L1021">
        <f>SUM(Clean_Data[[#This Row],[Units_Sold]]*Clean_Data[[#This Row],[Unit_Price]])</f>
        <v>238000</v>
      </c>
      <c r="M1021">
        <f>Clean_Data[[#This Row],[Units_Sold]]*Clean_Data[[#This Row],[Cost_Price]]</f>
        <v>176528</v>
      </c>
      <c r="N1021">
        <f>Clean_Data[[#This Row],[Total_Sales]]-Clean_Data[[#This Row],[Total_Cost]]</f>
        <v>61472</v>
      </c>
      <c r="O1021" s="2">
        <f>Clean_Data[[#This Row],[Profit]]/Clean_Data[[#This Row],[Total_Sales]]</f>
        <v>0.25828571428571429</v>
      </c>
      <c r="P1021" t="str">
        <f>_xlfn.XLOOKUP(Clean_Data[[#This Row],[Product_Code]],Product_Catalog!A:A,Product_Catalog!C:C)</f>
        <v>Furniture</v>
      </c>
      <c r="Q1021">
        <f>IF(Clean_Data[[#This Row],[Order_Date]]="","",YEAR(Clean_Data[[#This Row],[Order_Date]]))</f>
        <v>2026</v>
      </c>
      <c r="R1021" t="str">
        <f>TEXT(Clean_Data[[#This Row],[Order_Date]],"mmm")</f>
        <v>Jan</v>
      </c>
      <c r="S1021" t="str">
        <f>TEXT(Clean_Data[[#This Row],[Order_Date]],"mmm-yy")</f>
        <v>Jan-26</v>
      </c>
      <c r="V1021"/>
    </row>
    <row r="1022" spans="1:22" x14ac:dyDescent="0.25">
      <c r="A1022" t="s">
        <v>1100</v>
      </c>
      <c r="B1022" s="1">
        <v>45792</v>
      </c>
      <c r="C1022" t="s">
        <v>53</v>
      </c>
      <c r="D1022" t="s">
        <v>40</v>
      </c>
      <c r="E1022" t="s">
        <v>55</v>
      </c>
      <c r="F1022" t="s">
        <v>34</v>
      </c>
      <c r="G1022">
        <v>11</v>
      </c>
      <c r="H1022">
        <v>35000</v>
      </c>
      <c r="I1022">
        <v>27233</v>
      </c>
      <c r="J1022" t="s">
        <v>45</v>
      </c>
      <c r="K1022" t="s">
        <v>23</v>
      </c>
      <c r="L1022">
        <f>SUM(Clean_Data[[#This Row],[Units_Sold]]*Clean_Data[[#This Row],[Unit_Price]])</f>
        <v>385000</v>
      </c>
      <c r="M1022">
        <f>Clean_Data[[#This Row],[Units_Sold]]*Clean_Data[[#This Row],[Cost_Price]]</f>
        <v>299563</v>
      </c>
      <c r="N1022">
        <f>Clean_Data[[#This Row],[Total_Sales]]-Clean_Data[[#This Row],[Total_Cost]]</f>
        <v>85437</v>
      </c>
      <c r="O1022" s="2">
        <f>Clean_Data[[#This Row],[Profit]]/Clean_Data[[#This Row],[Total_Sales]]</f>
        <v>0.2219142857142857</v>
      </c>
      <c r="P1022" t="str">
        <f>_xlfn.XLOOKUP(Clean_Data[[#This Row],[Product_Code]],Product_Catalog!A:A,Product_Catalog!C:C)</f>
        <v>Furniture</v>
      </c>
      <c r="Q1022">
        <f>IF(Clean_Data[[#This Row],[Order_Date]]="","",YEAR(Clean_Data[[#This Row],[Order_Date]]))</f>
        <v>2025</v>
      </c>
      <c r="R1022" t="str">
        <f>TEXT(Clean_Data[[#This Row],[Order_Date]],"mmm")</f>
        <v>May</v>
      </c>
      <c r="S1022" t="str">
        <f>TEXT(Clean_Data[[#This Row],[Order_Date]],"mmm-yy")</f>
        <v>May-25</v>
      </c>
      <c r="V1022"/>
    </row>
    <row r="1023" spans="1:22" x14ac:dyDescent="0.25">
      <c r="A1023" t="s">
        <v>1101</v>
      </c>
      <c r="B1023" s="1">
        <v>46245</v>
      </c>
      <c r="C1023" t="s">
        <v>48</v>
      </c>
      <c r="D1023" t="s">
        <v>26</v>
      </c>
      <c r="E1023" t="s">
        <v>41</v>
      </c>
      <c r="F1023" t="s">
        <v>42</v>
      </c>
      <c r="G1023">
        <v>13</v>
      </c>
      <c r="H1023">
        <v>28000</v>
      </c>
      <c r="I1023">
        <v>19266</v>
      </c>
      <c r="J1023" t="s">
        <v>29</v>
      </c>
      <c r="K1023" t="s">
        <v>17</v>
      </c>
      <c r="L1023">
        <f>SUM(Clean_Data[[#This Row],[Units_Sold]]*Clean_Data[[#This Row],[Unit_Price]])</f>
        <v>364000</v>
      </c>
      <c r="M1023">
        <f>Clean_Data[[#This Row],[Units_Sold]]*Clean_Data[[#This Row],[Cost_Price]]</f>
        <v>250458</v>
      </c>
      <c r="N1023">
        <f>Clean_Data[[#This Row],[Total_Sales]]-Clean_Data[[#This Row],[Total_Cost]]</f>
        <v>113542</v>
      </c>
      <c r="O1023" s="2">
        <f>Clean_Data[[#This Row],[Profit]]/Clean_Data[[#This Row],[Total_Sales]]</f>
        <v>0.31192857142857144</v>
      </c>
      <c r="P1023" t="str">
        <f>_xlfn.XLOOKUP(Clean_Data[[#This Row],[Product_Code]],Product_Catalog!A:A,Product_Catalog!C:C)</f>
        <v>Electronics</v>
      </c>
      <c r="Q1023">
        <f>IF(Clean_Data[[#This Row],[Order_Date]]="","",YEAR(Clean_Data[[#This Row],[Order_Date]]))</f>
        <v>2026</v>
      </c>
      <c r="R1023" t="str">
        <f>TEXT(Clean_Data[[#This Row],[Order_Date]],"mmm")</f>
        <v>Aug</v>
      </c>
      <c r="S1023" t="str">
        <f>TEXT(Clean_Data[[#This Row],[Order_Date]],"mmm-yy")</f>
        <v>Aug-26</v>
      </c>
      <c r="V1023"/>
    </row>
    <row r="1024" spans="1:22" x14ac:dyDescent="0.25">
      <c r="A1024" t="s">
        <v>1102</v>
      </c>
      <c r="B1024" s="1">
        <v>46050</v>
      </c>
      <c r="C1024" t="s">
        <v>73</v>
      </c>
      <c r="D1024" t="s">
        <v>13</v>
      </c>
      <c r="E1024" t="s">
        <v>37</v>
      </c>
      <c r="F1024" t="s">
        <v>38</v>
      </c>
      <c r="G1024">
        <v>10</v>
      </c>
      <c r="H1024">
        <v>55000</v>
      </c>
      <c r="I1024">
        <v>39023</v>
      </c>
      <c r="J1024" t="s">
        <v>29</v>
      </c>
      <c r="K1024" t="s">
        <v>17</v>
      </c>
      <c r="L1024">
        <f>SUM(Clean_Data[[#This Row],[Units_Sold]]*Clean_Data[[#This Row],[Unit_Price]])</f>
        <v>550000</v>
      </c>
      <c r="M1024">
        <f>Clean_Data[[#This Row],[Units_Sold]]*Clean_Data[[#This Row],[Cost_Price]]</f>
        <v>390230</v>
      </c>
      <c r="N1024">
        <f>Clean_Data[[#This Row],[Total_Sales]]-Clean_Data[[#This Row],[Total_Cost]]</f>
        <v>159770</v>
      </c>
      <c r="O1024" s="2">
        <f>Clean_Data[[#This Row],[Profit]]/Clean_Data[[#This Row],[Total_Sales]]</f>
        <v>0.29049090909090908</v>
      </c>
      <c r="P1024" t="str">
        <f>_xlfn.XLOOKUP(Clean_Data[[#This Row],[Product_Code]],Product_Catalog!A:A,Product_Catalog!C:C)</f>
        <v>Electronics</v>
      </c>
      <c r="Q1024">
        <f>IF(Clean_Data[[#This Row],[Order_Date]]="","",YEAR(Clean_Data[[#This Row],[Order_Date]]))</f>
        <v>2026</v>
      </c>
      <c r="R1024" t="str">
        <f>TEXT(Clean_Data[[#This Row],[Order_Date]],"mmm")</f>
        <v>Jan</v>
      </c>
      <c r="S1024" t="str">
        <f>TEXT(Clean_Data[[#This Row],[Order_Date]],"mmm-yy")</f>
        <v>Jan-26</v>
      </c>
      <c r="V1024"/>
    </row>
    <row r="1025" spans="1:22" x14ac:dyDescent="0.25">
      <c r="A1025" t="s">
        <v>1103</v>
      </c>
      <c r="B1025" s="1">
        <v>45967</v>
      </c>
      <c r="C1025" t="s">
        <v>62</v>
      </c>
      <c r="D1025" t="s">
        <v>13</v>
      </c>
      <c r="E1025" t="s">
        <v>20</v>
      </c>
      <c r="F1025" t="s">
        <v>21</v>
      </c>
      <c r="G1025">
        <v>3</v>
      </c>
      <c r="H1025">
        <v>8500</v>
      </c>
      <c r="I1025">
        <v>5284</v>
      </c>
      <c r="J1025" t="s">
        <v>29</v>
      </c>
      <c r="K1025" t="s">
        <v>46</v>
      </c>
      <c r="L1025">
        <f>SUM(Clean_Data[[#This Row],[Units_Sold]]*Clean_Data[[#This Row],[Unit_Price]])</f>
        <v>25500</v>
      </c>
      <c r="M1025">
        <f>Clean_Data[[#This Row],[Units_Sold]]*Clean_Data[[#This Row],[Cost_Price]]</f>
        <v>15852</v>
      </c>
      <c r="N1025">
        <f>Clean_Data[[#This Row],[Total_Sales]]-Clean_Data[[#This Row],[Total_Cost]]</f>
        <v>9648</v>
      </c>
      <c r="O1025" s="2">
        <f>Clean_Data[[#This Row],[Profit]]/Clean_Data[[#This Row],[Total_Sales]]</f>
        <v>0.37835294117647061</v>
      </c>
      <c r="P1025" t="str">
        <f>_xlfn.XLOOKUP(Clean_Data[[#This Row],[Product_Code]],Product_Catalog!A:A,Product_Catalog!C:C)</f>
        <v>Accessories</v>
      </c>
      <c r="Q1025">
        <f>IF(Clean_Data[[#This Row],[Order_Date]]="","",YEAR(Clean_Data[[#This Row],[Order_Date]]))</f>
        <v>2025</v>
      </c>
      <c r="R1025" t="str">
        <f>TEXT(Clean_Data[[#This Row],[Order_Date]],"mmm")</f>
        <v>Nov</v>
      </c>
      <c r="S1025" t="str">
        <f>TEXT(Clean_Data[[#This Row],[Order_Date]],"mmm-yy")</f>
        <v>Nov-25</v>
      </c>
      <c r="V1025"/>
    </row>
    <row r="1026" spans="1:22" x14ac:dyDescent="0.25">
      <c r="A1026" t="s">
        <v>1104</v>
      </c>
      <c r="B1026" s="1">
        <v>45676</v>
      </c>
      <c r="C1026" t="s">
        <v>73</v>
      </c>
      <c r="D1026" t="s">
        <v>13</v>
      </c>
      <c r="E1026" t="s">
        <v>55</v>
      </c>
      <c r="F1026" t="s">
        <v>34</v>
      </c>
      <c r="G1026">
        <v>14</v>
      </c>
      <c r="H1026">
        <v>35000</v>
      </c>
      <c r="I1026">
        <v>22761</v>
      </c>
      <c r="J1026" t="s">
        <v>45</v>
      </c>
      <c r="K1026" t="s">
        <v>46</v>
      </c>
      <c r="L1026">
        <f>SUM(Clean_Data[[#This Row],[Units_Sold]]*Clean_Data[[#This Row],[Unit_Price]])</f>
        <v>490000</v>
      </c>
      <c r="M1026">
        <f>Clean_Data[[#This Row],[Units_Sold]]*Clean_Data[[#This Row],[Cost_Price]]</f>
        <v>318654</v>
      </c>
      <c r="N1026">
        <f>Clean_Data[[#This Row],[Total_Sales]]-Clean_Data[[#This Row],[Total_Cost]]</f>
        <v>171346</v>
      </c>
      <c r="O1026" s="2">
        <f>Clean_Data[[#This Row],[Profit]]/Clean_Data[[#This Row],[Total_Sales]]</f>
        <v>0.34968571428571427</v>
      </c>
      <c r="P1026" t="str">
        <f>_xlfn.XLOOKUP(Clean_Data[[#This Row],[Product_Code]],Product_Catalog!A:A,Product_Catalog!C:C)</f>
        <v>Furniture</v>
      </c>
      <c r="Q1026">
        <f>IF(Clean_Data[[#This Row],[Order_Date]]="","",YEAR(Clean_Data[[#This Row],[Order_Date]]))</f>
        <v>2025</v>
      </c>
      <c r="R1026" t="str">
        <f>TEXT(Clean_Data[[#This Row],[Order_Date]],"mmm")</f>
        <v>Jan</v>
      </c>
      <c r="S1026" t="str">
        <f>TEXT(Clean_Data[[#This Row],[Order_Date]],"mmm-yy")</f>
        <v>Jan-25</v>
      </c>
      <c r="V1026"/>
    </row>
    <row r="1027" spans="1:22" x14ac:dyDescent="0.25">
      <c r="A1027" t="s">
        <v>1105</v>
      </c>
      <c r="B1027" s="1">
        <v>46090</v>
      </c>
      <c r="C1027" t="s">
        <v>19</v>
      </c>
      <c r="D1027" t="s">
        <v>40</v>
      </c>
      <c r="E1027" t="s">
        <v>41</v>
      </c>
      <c r="F1027" t="s">
        <v>42</v>
      </c>
      <c r="G1027">
        <v>17</v>
      </c>
      <c r="H1027">
        <v>28000</v>
      </c>
      <c r="I1027">
        <v>21258</v>
      </c>
      <c r="J1027" t="s">
        <v>45</v>
      </c>
      <c r="K1027" t="s">
        <v>17</v>
      </c>
      <c r="L1027">
        <f>SUM(Clean_Data[[#This Row],[Units_Sold]]*Clean_Data[[#This Row],[Unit_Price]])</f>
        <v>476000</v>
      </c>
      <c r="M1027">
        <f>Clean_Data[[#This Row],[Units_Sold]]*Clean_Data[[#This Row],[Cost_Price]]</f>
        <v>361386</v>
      </c>
      <c r="N1027">
        <f>Clean_Data[[#This Row],[Total_Sales]]-Clean_Data[[#This Row],[Total_Cost]]</f>
        <v>114614</v>
      </c>
      <c r="O1027" s="2">
        <f>Clean_Data[[#This Row],[Profit]]/Clean_Data[[#This Row],[Total_Sales]]</f>
        <v>0.2407857142857143</v>
      </c>
      <c r="P1027" t="str">
        <f>_xlfn.XLOOKUP(Clean_Data[[#This Row],[Product_Code]],Product_Catalog!A:A,Product_Catalog!C:C)</f>
        <v>Electronics</v>
      </c>
      <c r="Q1027">
        <f>IF(Clean_Data[[#This Row],[Order_Date]]="","",YEAR(Clean_Data[[#This Row],[Order_Date]]))</f>
        <v>2026</v>
      </c>
      <c r="R1027" t="str">
        <f>TEXT(Clean_Data[[#This Row],[Order_Date]],"mmm")</f>
        <v>Mar</v>
      </c>
      <c r="S1027" t="str">
        <f>TEXT(Clean_Data[[#This Row],[Order_Date]],"mmm-yy")</f>
        <v>Mar-26</v>
      </c>
      <c r="V1027"/>
    </row>
    <row r="1028" spans="1:22" x14ac:dyDescent="0.25">
      <c r="A1028" t="s">
        <v>1106</v>
      </c>
      <c r="B1028" s="1">
        <v>45923</v>
      </c>
      <c r="C1028" t="s">
        <v>44</v>
      </c>
      <c r="D1028" t="s">
        <v>40</v>
      </c>
      <c r="E1028" t="s">
        <v>63</v>
      </c>
      <c r="F1028" t="s">
        <v>59</v>
      </c>
      <c r="G1028">
        <v>13</v>
      </c>
      <c r="H1028">
        <v>4500</v>
      </c>
      <c r="I1028">
        <v>3540</v>
      </c>
      <c r="J1028" t="s">
        <v>16</v>
      </c>
      <c r="K1028" t="s">
        <v>23</v>
      </c>
      <c r="L1028">
        <f>SUM(Clean_Data[[#This Row],[Units_Sold]]*Clean_Data[[#This Row],[Unit_Price]])</f>
        <v>58500</v>
      </c>
      <c r="M1028">
        <f>Clean_Data[[#This Row],[Units_Sold]]*Clean_Data[[#This Row],[Cost_Price]]</f>
        <v>46020</v>
      </c>
      <c r="N1028">
        <f>Clean_Data[[#This Row],[Total_Sales]]-Clean_Data[[#This Row],[Total_Cost]]</f>
        <v>12480</v>
      </c>
      <c r="O1028" s="2">
        <f>Clean_Data[[#This Row],[Profit]]/Clean_Data[[#This Row],[Total_Sales]]</f>
        <v>0.21333333333333335</v>
      </c>
      <c r="P1028" t="str">
        <f>_xlfn.XLOOKUP(Clean_Data[[#This Row],[Product_Code]],Product_Catalog!A:A,Product_Catalog!C:C)</f>
        <v>Electronics</v>
      </c>
      <c r="Q1028">
        <f>IF(Clean_Data[[#This Row],[Order_Date]]="","",YEAR(Clean_Data[[#This Row],[Order_Date]]))</f>
        <v>2025</v>
      </c>
      <c r="R1028" t="str">
        <f>TEXT(Clean_Data[[#This Row],[Order_Date]],"mmm")</f>
        <v>Sep</v>
      </c>
      <c r="S1028" t="str">
        <f>TEXT(Clean_Data[[#This Row],[Order_Date]],"mmm-yy")</f>
        <v>Sep-25</v>
      </c>
      <c r="V1028"/>
    </row>
    <row r="1029" spans="1:22" x14ac:dyDescent="0.25">
      <c r="A1029" t="s">
        <v>1107</v>
      </c>
      <c r="B1029" s="1">
        <v>46131</v>
      </c>
      <c r="C1029" t="s">
        <v>25</v>
      </c>
      <c r="D1029" t="s">
        <v>13</v>
      </c>
      <c r="E1029" t="s">
        <v>63</v>
      </c>
      <c r="F1029" t="s">
        <v>59</v>
      </c>
      <c r="G1029">
        <v>9</v>
      </c>
      <c r="H1029">
        <v>4500</v>
      </c>
      <c r="I1029">
        <v>3089</v>
      </c>
      <c r="J1029" t="s">
        <v>22</v>
      </c>
      <c r="K1029" t="s">
        <v>46</v>
      </c>
      <c r="L1029">
        <f>SUM(Clean_Data[[#This Row],[Units_Sold]]*Clean_Data[[#This Row],[Unit_Price]])</f>
        <v>40500</v>
      </c>
      <c r="M1029">
        <f>Clean_Data[[#This Row],[Units_Sold]]*Clean_Data[[#This Row],[Cost_Price]]</f>
        <v>27801</v>
      </c>
      <c r="N1029">
        <f>Clean_Data[[#This Row],[Total_Sales]]-Clean_Data[[#This Row],[Total_Cost]]</f>
        <v>12699</v>
      </c>
      <c r="O1029" s="2">
        <f>Clean_Data[[#This Row],[Profit]]/Clean_Data[[#This Row],[Total_Sales]]</f>
        <v>0.31355555555555553</v>
      </c>
      <c r="P1029" t="str">
        <f>_xlfn.XLOOKUP(Clean_Data[[#This Row],[Product_Code]],Product_Catalog!A:A,Product_Catalog!C:C)</f>
        <v>Electronics</v>
      </c>
      <c r="Q1029">
        <f>IF(Clean_Data[[#This Row],[Order_Date]]="","",YEAR(Clean_Data[[#This Row],[Order_Date]]))</f>
        <v>2026</v>
      </c>
      <c r="R1029" t="str">
        <f>TEXT(Clean_Data[[#This Row],[Order_Date]],"mmm")</f>
        <v>Apr</v>
      </c>
      <c r="S1029" t="str">
        <f>TEXT(Clean_Data[[#This Row],[Order_Date]],"mmm-yy")</f>
        <v>Apr-26</v>
      </c>
      <c r="V1029"/>
    </row>
    <row r="1030" spans="1:22" x14ac:dyDescent="0.25">
      <c r="A1030" t="s">
        <v>1108</v>
      </c>
      <c r="B1030" s="1">
        <v>46239</v>
      </c>
      <c r="C1030" t="s">
        <v>62</v>
      </c>
      <c r="D1030" t="s">
        <v>33</v>
      </c>
      <c r="E1030" t="s">
        <v>66</v>
      </c>
      <c r="F1030" t="s">
        <v>67</v>
      </c>
      <c r="G1030">
        <v>16</v>
      </c>
      <c r="H1030">
        <v>2500</v>
      </c>
      <c r="I1030">
        <v>1723</v>
      </c>
      <c r="J1030" t="s">
        <v>45</v>
      </c>
      <c r="K1030" t="s">
        <v>46</v>
      </c>
      <c r="L1030">
        <f>SUM(Clean_Data[[#This Row],[Units_Sold]]*Clean_Data[[#This Row],[Unit_Price]])</f>
        <v>40000</v>
      </c>
      <c r="M1030">
        <f>Clean_Data[[#This Row],[Units_Sold]]*Clean_Data[[#This Row],[Cost_Price]]</f>
        <v>27568</v>
      </c>
      <c r="N1030">
        <f>Clean_Data[[#This Row],[Total_Sales]]-Clean_Data[[#This Row],[Total_Cost]]</f>
        <v>12432</v>
      </c>
      <c r="O1030" s="2">
        <f>Clean_Data[[#This Row],[Profit]]/Clean_Data[[#This Row],[Total_Sales]]</f>
        <v>0.31080000000000002</v>
      </c>
      <c r="P1030" t="str">
        <f>_xlfn.XLOOKUP(Clean_Data[[#This Row],[Product_Code]],Product_Catalog!A:A,Product_Catalog!C:C)</f>
        <v>Electronics</v>
      </c>
      <c r="Q1030">
        <f>IF(Clean_Data[[#This Row],[Order_Date]]="","",YEAR(Clean_Data[[#This Row],[Order_Date]]))</f>
        <v>2026</v>
      </c>
      <c r="R1030" t="str">
        <f>TEXT(Clean_Data[[#This Row],[Order_Date]],"mmm")</f>
        <v>Aug</v>
      </c>
      <c r="S1030" t="str">
        <f>TEXT(Clean_Data[[#This Row],[Order_Date]],"mmm-yy")</f>
        <v>Aug-26</v>
      </c>
      <c r="V1030"/>
    </row>
    <row r="1031" spans="1:22" x14ac:dyDescent="0.25">
      <c r="A1031" t="s">
        <v>1109</v>
      </c>
      <c r="B1031" s="1">
        <v>45740</v>
      </c>
      <c r="C1031" t="s">
        <v>48</v>
      </c>
      <c r="D1031" t="s">
        <v>33</v>
      </c>
      <c r="E1031" t="s">
        <v>49</v>
      </c>
      <c r="F1031" t="s">
        <v>50</v>
      </c>
      <c r="G1031">
        <v>14</v>
      </c>
      <c r="H1031">
        <v>75000</v>
      </c>
      <c r="I1031">
        <v>50064</v>
      </c>
      <c r="J1031" t="s">
        <v>29</v>
      </c>
      <c r="K1031" t="s">
        <v>17</v>
      </c>
      <c r="L1031">
        <f>SUM(Clean_Data[[#This Row],[Units_Sold]]*Clean_Data[[#This Row],[Unit_Price]])</f>
        <v>1050000</v>
      </c>
      <c r="M1031">
        <f>Clean_Data[[#This Row],[Units_Sold]]*Clean_Data[[#This Row],[Cost_Price]]</f>
        <v>700896</v>
      </c>
      <c r="N1031">
        <f>Clean_Data[[#This Row],[Total_Sales]]-Clean_Data[[#This Row],[Total_Cost]]</f>
        <v>349104</v>
      </c>
      <c r="O1031" s="2">
        <f>Clean_Data[[#This Row],[Profit]]/Clean_Data[[#This Row],[Total_Sales]]</f>
        <v>0.33248</v>
      </c>
      <c r="P1031" t="str">
        <f>_xlfn.XLOOKUP(Clean_Data[[#This Row],[Product_Code]],Product_Catalog!A:A,Product_Catalog!C:C)</f>
        <v>Electronics</v>
      </c>
      <c r="Q1031">
        <f>IF(Clean_Data[[#This Row],[Order_Date]]="","",YEAR(Clean_Data[[#This Row],[Order_Date]]))</f>
        <v>2025</v>
      </c>
      <c r="R1031" t="str">
        <f>TEXT(Clean_Data[[#This Row],[Order_Date]],"mmm")</f>
        <v>Mar</v>
      </c>
      <c r="S1031" t="str">
        <f>TEXT(Clean_Data[[#This Row],[Order_Date]],"mmm-yy")</f>
        <v>Mar-25</v>
      </c>
      <c r="V1031"/>
    </row>
    <row r="1032" spans="1:22" x14ac:dyDescent="0.25">
      <c r="A1032" t="s">
        <v>1110</v>
      </c>
      <c r="B1032" s="1">
        <v>46210</v>
      </c>
      <c r="C1032" t="s">
        <v>73</v>
      </c>
      <c r="D1032" t="s">
        <v>36</v>
      </c>
      <c r="E1032" t="s">
        <v>20</v>
      </c>
      <c r="F1032" t="s">
        <v>21</v>
      </c>
      <c r="G1032">
        <v>17</v>
      </c>
      <c r="H1032">
        <v>8500</v>
      </c>
      <c r="I1032">
        <v>6729</v>
      </c>
      <c r="J1032" t="s">
        <v>45</v>
      </c>
      <c r="K1032" t="s">
        <v>23</v>
      </c>
      <c r="L1032">
        <f>SUM(Clean_Data[[#This Row],[Units_Sold]]*Clean_Data[[#This Row],[Unit_Price]])</f>
        <v>144500</v>
      </c>
      <c r="M1032">
        <f>Clean_Data[[#This Row],[Units_Sold]]*Clean_Data[[#This Row],[Cost_Price]]</f>
        <v>114393</v>
      </c>
      <c r="N1032">
        <f>Clean_Data[[#This Row],[Total_Sales]]-Clean_Data[[#This Row],[Total_Cost]]</f>
        <v>30107</v>
      </c>
      <c r="O1032" s="2">
        <f>Clean_Data[[#This Row],[Profit]]/Clean_Data[[#This Row],[Total_Sales]]</f>
        <v>0.2083529411764706</v>
      </c>
      <c r="P1032" t="str">
        <f>_xlfn.XLOOKUP(Clean_Data[[#This Row],[Product_Code]],Product_Catalog!A:A,Product_Catalog!C:C)</f>
        <v>Accessories</v>
      </c>
      <c r="Q1032">
        <f>IF(Clean_Data[[#This Row],[Order_Date]]="","",YEAR(Clean_Data[[#This Row],[Order_Date]]))</f>
        <v>2026</v>
      </c>
      <c r="R1032" t="str">
        <f>TEXT(Clean_Data[[#This Row],[Order_Date]],"mmm")</f>
        <v>Jul</v>
      </c>
      <c r="S1032" t="str">
        <f>TEXT(Clean_Data[[#This Row],[Order_Date]],"mmm-yy")</f>
        <v>Jul-26</v>
      </c>
      <c r="V1032"/>
    </row>
    <row r="1033" spans="1:22" x14ac:dyDescent="0.25">
      <c r="A1033" t="s">
        <v>1111</v>
      </c>
      <c r="B1033" s="1">
        <v>45836</v>
      </c>
      <c r="C1033" t="s">
        <v>19</v>
      </c>
      <c r="D1033" t="s">
        <v>40</v>
      </c>
      <c r="E1033" t="s">
        <v>49</v>
      </c>
      <c r="F1033" t="s">
        <v>50</v>
      </c>
      <c r="G1033">
        <v>14</v>
      </c>
      <c r="H1033">
        <v>75000</v>
      </c>
      <c r="I1033">
        <v>56613</v>
      </c>
      <c r="J1033" t="s">
        <v>16</v>
      </c>
      <c r="K1033" t="s">
        <v>17</v>
      </c>
      <c r="L1033">
        <f>SUM(Clean_Data[[#This Row],[Units_Sold]]*Clean_Data[[#This Row],[Unit_Price]])</f>
        <v>1050000</v>
      </c>
      <c r="M1033">
        <f>Clean_Data[[#This Row],[Units_Sold]]*Clean_Data[[#This Row],[Cost_Price]]</f>
        <v>792582</v>
      </c>
      <c r="N1033">
        <f>Clean_Data[[#This Row],[Total_Sales]]-Clean_Data[[#This Row],[Total_Cost]]</f>
        <v>257418</v>
      </c>
      <c r="O1033" s="2">
        <f>Clean_Data[[#This Row],[Profit]]/Clean_Data[[#This Row],[Total_Sales]]</f>
        <v>0.24515999999999999</v>
      </c>
      <c r="P1033" t="str">
        <f>_xlfn.XLOOKUP(Clean_Data[[#This Row],[Product_Code]],Product_Catalog!A:A,Product_Catalog!C:C)</f>
        <v>Electronics</v>
      </c>
      <c r="Q1033">
        <f>IF(Clean_Data[[#This Row],[Order_Date]]="","",YEAR(Clean_Data[[#This Row],[Order_Date]]))</f>
        <v>2025</v>
      </c>
      <c r="R1033" t="str">
        <f>TEXT(Clean_Data[[#This Row],[Order_Date]],"mmm")</f>
        <v>Jun</v>
      </c>
      <c r="S1033" t="str">
        <f>TEXT(Clean_Data[[#This Row],[Order_Date]],"mmm-yy")</f>
        <v>Jun-25</v>
      </c>
      <c r="V1033"/>
    </row>
    <row r="1034" spans="1:22" x14ac:dyDescent="0.25">
      <c r="A1034" t="s">
        <v>1112</v>
      </c>
      <c r="B1034" s="1">
        <v>45952</v>
      </c>
      <c r="C1034" t="s">
        <v>62</v>
      </c>
      <c r="D1034" t="s">
        <v>40</v>
      </c>
      <c r="E1034" t="s">
        <v>49</v>
      </c>
      <c r="F1034" t="s">
        <v>50</v>
      </c>
      <c r="G1034">
        <v>9</v>
      </c>
      <c r="H1034">
        <v>75000</v>
      </c>
      <c r="I1034">
        <v>55755</v>
      </c>
      <c r="J1034" t="s">
        <v>16</v>
      </c>
      <c r="K1034" t="s">
        <v>46</v>
      </c>
      <c r="L1034">
        <f>SUM(Clean_Data[[#This Row],[Units_Sold]]*Clean_Data[[#This Row],[Unit_Price]])</f>
        <v>675000</v>
      </c>
      <c r="M1034">
        <f>Clean_Data[[#This Row],[Units_Sold]]*Clean_Data[[#This Row],[Cost_Price]]</f>
        <v>501795</v>
      </c>
      <c r="N1034">
        <f>Clean_Data[[#This Row],[Total_Sales]]-Clean_Data[[#This Row],[Total_Cost]]</f>
        <v>173205</v>
      </c>
      <c r="O1034" s="2">
        <f>Clean_Data[[#This Row],[Profit]]/Clean_Data[[#This Row],[Total_Sales]]</f>
        <v>0.25659999999999999</v>
      </c>
      <c r="P1034" t="str">
        <f>_xlfn.XLOOKUP(Clean_Data[[#This Row],[Product_Code]],Product_Catalog!A:A,Product_Catalog!C:C)</f>
        <v>Electronics</v>
      </c>
      <c r="Q1034">
        <f>IF(Clean_Data[[#This Row],[Order_Date]]="","",YEAR(Clean_Data[[#This Row],[Order_Date]]))</f>
        <v>2025</v>
      </c>
      <c r="R1034" t="str">
        <f>TEXT(Clean_Data[[#This Row],[Order_Date]],"mmm")</f>
        <v>Oct</v>
      </c>
      <c r="S1034" t="str">
        <f>TEXT(Clean_Data[[#This Row],[Order_Date]],"mmm-yy")</f>
        <v>Oct-25</v>
      </c>
      <c r="V1034"/>
    </row>
    <row r="1035" spans="1:22" x14ac:dyDescent="0.25">
      <c r="A1035" t="s">
        <v>1113</v>
      </c>
      <c r="B1035" s="1">
        <v>46179</v>
      </c>
      <c r="C1035" t="s">
        <v>19</v>
      </c>
      <c r="D1035" t="s">
        <v>26</v>
      </c>
      <c r="E1035" t="s">
        <v>27</v>
      </c>
      <c r="F1035" t="s">
        <v>28</v>
      </c>
      <c r="G1035">
        <v>18</v>
      </c>
      <c r="H1035">
        <v>14000</v>
      </c>
      <c r="I1035">
        <v>9488</v>
      </c>
      <c r="J1035" t="s">
        <v>45</v>
      </c>
      <c r="K1035" t="s">
        <v>17</v>
      </c>
      <c r="L1035">
        <f>SUM(Clean_Data[[#This Row],[Units_Sold]]*Clean_Data[[#This Row],[Unit_Price]])</f>
        <v>252000</v>
      </c>
      <c r="M1035">
        <f>Clean_Data[[#This Row],[Units_Sold]]*Clean_Data[[#This Row],[Cost_Price]]</f>
        <v>170784</v>
      </c>
      <c r="N1035">
        <f>Clean_Data[[#This Row],[Total_Sales]]-Clean_Data[[#This Row],[Total_Cost]]</f>
        <v>81216</v>
      </c>
      <c r="O1035" s="2">
        <f>Clean_Data[[#This Row],[Profit]]/Clean_Data[[#This Row],[Total_Sales]]</f>
        <v>0.32228571428571429</v>
      </c>
      <c r="P1035" t="str">
        <f>_xlfn.XLOOKUP(Clean_Data[[#This Row],[Product_Code]],Product_Catalog!A:A,Product_Catalog!C:C)</f>
        <v>Furniture</v>
      </c>
      <c r="Q1035">
        <f>IF(Clean_Data[[#This Row],[Order_Date]]="","",YEAR(Clean_Data[[#This Row],[Order_Date]]))</f>
        <v>2026</v>
      </c>
      <c r="R1035" t="str">
        <f>TEXT(Clean_Data[[#This Row],[Order_Date]],"mmm")</f>
        <v>Jun</v>
      </c>
      <c r="S1035" t="str">
        <f>TEXT(Clean_Data[[#This Row],[Order_Date]],"mmm-yy")</f>
        <v>Jun-26</v>
      </c>
      <c r="V1035"/>
    </row>
    <row r="1036" spans="1:22" x14ac:dyDescent="0.25">
      <c r="A1036" t="s">
        <v>1114</v>
      </c>
      <c r="B1036" s="1">
        <v>45992</v>
      </c>
      <c r="C1036" t="s">
        <v>44</v>
      </c>
      <c r="D1036" t="s">
        <v>33</v>
      </c>
      <c r="E1036" t="s">
        <v>20</v>
      </c>
      <c r="F1036" t="s">
        <v>21</v>
      </c>
      <c r="G1036">
        <v>1</v>
      </c>
      <c r="H1036">
        <v>8500</v>
      </c>
      <c r="I1036">
        <v>5169</v>
      </c>
      <c r="J1036" t="s">
        <v>29</v>
      </c>
      <c r="K1036" t="s">
        <v>23</v>
      </c>
      <c r="L1036">
        <f>SUM(Clean_Data[[#This Row],[Units_Sold]]*Clean_Data[[#This Row],[Unit_Price]])</f>
        <v>8500</v>
      </c>
      <c r="M1036">
        <f>Clean_Data[[#This Row],[Units_Sold]]*Clean_Data[[#This Row],[Cost_Price]]</f>
        <v>5169</v>
      </c>
      <c r="N1036">
        <f>Clean_Data[[#This Row],[Total_Sales]]-Clean_Data[[#This Row],[Total_Cost]]</f>
        <v>3331</v>
      </c>
      <c r="O1036" s="2">
        <f>Clean_Data[[#This Row],[Profit]]/Clean_Data[[#This Row],[Total_Sales]]</f>
        <v>0.39188235294117646</v>
      </c>
      <c r="P1036" t="str">
        <f>_xlfn.XLOOKUP(Clean_Data[[#This Row],[Product_Code]],Product_Catalog!A:A,Product_Catalog!C:C)</f>
        <v>Accessories</v>
      </c>
      <c r="Q1036">
        <f>IF(Clean_Data[[#This Row],[Order_Date]]="","",YEAR(Clean_Data[[#This Row],[Order_Date]]))</f>
        <v>2025</v>
      </c>
      <c r="R1036" t="str">
        <f>TEXT(Clean_Data[[#This Row],[Order_Date]],"mmm")</f>
        <v>Dec</v>
      </c>
      <c r="S1036" t="str">
        <f>TEXT(Clean_Data[[#This Row],[Order_Date]],"mmm-yy")</f>
        <v>Dec-25</v>
      </c>
      <c r="V1036"/>
    </row>
    <row r="1037" spans="1:22" x14ac:dyDescent="0.25">
      <c r="A1037" t="s">
        <v>1115</v>
      </c>
      <c r="B1037" s="1">
        <v>45671</v>
      </c>
      <c r="C1037" t="s">
        <v>25</v>
      </c>
      <c r="D1037" t="s">
        <v>33</v>
      </c>
      <c r="E1037" t="s">
        <v>27</v>
      </c>
      <c r="F1037" t="s">
        <v>28</v>
      </c>
      <c r="G1037">
        <v>13</v>
      </c>
      <c r="H1037">
        <v>14000</v>
      </c>
      <c r="I1037">
        <v>10299</v>
      </c>
      <c r="J1037" t="s">
        <v>16</v>
      </c>
      <c r="K1037" t="s">
        <v>17</v>
      </c>
      <c r="L1037">
        <f>SUM(Clean_Data[[#This Row],[Units_Sold]]*Clean_Data[[#This Row],[Unit_Price]])</f>
        <v>182000</v>
      </c>
      <c r="M1037">
        <f>Clean_Data[[#This Row],[Units_Sold]]*Clean_Data[[#This Row],[Cost_Price]]</f>
        <v>133887</v>
      </c>
      <c r="N1037">
        <f>Clean_Data[[#This Row],[Total_Sales]]-Clean_Data[[#This Row],[Total_Cost]]</f>
        <v>48113</v>
      </c>
      <c r="O1037" s="2">
        <f>Clean_Data[[#This Row],[Profit]]/Clean_Data[[#This Row],[Total_Sales]]</f>
        <v>0.26435714285714285</v>
      </c>
      <c r="P1037" t="str">
        <f>_xlfn.XLOOKUP(Clean_Data[[#This Row],[Product_Code]],Product_Catalog!A:A,Product_Catalog!C:C)</f>
        <v>Furniture</v>
      </c>
      <c r="Q1037">
        <f>IF(Clean_Data[[#This Row],[Order_Date]]="","",YEAR(Clean_Data[[#This Row],[Order_Date]]))</f>
        <v>2025</v>
      </c>
      <c r="R1037" t="str">
        <f>TEXT(Clean_Data[[#This Row],[Order_Date]],"mmm")</f>
        <v>Jan</v>
      </c>
      <c r="S1037" t="str">
        <f>TEXT(Clean_Data[[#This Row],[Order_Date]],"mmm-yy")</f>
        <v>Jan-25</v>
      </c>
      <c r="V1037"/>
    </row>
    <row r="1038" spans="1:22" x14ac:dyDescent="0.25">
      <c r="A1038" t="s">
        <v>1116</v>
      </c>
      <c r="B1038" s="1">
        <v>46017</v>
      </c>
      <c r="C1038" t="s">
        <v>12</v>
      </c>
      <c r="D1038" t="s">
        <v>13</v>
      </c>
      <c r="E1038" t="s">
        <v>20</v>
      </c>
      <c r="F1038" t="s">
        <v>21</v>
      </c>
      <c r="G1038">
        <v>17</v>
      </c>
      <c r="H1038">
        <v>8500</v>
      </c>
      <c r="I1038">
        <v>5569</v>
      </c>
      <c r="J1038" t="s">
        <v>16</v>
      </c>
      <c r="K1038" t="s">
        <v>23</v>
      </c>
      <c r="L1038">
        <f>SUM(Clean_Data[[#This Row],[Units_Sold]]*Clean_Data[[#This Row],[Unit_Price]])</f>
        <v>144500</v>
      </c>
      <c r="M1038">
        <f>Clean_Data[[#This Row],[Units_Sold]]*Clean_Data[[#This Row],[Cost_Price]]</f>
        <v>94673</v>
      </c>
      <c r="N1038">
        <f>Clean_Data[[#This Row],[Total_Sales]]-Clean_Data[[#This Row],[Total_Cost]]</f>
        <v>49827</v>
      </c>
      <c r="O1038" s="2">
        <f>Clean_Data[[#This Row],[Profit]]/Clean_Data[[#This Row],[Total_Sales]]</f>
        <v>0.3448235294117647</v>
      </c>
      <c r="P1038" t="str">
        <f>_xlfn.XLOOKUP(Clean_Data[[#This Row],[Product_Code]],Product_Catalog!A:A,Product_Catalog!C:C)</f>
        <v>Accessories</v>
      </c>
      <c r="Q1038">
        <f>IF(Clean_Data[[#This Row],[Order_Date]]="","",YEAR(Clean_Data[[#This Row],[Order_Date]]))</f>
        <v>2025</v>
      </c>
      <c r="R1038" t="str">
        <f>TEXT(Clean_Data[[#This Row],[Order_Date]],"mmm")</f>
        <v>Dec</v>
      </c>
      <c r="S1038" t="str">
        <f>TEXT(Clean_Data[[#This Row],[Order_Date]],"mmm-yy")</f>
        <v>Dec-25</v>
      </c>
      <c r="V1038"/>
    </row>
    <row r="1039" spans="1:22" x14ac:dyDescent="0.25">
      <c r="A1039" t="s">
        <v>1117</v>
      </c>
      <c r="B1039" s="1">
        <v>46041</v>
      </c>
      <c r="C1039" t="s">
        <v>31</v>
      </c>
      <c r="D1039" t="s">
        <v>40</v>
      </c>
      <c r="E1039" t="s">
        <v>41</v>
      </c>
      <c r="F1039" t="s">
        <v>42</v>
      </c>
      <c r="G1039">
        <v>6</v>
      </c>
      <c r="H1039">
        <v>28000</v>
      </c>
      <c r="I1039">
        <v>18382</v>
      </c>
      <c r="J1039" t="s">
        <v>45</v>
      </c>
      <c r="K1039" t="s">
        <v>23</v>
      </c>
      <c r="L1039">
        <f>SUM(Clean_Data[[#This Row],[Units_Sold]]*Clean_Data[[#This Row],[Unit_Price]])</f>
        <v>168000</v>
      </c>
      <c r="M1039">
        <f>Clean_Data[[#This Row],[Units_Sold]]*Clean_Data[[#This Row],[Cost_Price]]</f>
        <v>110292</v>
      </c>
      <c r="N1039">
        <f>Clean_Data[[#This Row],[Total_Sales]]-Clean_Data[[#This Row],[Total_Cost]]</f>
        <v>57708</v>
      </c>
      <c r="O1039" s="2">
        <f>Clean_Data[[#This Row],[Profit]]/Clean_Data[[#This Row],[Total_Sales]]</f>
        <v>0.34350000000000003</v>
      </c>
      <c r="P1039" t="str">
        <f>_xlfn.XLOOKUP(Clean_Data[[#This Row],[Product_Code]],Product_Catalog!A:A,Product_Catalog!C:C)</f>
        <v>Electronics</v>
      </c>
      <c r="Q1039">
        <f>IF(Clean_Data[[#This Row],[Order_Date]]="","",YEAR(Clean_Data[[#This Row],[Order_Date]]))</f>
        <v>2026</v>
      </c>
      <c r="R1039" t="str">
        <f>TEXT(Clean_Data[[#This Row],[Order_Date]],"mmm")</f>
        <v>Jan</v>
      </c>
      <c r="S1039" t="str">
        <f>TEXT(Clean_Data[[#This Row],[Order_Date]],"mmm-yy")</f>
        <v>Jan-26</v>
      </c>
      <c r="V1039"/>
    </row>
    <row r="1040" spans="1:22" x14ac:dyDescent="0.25">
      <c r="A1040" t="s">
        <v>1118</v>
      </c>
      <c r="B1040" s="1">
        <v>45802</v>
      </c>
      <c r="C1040" t="s">
        <v>53</v>
      </c>
      <c r="D1040" t="s">
        <v>26</v>
      </c>
      <c r="E1040" t="s">
        <v>37</v>
      </c>
      <c r="F1040" t="s">
        <v>38</v>
      </c>
      <c r="G1040">
        <v>7</v>
      </c>
      <c r="H1040">
        <v>55000</v>
      </c>
      <c r="I1040">
        <v>38741</v>
      </c>
      <c r="J1040" t="s">
        <v>22</v>
      </c>
      <c r="K1040" t="s">
        <v>23</v>
      </c>
      <c r="L1040">
        <f>SUM(Clean_Data[[#This Row],[Units_Sold]]*Clean_Data[[#This Row],[Unit_Price]])</f>
        <v>385000</v>
      </c>
      <c r="M1040">
        <f>Clean_Data[[#This Row],[Units_Sold]]*Clean_Data[[#This Row],[Cost_Price]]</f>
        <v>271187</v>
      </c>
      <c r="N1040">
        <f>Clean_Data[[#This Row],[Total_Sales]]-Clean_Data[[#This Row],[Total_Cost]]</f>
        <v>113813</v>
      </c>
      <c r="O1040" s="2">
        <f>Clean_Data[[#This Row],[Profit]]/Clean_Data[[#This Row],[Total_Sales]]</f>
        <v>0.29561818181818184</v>
      </c>
      <c r="P1040" t="str">
        <f>_xlfn.XLOOKUP(Clean_Data[[#This Row],[Product_Code]],Product_Catalog!A:A,Product_Catalog!C:C)</f>
        <v>Electronics</v>
      </c>
      <c r="Q1040">
        <f>IF(Clean_Data[[#This Row],[Order_Date]]="","",YEAR(Clean_Data[[#This Row],[Order_Date]]))</f>
        <v>2025</v>
      </c>
      <c r="R1040" t="str">
        <f>TEXT(Clean_Data[[#This Row],[Order_Date]],"mmm")</f>
        <v>May</v>
      </c>
      <c r="S1040" t="str">
        <f>TEXT(Clean_Data[[#This Row],[Order_Date]],"mmm-yy")</f>
        <v>May-25</v>
      </c>
      <c r="V1040"/>
    </row>
    <row r="1041" spans="1:22" x14ac:dyDescent="0.25">
      <c r="A1041" t="s">
        <v>1119</v>
      </c>
      <c r="B1041" s="1">
        <v>45808</v>
      </c>
      <c r="C1041" t="s">
        <v>53</v>
      </c>
      <c r="D1041" t="s">
        <v>40</v>
      </c>
      <c r="E1041" t="s">
        <v>20</v>
      </c>
      <c r="F1041" t="s">
        <v>21</v>
      </c>
      <c r="G1041">
        <v>6</v>
      </c>
      <c r="H1041">
        <v>8500</v>
      </c>
      <c r="I1041">
        <v>6299</v>
      </c>
      <c r="J1041" t="s">
        <v>29</v>
      </c>
      <c r="K1041" t="s">
        <v>84</v>
      </c>
      <c r="L1041">
        <f>SUM(Clean_Data[[#This Row],[Units_Sold]]*Clean_Data[[#This Row],[Unit_Price]])</f>
        <v>51000</v>
      </c>
      <c r="M1041">
        <f>Clean_Data[[#This Row],[Units_Sold]]*Clean_Data[[#This Row],[Cost_Price]]</f>
        <v>37794</v>
      </c>
      <c r="N1041">
        <f>Clean_Data[[#This Row],[Total_Sales]]-Clean_Data[[#This Row],[Total_Cost]]</f>
        <v>13206</v>
      </c>
      <c r="O1041" s="2">
        <f>Clean_Data[[#This Row],[Profit]]/Clean_Data[[#This Row],[Total_Sales]]</f>
        <v>0.25894117647058823</v>
      </c>
      <c r="P1041" t="str">
        <f>_xlfn.XLOOKUP(Clean_Data[[#This Row],[Product_Code]],Product_Catalog!A:A,Product_Catalog!C:C)</f>
        <v>Accessories</v>
      </c>
      <c r="Q1041">
        <f>IF(Clean_Data[[#This Row],[Order_Date]]="","",YEAR(Clean_Data[[#This Row],[Order_Date]]))</f>
        <v>2025</v>
      </c>
      <c r="R1041" t="str">
        <f>TEXT(Clean_Data[[#This Row],[Order_Date]],"mmm")</f>
        <v>May</v>
      </c>
      <c r="S1041" t="str">
        <f>TEXT(Clean_Data[[#This Row],[Order_Date]],"mmm-yy")</f>
        <v>May-25</v>
      </c>
      <c r="V1041"/>
    </row>
    <row r="1042" spans="1:22" x14ac:dyDescent="0.25">
      <c r="A1042" t="s">
        <v>1120</v>
      </c>
      <c r="B1042" s="1">
        <v>46193</v>
      </c>
      <c r="C1042" t="s">
        <v>44</v>
      </c>
      <c r="D1042" t="s">
        <v>40</v>
      </c>
      <c r="E1042" t="s">
        <v>27</v>
      </c>
      <c r="F1042" t="s">
        <v>28</v>
      </c>
      <c r="G1042">
        <v>6</v>
      </c>
      <c r="H1042">
        <v>14000</v>
      </c>
      <c r="I1042">
        <v>11077</v>
      </c>
      <c r="J1042" t="s">
        <v>16</v>
      </c>
      <c r="K1042" t="s">
        <v>17</v>
      </c>
      <c r="L1042">
        <f>SUM(Clean_Data[[#This Row],[Units_Sold]]*Clean_Data[[#This Row],[Unit_Price]])</f>
        <v>84000</v>
      </c>
      <c r="M1042">
        <f>Clean_Data[[#This Row],[Units_Sold]]*Clean_Data[[#This Row],[Cost_Price]]</f>
        <v>66462</v>
      </c>
      <c r="N1042">
        <f>Clean_Data[[#This Row],[Total_Sales]]-Clean_Data[[#This Row],[Total_Cost]]</f>
        <v>17538</v>
      </c>
      <c r="O1042" s="2">
        <f>Clean_Data[[#This Row],[Profit]]/Clean_Data[[#This Row],[Total_Sales]]</f>
        <v>0.2087857142857143</v>
      </c>
      <c r="P1042" t="str">
        <f>_xlfn.XLOOKUP(Clean_Data[[#This Row],[Product_Code]],Product_Catalog!A:A,Product_Catalog!C:C)</f>
        <v>Furniture</v>
      </c>
      <c r="Q1042">
        <f>IF(Clean_Data[[#This Row],[Order_Date]]="","",YEAR(Clean_Data[[#This Row],[Order_Date]]))</f>
        <v>2026</v>
      </c>
      <c r="R1042" t="str">
        <f>TEXT(Clean_Data[[#This Row],[Order_Date]],"mmm")</f>
        <v>Jun</v>
      </c>
      <c r="S1042" t="str">
        <f>TEXT(Clean_Data[[#This Row],[Order_Date]],"mmm-yy")</f>
        <v>Jun-26</v>
      </c>
      <c r="V1042"/>
    </row>
    <row r="1043" spans="1:22" x14ac:dyDescent="0.25">
      <c r="A1043" t="s">
        <v>1121</v>
      </c>
      <c r="B1043" s="1">
        <v>45948</v>
      </c>
      <c r="C1043" t="s">
        <v>25</v>
      </c>
      <c r="D1043" t="s">
        <v>13</v>
      </c>
      <c r="E1043" t="s">
        <v>55</v>
      </c>
      <c r="F1043" t="s">
        <v>34</v>
      </c>
      <c r="G1043">
        <v>6</v>
      </c>
      <c r="H1043">
        <v>35000</v>
      </c>
      <c r="I1043">
        <v>23803</v>
      </c>
      <c r="J1043" t="s">
        <v>45</v>
      </c>
      <c r="K1043" t="s">
        <v>23</v>
      </c>
      <c r="L1043">
        <f>SUM(Clean_Data[[#This Row],[Units_Sold]]*Clean_Data[[#This Row],[Unit_Price]])</f>
        <v>210000</v>
      </c>
      <c r="M1043">
        <f>Clean_Data[[#This Row],[Units_Sold]]*Clean_Data[[#This Row],[Cost_Price]]</f>
        <v>142818</v>
      </c>
      <c r="N1043">
        <f>Clean_Data[[#This Row],[Total_Sales]]-Clean_Data[[#This Row],[Total_Cost]]</f>
        <v>67182</v>
      </c>
      <c r="O1043" s="2">
        <f>Clean_Data[[#This Row],[Profit]]/Clean_Data[[#This Row],[Total_Sales]]</f>
        <v>0.31991428571428571</v>
      </c>
      <c r="P1043" t="str">
        <f>_xlfn.XLOOKUP(Clean_Data[[#This Row],[Product_Code]],Product_Catalog!A:A,Product_Catalog!C:C)</f>
        <v>Furniture</v>
      </c>
      <c r="Q1043">
        <f>IF(Clean_Data[[#This Row],[Order_Date]]="","",YEAR(Clean_Data[[#This Row],[Order_Date]]))</f>
        <v>2025</v>
      </c>
      <c r="R1043" t="str">
        <f>TEXT(Clean_Data[[#This Row],[Order_Date]],"mmm")</f>
        <v>Oct</v>
      </c>
      <c r="S1043" t="str">
        <f>TEXT(Clean_Data[[#This Row],[Order_Date]],"mmm-yy")</f>
        <v>Oct-25</v>
      </c>
      <c r="V1043"/>
    </row>
    <row r="1044" spans="1:22" x14ac:dyDescent="0.25">
      <c r="A1044" t="s">
        <v>1122</v>
      </c>
      <c r="B1044" s="1">
        <v>45990</v>
      </c>
      <c r="C1044" t="s">
        <v>12</v>
      </c>
      <c r="D1044" t="s">
        <v>13</v>
      </c>
      <c r="E1044" t="s">
        <v>27</v>
      </c>
      <c r="F1044" t="s">
        <v>28</v>
      </c>
      <c r="G1044">
        <v>13</v>
      </c>
      <c r="H1044">
        <v>14000</v>
      </c>
      <c r="I1044">
        <v>10300</v>
      </c>
      <c r="J1044" t="s">
        <v>16</v>
      </c>
      <c r="K1044" t="s">
        <v>46</v>
      </c>
      <c r="L1044">
        <f>SUM(Clean_Data[[#This Row],[Units_Sold]]*Clean_Data[[#This Row],[Unit_Price]])</f>
        <v>182000</v>
      </c>
      <c r="M1044">
        <f>Clean_Data[[#This Row],[Units_Sold]]*Clean_Data[[#This Row],[Cost_Price]]</f>
        <v>133900</v>
      </c>
      <c r="N1044">
        <f>Clean_Data[[#This Row],[Total_Sales]]-Clean_Data[[#This Row],[Total_Cost]]</f>
        <v>48100</v>
      </c>
      <c r="O1044" s="2">
        <f>Clean_Data[[#This Row],[Profit]]/Clean_Data[[#This Row],[Total_Sales]]</f>
        <v>0.26428571428571429</v>
      </c>
      <c r="P1044" t="str">
        <f>_xlfn.XLOOKUP(Clean_Data[[#This Row],[Product_Code]],Product_Catalog!A:A,Product_Catalog!C:C)</f>
        <v>Furniture</v>
      </c>
      <c r="Q1044">
        <f>IF(Clean_Data[[#This Row],[Order_Date]]="","",YEAR(Clean_Data[[#This Row],[Order_Date]]))</f>
        <v>2025</v>
      </c>
      <c r="R1044" t="str">
        <f>TEXT(Clean_Data[[#This Row],[Order_Date]],"mmm")</f>
        <v>Nov</v>
      </c>
      <c r="S1044" t="str">
        <f>TEXT(Clean_Data[[#This Row],[Order_Date]],"mmm-yy")</f>
        <v>Nov-25</v>
      </c>
      <c r="V1044"/>
    </row>
    <row r="1045" spans="1:22" x14ac:dyDescent="0.25">
      <c r="A1045" t="s">
        <v>1123</v>
      </c>
      <c r="B1045" s="1">
        <v>46067</v>
      </c>
      <c r="C1045" t="s">
        <v>48</v>
      </c>
      <c r="D1045" t="s">
        <v>36</v>
      </c>
      <c r="E1045" t="s">
        <v>66</v>
      </c>
      <c r="F1045" t="s">
        <v>67</v>
      </c>
      <c r="G1045">
        <v>2</v>
      </c>
      <c r="H1045">
        <v>2500</v>
      </c>
      <c r="I1045">
        <v>1580</v>
      </c>
      <c r="J1045" t="s">
        <v>16</v>
      </c>
      <c r="K1045" t="s">
        <v>17</v>
      </c>
      <c r="L1045">
        <f>SUM(Clean_Data[[#This Row],[Units_Sold]]*Clean_Data[[#This Row],[Unit_Price]])</f>
        <v>5000</v>
      </c>
      <c r="M1045">
        <f>Clean_Data[[#This Row],[Units_Sold]]*Clean_Data[[#This Row],[Cost_Price]]</f>
        <v>3160</v>
      </c>
      <c r="N1045">
        <f>Clean_Data[[#This Row],[Total_Sales]]-Clean_Data[[#This Row],[Total_Cost]]</f>
        <v>1840</v>
      </c>
      <c r="O1045" s="2">
        <f>Clean_Data[[#This Row],[Profit]]/Clean_Data[[#This Row],[Total_Sales]]</f>
        <v>0.36799999999999999</v>
      </c>
      <c r="P1045" t="str">
        <f>_xlfn.XLOOKUP(Clean_Data[[#This Row],[Product_Code]],Product_Catalog!A:A,Product_Catalog!C:C)</f>
        <v>Electronics</v>
      </c>
      <c r="Q1045">
        <f>IF(Clean_Data[[#This Row],[Order_Date]]="","",YEAR(Clean_Data[[#This Row],[Order_Date]]))</f>
        <v>2026</v>
      </c>
      <c r="R1045" t="str">
        <f>TEXT(Clean_Data[[#This Row],[Order_Date]],"mmm")</f>
        <v>Feb</v>
      </c>
      <c r="S1045" t="str">
        <f>TEXT(Clean_Data[[#This Row],[Order_Date]],"mmm-yy")</f>
        <v>Feb-26</v>
      </c>
      <c r="V1045"/>
    </row>
    <row r="1046" spans="1:22" x14ac:dyDescent="0.25">
      <c r="A1046" t="s">
        <v>1125</v>
      </c>
      <c r="B1046" s="1">
        <v>46243</v>
      </c>
      <c r="C1046" t="s">
        <v>25</v>
      </c>
      <c r="D1046" t="s">
        <v>36</v>
      </c>
      <c r="E1046" t="s">
        <v>55</v>
      </c>
      <c r="F1046" t="s">
        <v>34</v>
      </c>
      <c r="G1046">
        <v>5</v>
      </c>
      <c r="H1046">
        <v>35000</v>
      </c>
      <c r="I1046">
        <v>22994</v>
      </c>
      <c r="J1046" t="s">
        <v>16</v>
      </c>
      <c r="K1046" t="s">
        <v>23</v>
      </c>
      <c r="L1046">
        <f>SUM(Clean_Data[[#This Row],[Units_Sold]]*Clean_Data[[#This Row],[Unit_Price]])</f>
        <v>175000</v>
      </c>
      <c r="M1046">
        <f>Clean_Data[[#This Row],[Units_Sold]]*Clean_Data[[#This Row],[Cost_Price]]</f>
        <v>114970</v>
      </c>
      <c r="N1046">
        <f>Clean_Data[[#This Row],[Total_Sales]]-Clean_Data[[#This Row],[Total_Cost]]</f>
        <v>60030</v>
      </c>
      <c r="O1046" s="2">
        <f>Clean_Data[[#This Row],[Profit]]/Clean_Data[[#This Row],[Total_Sales]]</f>
        <v>0.3430285714285714</v>
      </c>
      <c r="P1046" t="str">
        <f>_xlfn.XLOOKUP(Clean_Data[[#This Row],[Product_Code]],Product_Catalog!A:A,Product_Catalog!C:C)</f>
        <v>Furniture</v>
      </c>
      <c r="Q1046">
        <f>IF(Clean_Data[[#This Row],[Order_Date]]="","",YEAR(Clean_Data[[#This Row],[Order_Date]]))</f>
        <v>2026</v>
      </c>
      <c r="R1046" t="str">
        <f>TEXT(Clean_Data[[#This Row],[Order_Date]],"mmm")</f>
        <v>Aug</v>
      </c>
      <c r="S1046" t="str">
        <f>TEXT(Clean_Data[[#This Row],[Order_Date]],"mmm-yy")</f>
        <v>Aug-26</v>
      </c>
      <c r="V1046"/>
    </row>
    <row r="1047" spans="1:22" x14ac:dyDescent="0.25">
      <c r="A1047" t="s">
        <v>1126</v>
      </c>
      <c r="B1047" s="1">
        <v>45698</v>
      </c>
      <c r="C1047" t="s">
        <v>62</v>
      </c>
      <c r="D1047" t="s">
        <v>36</v>
      </c>
      <c r="E1047" t="s">
        <v>14</v>
      </c>
      <c r="F1047" t="s">
        <v>15</v>
      </c>
      <c r="G1047">
        <v>7</v>
      </c>
      <c r="H1047">
        <v>12500</v>
      </c>
      <c r="I1047">
        <v>9276</v>
      </c>
      <c r="J1047" t="s">
        <v>45</v>
      </c>
      <c r="K1047" t="s">
        <v>46</v>
      </c>
      <c r="L1047">
        <f>SUM(Clean_Data[[#This Row],[Units_Sold]]*Clean_Data[[#This Row],[Unit_Price]])</f>
        <v>87500</v>
      </c>
      <c r="M1047">
        <f>Clean_Data[[#This Row],[Units_Sold]]*Clean_Data[[#This Row],[Cost_Price]]</f>
        <v>64932</v>
      </c>
      <c r="N1047">
        <f>Clean_Data[[#This Row],[Total_Sales]]-Clean_Data[[#This Row],[Total_Cost]]</f>
        <v>22568</v>
      </c>
      <c r="O1047" s="2">
        <f>Clean_Data[[#This Row],[Profit]]/Clean_Data[[#This Row],[Total_Sales]]</f>
        <v>0.25791999999999998</v>
      </c>
      <c r="P1047" t="str">
        <f>_xlfn.XLOOKUP(Clean_Data[[#This Row],[Product_Code]],Product_Catalog!A:A,Product_Catalog!C:C)</f>
        <v>Accessories</v>
      </c>
      <c r="Q1047">
        <f>IF(Clean_Data[[#This Row],[Order_Date]]="","",YEAR(Clean_Data[[#This Row],[Order_Date]]))</f>
        <v>2025</v>
      </c>
      <c r="R1047" t="str">
        <f>TEXT(Clean_Data[[#This Row],[Order_Date]],"mmm")</f>
        <v>Feb</v>
      </c>
      <c r="S1047" t="str">
        <f>TEXT(Clean_Data[[#This Row],[Order_Date]],"mmm-yy")</f>
        <v>Feb-25</v>
      </c>
      <c r="V1047"/>
    </row>
    <row r="1048" spans="1:22" x14ac:dyDescent="0.25">
      <c r="A1048" t="s">
        <v>1127</v>
      </c>
      <c r="B1048" s="1">
        <v>46078</v>
      </c>
      <c r="C1048" t="s">
        <v>31</v>
      </c>
      <c r="D1048" t="s">
        <v>40</v>
      </c>
      <c r="E1048" t="s">
        <v>20</v>
      </c>
      <c r="F1048" t="s">
        <v>21</v>
      </c>
      <c r="G1048">
        <v>7</v>
      </c>
      <c r="H1048">
        <v>8500</v>
      </c>
      <c r="I1048">
        <v>6192</v>
      </c>
      <c r="J1048" t="s">
        <v>29</v>
      </c>
      <c r="K1048" t="s">
        <v>23</v>
      </c>
      <c r="L1048">
        <f>SUM(Clean_Data[[#This Row],[Units_Sold]]*Clean_Data[[#This Row],[Unit_Price]])</f>
        <v>59500</v>
      </c>
      <c r="M1048">
        <f>Clean_Data[[#This Row],[Units_Sold]]*Clean_Data[[#This Row],[Cost_Price]]</f>
        <v>43344</v>
      </c>
      <c r="N1048">
        <f>Clean_Data[[#This Row],[Total_Sales]]-Clean_Data[[#This Row],[Total_Cost]]</f>
        <v>16156</v>
      </c>
      <c r="O1048" s="2">
        <f>Clean_Data[[#This Row],[Profit]]/Clean_Data[[#This Row],[Total_Sales]]</f>
        <v>0.27152941176470591</v>
      </c>
      <c r="P1048" t="str">
        <f>_xlfn.XLOOKUP(Clean_Data[[#This Row],[Product_Code]],Product_Catalog!A:A,Product_Catalog!C:C)</f>
        <v>Accessories</v>
      </c>
      <c r="Q1048">
        <f>IF(Clean_Data[[#This Row],[Order_Date]]="","",YEAR(Clean_Data[[#This Row],[Order_Date]]))</f>
        <v>2026</v>
      </c>
      <c r="R1048" t="str">
        <f>TEXT(Clean_Data[[#This Row],[Order_Date]],"mmm")</f>
        <v>Feb</v>
      </c>
      <c r="S1048" t="str">
        <f>TEXT(Clean_Data[[#This Row],[Order_Date]],"mmm-yy")</f>
        <v>Feb-26</v>
      </c>
      <c r="V1048"/>
    </row>
    <row r="1049" spans="1:22" x14ac:dyDescent="0.25">
      <c r="A1049" t="s">
        <v>1128</v>
      </c>
      <c r="B1049" s="1">
        <v>46191</v>
      </c>
      <c r="C1049" t="s">
        <v>12</v>
      </c>
      <c r="D1049" t="s">
        <v>36</v>
      </c>
      <c r="E1049" t="s">
        <v>66</v>
      </c>
      <c r="F1049" t="s">
        <v>67</v>
      </c>
      <c r="G1049">
        <v>4</v>
      </c>
      <c r="H1049">
        <v>2500</v>
      </c>
      <c r="I1049">
        <v>1799</v>
      </c>
      <c r="J1049" t="s">
        <v>29</v>
      </c>
      <c r="K1049" t="s">
        <v>23</v>
      </c>
      <c r="L1049">
        <f>SUM(Clean_Data[[#This Row],[Units_Sold]]*Clean_Data[[#This Row],[Unit_Price]])</f>
        <v>10000</v>
      </c>
      <c r="M1049">
        <f>Clean_Data[[#This Row],[Units_Sold]]*Clean_Data[[#This Row],[Cost_Price]]</f>
        <v>7196</v>
      </c>
      <c r="N1049">
        <f>Clean_Data[[#This Row],[Total_Sales]]-Clean_Data[[#This Row],[Total_Cost]]</f>
        <v>2804</v>
      </c>
      <c r="O1049" s="2">
        <f>Clean_Data[[#This Row],[Profit]]/Clean_Data[[#This Row],[Total_Sales]]</f>
        <v>0.28039999999999998</v>
      </c>
      <c r="P1049" t="str">
        <f>_xlfn.XLOOKUP(Clean_Data[[#This Row],[Product_Code]],Product_Catalog!A:A,Product_Catalog!C:C)</f>
        <v>Electronics</v>
      </c>
      <c r="Q1049">
        <f>IF(Clean_Data[[#This Row],[Order_Date]]="","",YEAR(Clean_Data[[#This Row],[Order_Date]]))</f>
        <v>2026</v>
      </c>
      <c r="R1049" t="str">
        <f>TEXT(Clean_Data[[#This Row],[Order_Date]],"mmm")</f>
        <v>Jun</v>
      </c>
      <c r="S1049" t="str">
        <f>TEXT(Clean_Data[[#This Row],[Order_Date]],"mmm-yy")</f>
        <v>Jun-26</v>
      </c>
      <c r="V1049"/>
    </row>
    <row r="1050" spans="1:22" x14ac:dyDescent="0.25">
      <c r="A1050" t="s">
        <v>1129</v>
      </c>
      <c r="B1050" s="1">
        <v>46080</v>
      </c>
      <c r="C1050" t="s">
        <v>62</v>
      </c>
      <c r="D1050" t="s">
        <v>36</v>
      </c>
      <c r="E1050" t="s">
        <v>66</v>
      </c>
      <c r="F1050" t="s">
        <v>67</v>
      </c>
      <c r="G1050">
        <v>15</v>
      </c>
      <c r="H1050">
        <v>2500</v>
      </c>
      <c r="I1050">
        <v>1647</v>
      </c>
      <c r="J1050" t="s">
        <v>22</v>
      </c>
      <c r="K1050" t="s">
        <v>23</v>
      </c>
      <c r="L1050">
        <f>SUM(Clean_Data[[#This Row],[Units_Sold]]*Clean_Data[[#This Row],[Unit_Price]])</f>
        <v>37500</v>
      </c>
      <c r="M1050">
        <f>Clean_Data[[#This Row],[Units_Sold]]*Clean_Data[[#This Row],[Cost_Price]]</f>
        <v>24705</v>
      </c>
      <c r="N1050">
        <f>Clean_Data[[#This Row],[Total_Sales]]-Clean_Data[[#This Row],[Total_Cost]]</f>
        <v>12795</v>
      </c>
      <c r="O1050" s="2">
        <f>Clean_Data[[#This Row],[Profit]]/Clean_Data[[#This Row],[Total_Sales]]</f>
        <v>0.3412</v>
      </c>
      <c r="P1050" t="str">
        <f>_xlfn.XLOOKUP(Clean_Data[[#This Row],[Product_Code]],Product_Catalog!A:A,Product_Catalog!C:C)</f>
        <v>Electronics</v>
      </c>
      <c r="Q1050">
        <f>IF(Clean_Data[[#This Row],[Order_Date]]="","",YEAR(Clean_Data[[#This Row],[Order_Date]]))</f>
        <v>2026</v>
      </c>
      <c r="R1050" t="str">
        <f>TEXT(Clean_Data[[#This Row],[Order_Date]],"mmm")</f>
        <v>Feb</v>
      </c>
      <c r="S1050" t="str">
        <f>TEXT(Clean_Data[[#This Row],[Order_Date]],"mmm-yy")</f>
        <v>Feb-26</v>
      </c>
      <c r="V1050"/>
    </row>
    <row r="1051" spans="1:22" x14ac:dyDescent="0.25">
      <c r="A1051" t="s">
        <v>1130</v>
      </c>
      <c r="B1051" s="1">
        <v>45701</v>
      </c>
      <c r="C1051" t="s">
        <v>25</v>
      </c>
      <c r="D1051" t="s">
        <v>26</v>
      </c>
      <c r="E1051" t="s">
        <v>41</v>
      </c>
      <c r="F1051" t="s">
        <v>42</v>
      </c>
      <c r="G1051">
        <v>7</v>
      </c>
      <c r="H1051">
        <v>28000</v>
      </c>
      <c r="I1051">
        <v>20521</v>
      </c>
      <c r="J1051" t="s">
        <v>29</v>
      </c>
      <c r="K1051" t="s">
        <v>17</v>
      </c>
      <c r="L1051">
        <f>SUM(Clean_Data[[#This Row],[Units_Sold]]*Clean_Data[[#This Row],[Unit_Price]])</f>
        <v>196000</v>
      </c>
      <c r="M1051">
        <f>Clean_Data[[#This Row],[Units_Sold]]*Clean_Data[[#This Row],[Cost_Price]]</f>
        <v>143647</v>
      </c>
      <c r="N1051">
        <f>Clean_Data[[#This Row],[Total_Sales]]-Clean_Data[[#This Row],[Total_Cost]]</f>
        <v>52353</v>
      </c>
      <c r="O1051" s="2">
        <f>Clean_Data[[#This Row],[Profit]]/Clean_Data[[#This Row],[Total_Sales]]</f>
        <v>0.26710714285714288</v>
      </c>
      <c r="P1051" t="str">
        <f>_xlfn.XLOOKUP(Clean_Data[[#This Row],[Product_Code]],Product_Catalog!A:A,Product_Catalog!C:C)</f>
        <v>Electronics</v>
      </c>
      <c r="Q1051">
        <f>IF(Clean_Data[[#This Row],[Order_Date]]="","",YEAR(Clean_Data[[#This Row],[Order_Date]]))</f>
        <v>2025</v>
      </c>
      <c r="R1051" t="str">
        <f>TEXT(Clean_Data[[#This Row],[Order_Date]],"mmm")</f>
        <v>Feb</v>
      </c>
      <c r="S1051" t="str">
        <f>TEXT(Clean_Data[[#This Row],[Order_Date]],"mmm-yy")</f>
        <v>Feb-25</v>
      </c>
      <c r="V1051"/>
    </row>
    <row r="1052" spans="1:22" x14ac:dyDescent="0.25">
      <c r="A1052" t="s">
        <v>1131</v>
      </c>
      <c r="B1052" s="1">
        <v>46052</v>
      </c>
      <c r="C1052" t="s">
        <v>44</v>
      </c>
      <c r="D1052" t="s">
        <v>33</v>
      </c>
      <c r="E1052" t="s">
        <v>27</v>
      </c>
      <c r="F1052" t="s">
        <v>28</v>
      </c>
      <c r="G1052">
        <v>7</v>
      </c>
      <c r="H1052">
        <v>14000</v>
      </c>
      <c r="I1052">
        <v>10741</v>
      </c>
      <c r="J1052" t="s">
        <v>29</v>
      </c>
      <c r="K1052" t="s">
        <v>17</v>
      </c>
      <c r="L1052">
        <f>SUM(Clean_Data[[#This Row],[Units_Sold]]*Clean_Data[[#This Row],[Unit_Price]])</f>
        <v>98000</v>
      </c>
      <c r="M1052">
        <f>Clean_Data[[#This Row],[Units_Sold]]*Clean_Data[[#This Row],[Cost_Price]]</f>
        <v>75187</v>
      </c>
      <c r="N1052">
        <f>Clean_Data[[#This Row],[Total_Sales]]-Clean_Data[[#This Row],[Total_Cost]]</f>
        <v>22813</v>
      </c>
      <c r="O1052" s="2">
        <f>Clean_Data[[#This Row],[Profit]]/Clean_Data[[#This Row],[Total_Sales]]</f>
        <v>0.23278571428571429</v>
      </c>
      <c r="P1052" t="str">
        <f>_xlfn.XLOOKUP(Clean_Data[[#This Row],[Product_Code]],Product_Catalog!A:A,Product_Catalog!C:C)</f>
        <v>Furniture</v>
      </c>
      <c r="Q1052">
        <f>IF(Clean_Data[[#This Row],[Order_Date]]="","",YEAR(Clean_Data[[#This Row],[Order_Date]]))</f>
        <v>2026</v>
      </c>
      <c r="R1052" t="str">
        <f>TEXT(Clean_Data[[#This Row],[Order_Date]],"mmm")</f>
        <v>Jan</v>
      </c>
      <c r="S1052" t="str">
        <f>TEXT(Clean_Data[[#This Row],[Order_Date]],"mmm-yy")</f>
        <v>Jan-26</v>
      </c>
      <c r="V1052"/>
    </row>
    <row r="1053" spans="1:22" x14ac:dyDescent="0.25">
      <c r="A1053" t="s">
        <v>1132</v>
      </c>
      <c r="B1053" s="1">
        <v>45725</v>
      </c>
      <c r="C1053" t="s">
        <v>48</v>
      </c>
      <c r="D1053" t="s">
        <v>26</v>
      </c>
      <c r="E1053" t="s">
        <v>66</v>
      </c>
      <c r="F1053" t="s">
        <v>67</v>
      </c>
      <c r="G1053">
        <v>9</v>
      </c>
      <c r="H1053">
        <v>2500</v>
      </c>
      <c r="I1053">
        <v>1629</v>
      </c>
      <c r="J1053" t="s">
        <v>22</v>
      </c>
      <c r="K1053" t="s">
        <v>23</v>
      </c>
      <c r="L1053">
        <f>SUM(Clean_Data[[#This Row],[Units_Sold]]*Clean_Data[[#This Row],[Unit_Price]])</f>
        <v>22500</v>
      </c>
      <c r="M1053">
        <f>Clean_Data[[#This Row],[Units_Sold]]*Clean_Data[[#This Row],[Cost_Price]]</f>
        <v>14661</v>
      </c>
      <c r="N1053">
        <f>Clean_Data[[#This Row],[Total_Sales]]-Clean_Data[[#This Row],[Total_Cost]]</f>
        <v>7839</v>
      </c>
      <c r="O1053" s="2">
        <f>Clean_Data[[#This Row],[Profit]]/Clean_Data[[#This Row],[Total_Sales]]</f>
        <v>0.34839999999999999</v>
      </c>
      <c r="P1053" t="str">
        <f>_xlfn.XLOOKUP(Clean_Data[[#This Row],[Product_Code]],Product_Catalog!A:A,Product_Catalog!C:C)</f>
        <v>Electronics</v>
      </c>
      <c r="Q1053">
        <f>IF(Clean_Data[[#This Row],[Order_Date]]="","",YEAR(Clean_Data[[#This Row],[Order_Date]]))</f>
        <v>2025</v>
      </c>
      <c r="R1053" t="str">
        <f>TEXT(Clean_Data[[#This Row],[Order_Date]],"mmm")</f>
        <v>Mar</v>
      </c>
      <c r="S1053" t="str">
        <f>TEXT(Clean_Data[[#This Row],[Order_Date]],"mmm-yy")</f>
        <v>Mar-25</v>
      </c>
      <c r="V1053"/>
    </row>
    <row r="1054" spans="1:22" x14ac:dyDescent="0.25">
      <c r="A1054" t="s">
        <v>1133</v>
      </c>
      <c r="B1054" s="1">
        <v>45773</v>
      </c>
      <c r="C1054" t="s">
        <v>25</v>
      </c>
      <c r="D1054" t="s">
        <v>33</v>
      </c>
      <c r="E1054" t="s">
        <v>37</v>
      </c>
      <c r="F1054" t="s">
        <v>38</v>
      </c>
      <c r="G1054">
        <v>7</v>
      </c>
      <c r="H1054">
        <v>55000</v>
      </c>
      <c r="I1054">
        <v>43390</v>
      </c>
      <c r="J1054" t="s">
        <v>45</v>
      </c>
      <c r="K1054" t="s">
        <v>23</v>
      </c>
      <c r="L1054">
        <f>SUM(Clean_Data[[#This Row],[Units_Sold]]*Clean_Data[[#This Row],[Unit_Price]])</f>
        <v>385000</v>
      </c>
      <c r="M1054">
        <f>Clean_Data[[#This Row],[Units_Sold]]*Clean_Data[[#This Row],[Cost_Price]]</f>
        <v>303730</v>
      </c>
      <c r="N1054">
        <f>Clean_Data[[#This Row],[Total_Sales]]-Clean_Data[[#This Row],[Total_Cost]]</f>
        <v>81270</v>
      </c>
      <c r="O1054" s="2">
        <f>Clean_Data[[#This Row],[Profit]]/Clean_Data[[#This Row],[Total_Sales]]</f>
        <v>0.21109090909090908</v>
      </c>
      <c r="P1054" t="str">
        <f>_xlfn.XLOOKUP(Clean_Data[[#This Row],[Product_Code]],Product_Catalog!A:A,Product_Catalog!C:C)</f>
        <v>Electronics</v>
      </c>
      <c r="Q1054">
        <f>IF(Clean_Data[[#This Row],[Order_Date]]="","",YEAR(Clean_Data[[#This Row],[Order_Date]]))</f>
        <v>2025</v>
      </c>
      <c r="R1054" t="str">
        <f>TEXT(Clean_Data[[#This Row],[Order_Date]],"mmm")</f>
        <v>Apr</v>
      </c>
      <c r="S1054" t="str">
        <f>TEXT(Clean_Data[[#This Row],[Order_Date]],"mmm-yy")</f>
        <v>Apr-25</v>
      </c>
      <c r="V1054"/>
    </row>
    <row r="1055" spans="1:22" x14ac:dyDescent="0.25">
      <c r="A1055" t="s">
        <v>1134</v>
      </c>
      <c r="B1055" s="1">
        <v>46160</v>
      </c>
      <c r="C1055" t="s">
        <v>73</v>
      </c>
      <c r="D1055" t="s">
        <v>36</v>
      </c>
      <c r="E1055" t="s">
        <v>14</v>
      </c>
      <c r="F1055" t="s">
        <v>15</v>
      </c>
      <c r="G1055">
        <v>11</v>
      </c>
      <c r="H1055">
        <v>12500</v>
      </c>
      <c r="I1055">
        <v>8178</v>
      </c>
      <c r="J1055" t="s">
        <v>29</v>
      </c>
      <c r="K1055" t="s">
        <v>46</v>
      </c>
      <c r="L1055">
        <f>SUM(Clean_Data[[#This Row],[Units_Sold]]*Clean_Data[[#This Row],[Unit_Price]])</f>
        <v>137500</v>
      </c>
      <c r="M1055">
        <f>Clean_Data[[#This Row],[Units_Sold]]*Clean_Data[[#This Row],[Cost_Price]]</f>
        <v>89958</v>
      </c>
      <c r="N1055">
        <f>Clean_Data[[#This Row],[Total_Sales]]-Clean_Data[[#This Row],[Total_Cost]]</f>
        <v>47542</v>
      </c>
      <c r="O1055" s="2">
        <f>Clean_Data[[#This Row],[Profit]]/Clean_Data[[#This Row],[Total_Sales]]</f>
        <v>0.34576000000000001</v>
      </c>
      <c r="P1055" t="str">
        <f>_xlfn.XLOOKUP(Clean_Data[[#This Row],[Product_Code]],Product_Catalog!A:A,Product_Catalog!C:C)</f>
        <v>Accessories</v>
      </c>
      <c r="Q1055">
        <f>IF(Clean_Data[[#This Row],[Order_Date]]="","",YEAR(Clean_Data[[#This Row],[Order_Date]]))</f>
        <v>2026</v>
      </c>
      <c r="R1055" t="str">
        <f>TEXT(Clean_Data[[#This Row],[Order_Date]],"mmm")</f>
        <v>May</v>
      </c>
      <c r="S1055" t="str">
        <f>TEXT(Clean_Data[[#This Row],[Order_Date]],"mmm-yy")</f>
        <v>May-26</v>
      </c>
      <c r="V1055"/>
    </row>
    <row r="1056" spans="1:22" x14ac:dyDescent="0.25">
      <c r="A1056" t="s">
        <v>1135</v>
      </c>
      <c r="B1056" s="1">
        <v>45744</v>
      </c>
      <c r="C1056" t="s">
        <v>62</v>
      </c>
      <c r="D1056" t="s">
        <v>40</v>
      </c>
      <c r="E1056" t="s">
        <v>37</v>
      </c>
      <c r="F1056" t="s">
        <v>38</v>
      </c>
      <c r="G1056">
        <v>18</v>
      </c>
      <c r="H1056">
        <v>55000</v>
      </c>
      <c r="I1056">
        <v>33124</v>
      </c>
      <c r="J1056" t="s">
        <v>22</v>
      </c>
      <c r="K1056" t="s">
        <v>23</v>
      </c>
      <c r="L1056">
        <f>SUM(Clean_Data[[#This Row],[Units_Sold]]*Clean_Data[[#This Row],[Unit_Price]])</f>
        <v>990000</v>
      </c>
      <c r="M1056">
        <f>Clean_Data[[#This Row],[Units_Sold]]*Clean_Data[[#This Row],[Cost_Price]]</f>
        <v>596232</v>
      </c>
      <c r="N1056">
        <f>Clean_Data[[#This Row],[Total_Sales]]-Clean_Data[[#This Row],[Total_Cost]]</f>
        <v>393768</v>
      </c>
      <c r="O1056" s="2">
        <f>Clean_Data[[#This Row],[Profit]]/Clean_Data[[#This Row],[Total_Sales]]</f>
        <v>0.39774545454545457</v>
      </c>
      <c r="P1056" t="str">
        <f>_xlfn.XLOOKUP(Clean_Data[[#This Row],[Product_Code]],Product_Catalog!A:A,Product_Catalog!C:C)</f>
        <v>Electronics</v>
      </c>
      <c r="Q1056">
        <f>IF(Clean_Data[[#This Row],[Order_Date]]="","",YEAR(Clean_Data[[#This Row],[Order_Date]]))</f>
        <v>2025</v>
      </c>
      <c r="R1056" t="str">
        <f>TEXT(Clean_Data[[#This Row],[Order_Date]],"mmm")</f>
        <v>Mar</v>
      </c>
      <c r="S1056" t="str">
        <f>TEXT(Clean_Data[[#This Row],[Order_Date]],"mmm-yy")</f>
        <v>Mar-25</v>
      </c>
      <c r="V1056"/>
    </row>
    <row r="1057" spans="1:22" x14ac:dyDescent="0.25">
      <c r="A1057" t="s">
        <v>1136</v>
      </c>
      <c r="B1057" s="1">
        <v>45852</v>
      </c>
      <c r="C1057" t="s">
        <v>53</v>
      </c>
      <c r="D1057" t="s">
        <v>26</v>
      </c>
      <c r="E1057" t="s">
        <v>41</v>
      </c>
      <c r="F1057" t="s">
        <v>42</v>
      </c>
      <c r="G1057">
        <v>11</v>
      </c>
      <c r="H1057">
        <v>28000</v>
      </c>
      <c r="I1057">
        <v>18746</v>
      </c>
      <c r="J1057" t="s">
        <v>45</v>
      </c>
      <c r="K1057" t="s">
        <v>23</v>
      </c>
      <c r="L1057">
        <f>SUM(Clean_Data[[#This Row],[Units_Sold]]*Clean_Data[[#This Row],[Unit_Price]])</f>
        <v>308000</v>
      </c>
      <c r="M1057">
        <f>Clean_Data[[#This Row],[Units_Sold]]*Clean_Data[[#This Row],[Cost_Price]]</f>
        <v>206206</v>
      </c>
      <c r="N1057">
        <f>Clean_Data[[#This Row],[Total_Sales]]-Clean_Data[[#This Row],[Total_Cost]]</f>
        <v>101794</v>
      </c>
      <c r="O1057" s="2">
        <f>Clean_Data[[#This Row],[Profit]]/Clean_Data[[#This Row],[Total_Sales]]</f>
        <v>0.33050000000000002</v>
      </c>
      <c r="P1057" t="str">
        <f>_xlfn.XLOOKUP(Clean_Data[[#This Row],[Product_Code]],Product_Catalog!A:A,Product_Catalog!C:C)</f>
        <v>Electronics</v>
      </c>
      <c r="Q1057">
        <f>IF(Clean_Data[[#This Row],[Order_Date]]="","",YEAR(Clean_Data[[#This Row],[Order_Date]]))</f>
        <v>2025</v>
      </c>
      <c r="R1057" t="str">
        <f>TEXT(Clean_Data[[#This Row],[Order_Date]],"mmm")</f>
        <v>Jul</v>
      </c>
      <c r="S1057" t="str">
        <f>TEXT(Clean_Data[[#This Row],[Order_Date]],"mmm-yy")</f>
        <v>Jul-25</v>
      </c>
      <c r="V1057"/>
    </row>
    <row r="1058" spans="1:22" x14ac:dyDescent="0.25">
      <c r="A1058" t="s">
        <v>1137</v>
      </c>
      <c r="B1058" s="1">
        <v>45797</v>
      </c>
      <c r="C1058" t="s">
        <v>19</v>
      </c>
      <c r="D1058" t="s">
        <v>26</v>
      </c>
      <c r="E1058" t="s">
        <v>27</v>
      </c>
      <c r="F1058" t="s">
        <v>28</v>
      </c>
      <c r="G1058">
        <v>15</v>
      </c>
      <c r="H1058">
        <v>14000</v>
      </c>
      <c r="I1058">
        <v>11143</v>
      </c>
      <c r="J1058" t="s">
        <v>16</v>
      </c>
      <c r="K1058" t="s">
        <v>23</v>
      </c>
      <c r="L1058">
        <f>SUM(Clean_Data[[#This Row],[Units_Sold]]*Clean_Data[[#This Row],[Unit_Price]])</f>
        <v>210000</v>
      </c>
      <c r="M1058">
        <f>Clean_Data[[#This Row],[Units_Sold]]*Clean_Data[[#This Row],[Cost_Price]]</f>
        <v>167145</v>
      </c>
      <c r="N1058">
        <f>Clean_Data[[#This Row],[Total_Sales]]-Clean_Data[[#This Row],[Total_Cost]]</f>
        <v>42855</v>
      </c>
      <c r="O1058" s="2">
        <f>Clean_Data[[#This Row],[Profit]]/Clean_Data[[#This Row],[Total_Sales]]</f>
        <v>0.20407142857142857</v>
      </c>
      <c r="P1058" t="str">
        <f>_xlfn.XLOOKUP(Clean_Data[[#This Row],[Product_Code]],Product_Catalog!A:A,Product_Catalog!C:C)</f>
        <v>Furniture</v>
      </c>
      <c r="Q1058">
        <f>IF(Clean_Data[[#This Row],[Order_Date]]="","",YEAR(Clean_Data[[#This Row],[Order_Date]]))</f>
        <v>2025</v>
      </c>
      <c r="R1058" t="str">
        <f>TEXT(Clean_Data[[#This Row],[Order_Date]],"mmm")</f>
        <v>May</v>
      </c>
      <c r="S1058" t="str">
        <f>TEXT(Clean_Data[[#This Row],[Order_Date]],"mmm-yy")</f>
        <v>May-25</v>
      </c>
      <c r="V1058"/>
    </row>
    <row r="1059" spans="1:22" x14ac:dyDescent="0.25">
      <c r="A1059" t="s">
        <v>1138</v>
      </c>
      <c r="B1059" s="1">
        <v>45746</v>
      </c>
      <c r="C1059" t="s">
        <v>53</v>
      </c>
      <c r="D1059" t="s">
        <v>33</v>
      </c>
      <c r="E1059" t="s">
        <v>63</v>
      </c>
      <c r="F1059" t="s">
        <v>59</v>
      </c>
      <c r="G1059">
        <v>2</v>
      </c>
      <c r="H1059">
        <v>4500</v>
      </c>
      <c r="I1059">
        <v>2838</v>
      </c>
      <c r="J1059" t="s">
        <v>45</v>
      </c>
      <c r="K1059" t="s">
        <v>46</v>
      </c>
      <c r="L1059">
        <f>SUM(Clean_Data[[#This Row],[Units_Sold]]*Clean_Data[[#This Row],[Unit_Price]])</f>
        <v>9000</v>
      </c>
      <c r="M1059">
        <f>Clean_Data[[#This Row],[Units_Sold]]*Clean_Data[[#This Row],[Cost_Price]]</f>
        <v>5676</v>
      </c>
      <c r="N1059">
        <f>Clean_Data[[#This Row],[Total_Sales]]-Clean_Data[[#This Row],[Total_Cost]]</f>
        <v>3324</v>
      </c>
      <c r="O1059" s="2">
        <f>Clean_Data[[#This Row],[Profit]]/Clean_Data[[#This Row],[Total_Sales]]</f>
        <v>0.36933333333333335</v>
      </c>
      <c r="P1059" t="str">
        <f>_xlfn.XLOOKUP(Clean_Data[[#This Row],[Product_Code]],Product_Catalog!A:A,Product_Catalog!C:C)</f>
        <v>Electronics</v>
      </c>
      <c r="Q1059">
        <f>IF(Clean_Data[[#This Row],[Order_Date]]="","",YEAR(Clean_Data[[#This Row],[Order_Date]]))</f>
        <v>2025</v>
      </c>
      <c r="R1059" t="str">
        <f>TEXT(Clean_Data[[#This Row],[Order_Date]],"mmm")</f>
        <v>Mar</v>
      </c>
      <c r="S1059" t="str">
        <f>TEXT(Clean_Data[[#This Row],[Order_Date]],"mmm-yy")</f>
        <v>Mar-25</v>
      </c>
      <c r="V1059"/>
    </row>
    <row r="1060" spans="1:22" x14ac:dyDescent="0.25">
      <c r="A1060" t="s">
        <v>1139</v>
      </c>
      <c r="B1060" s="1">
        <v>46046</v>
      </c>
      <c r="C1060" t="s">
        <v>62</v>
      </c>
      <c r="D1060" t="s">
        <v>40</v>
      </c>
      <c r="E1060" t="s">
        <v>41</v>
      </c>
      <c r="F1060" t="s">
        <v>42</v>
      </c>
      <c r="G1060">
        <v>1</v>
      </c>
      <c r="H1060">
        <v>28000</v>
      </c>
      <c r="I1060">
        <v>17980</v>
      </c>
      <c r="J1060" t="s">
        <v>22</v>
      </c>
      <c r="K1060" t="s">
        <v>23</v>
      </c>
      <c r="L1060">
        <f>SUM(Clean_Data[[#This Row],[Units_Sold]]*Clean_Data[[#This Row],[Unit_Price]])</f>
        <v>28000</v>
      </c>
      <c r="M1060">
        <f>Clean_Data[[#This Row],[Units_Sold]]*Clean_Data[[#This Row],[Cost_Price]]</f>
        <v>17980</v>
      </c>
      <c r="N1060">
        <f>Clean_Data[[#This Row],[Total_Sales]]-Clean_Data[[#This Row],[Total_Cost]]</f>
        <v>10020</v>
      </c>
      <c r="O1060" s="2">
        <f>Clean_Data[[#This Row],[Profit]]/Clean_Data[[#This Row],[Total_Sales]]</f>
        <v>0.35785714285714287</v>
      </c>
      <c r="P1060" t="str">
        <f>_xlfn.XLOOKUP(Clean_Data[[#This Row],[Product_Code]],Product_Catalog!A:A,Product_Catalog!C:C)</f>
        <v>Electronics</v>
      </c>
      <c r="Q1060">
        <f>IF(Clean_Data[[#This Row],[Order_Date]]="","",YEAR(Clean_Data[[#This Row],[Order_Date]]))</f>
        <v>2026</v>
      </c>
      <c r="R1060" t="str">
        <f>TEXT(Clean_Data[[#This Row],[Order_Date]],"mmm")</f>
        <v>Jan</v>
      </c>
      <c r="S1060" t="str">
        <f>TEXT(Clean_Data[[#This Row],[Order_Date]],"mmm-yy")</f>
        <v>Jan-26</v>
      </c>
      <c r="V1060"/>
    </row>
    <row r="1061" spans="1:22" x14ac:dyDescent="0.25">
      <c r="A1061" t="s">
        <v>1140</v>
      </c>
      <c r="B1061" s="1">
        <v>45933</v>
      </c>
      <c r="C1061" t="s">
        <v>62</v>
      </c>
      <c r="D1061" t="s">
        <v>40</v>
      </c>
      <c r="E1061" t="s">
        <v>49</v>
      </c>
      <c r="F1061" t="s">
        <v>50</v>
      </c>
      <c r="G1061">
        <v>19</v>
      </c>
      <c r="H1061">
        <v>75000</v>
      </c>
      <c r="I1061">
        <v>46079</v>
      </c>
      <c r="J1061" t="s">
        <v>29</v>
      </c>
      <c r="K1061" t="s">
        <v>46</v>
      </c>
      <c r="L1061">
        <f>SUM(Clean_Data[[#This Row],[Units_Sold]]*Clean_Data[[#This Row],[Unit_Price]])</f>
        <v>1425000</v>
      </c>
      <c r="M1061">
        <f>Clean_Data[[#This Row],[Units_Sold]]*Clean_Data[[#This Row],[Cost_Price]]</f>
        <v>875501</v>
      </c>
      <c r="N1061">
        <f>Clean_Data[[#This Row],[Total_Sales]]-Clean_Data[[#This Row],[Total_Cost]]</f>
        <v>549499</v>
      </c>
      <c r="O1061" s="2">
        <f>Clean_Data[[#This Row],[Profit]]/Clean_Data[[#This Row],[Total_Sales]]</f>
        <v>0.38561333333333331</v>
      </c>
      <c r="P1061" t="str">
        <f>_xlfn.XLOOKUP(Clean_Data[[#This Row],[Product_Code]],Product_Catalog!A:A,Product_Catalog!C:C)</f>
        <v>Electronics</v>
      </c>
      <c r="Q1061">
        <f>IF(Clean_Data[[#This Row],[Order_Date]]="","",YEAR(Clean_Data[[#This Row],[Order_Date]]))</f>
        <v>2025</v>
      </c>
      <c r="R1061" t="str">
        <f>TEXT(Clean_Data[[#This Row],[Order_Date]],"mmm")</f>
        <v>Oct</v>
      </c>
      <c r="S1061" t="str">
        <f>TEXT(Clean_Data[[#This Row],[Order_Date]],"mmm-yy")</f>
        <v>Oct-25</v>
      </c>
      <c r="V1061"/>
    </row>
    <row r="1062" spans="1:22" x14ac:dyDescent="0.25">
      <c r="A1062" t="s">
        <v>1141</v>
      </c>
      <c r="B1062" s="1">
        <v>45757</v>
      </c>
      <c r="C1062" t="s">
        <v>53</v>
      </c>
      <c r="D1062" t="s">
        <v>26</v>
      </c>
      <c r="E1062" t="s">
        <v>49</v>
      </c>
      <c r="F1062" t="s">
        <v>50</v>
      </c>
      <c r="G1062">
        <v>19</v>
      </c>
      <c r="H1062">
        <v>75000</v>
      </c>
      <c r="I1062">
        <v>57875</v>
      </c>
      <c r="J1062" t="s">
        <v>45</v>
      </c>
      <c r="K1062" t="s">
        <v>23</v>
      </c>
      <c r="L1062">
        <f>SUM(Clean_Data[[#This Row],[Units_Sold]]*Clean_Data[[#This Row],[Unit_Price]])</f>
        <v>1425000</v>
      </c>
      <c r="M1062">
        <f>Clean_Data[[#This Row],[Units_Sold]]*Clean_Data[[#This Row],[Cost_Price]]</f>
        <v>1099625</v>
      </c>
      <c r="N1062">
        <f>Clean_Data[[#This Row],[Total_Sales]]-Clean_Data[[#This Row],[Total_Cost]]</f>
        <v>325375</v>
      </c>
      <c r="O1062" s="2">
        <f>Clean_Data[[#This Row],[Profit]]/Clean_Data[[#This Row],[Total_Sales]]</f>
        <v>0.22833333333333333</v>
      </c>
      <c r="P1062" t="str">
        <f>_xlfn.XLOOKUP(Clean_Data[[#This Row],[Product_Code]],Product_Catalog!A:A,Product_Catalog!C:C)</f>
        <v>Electronics</v>
      </c>
      <c r="Q1062">
        <f>IF(Clean_Data[[#This Row],[Order_Date]]="","",YEAR(Clean_Data[[#This Row],[Order_Date]]))</f>
        <v>2025</v>
      </c>
      <c r="R1062" t="str">
        <f>TEXT(Clean_Data[[#This Row],[Order_Date]],"mmm")</f>
        <v>Apr</v>
      </c>
      <c r="S1062" t="str">
        <f>TEXT(Clean_Data[[#This Row],[Order_Date]],"mmm-yy")</f>
        <v>Apr-25</v>
      </c>
      <c r="V1062"/>
    </row>
    <row r="1063" spans="1:22" x14ac:dyDescent="0.25">
      <c r="A1063" t="s">
        <v>1142</v>
      </c>
      <c r="B1063" s="1">
        <v>46058</v>
      </c>
      <c r="C1063" t="s">
        <v>31</v>
      </c>
      <c r="D1063" t="s">
        <v>40</v>
      </c>
      <c r="E1063" t="s">
        <v>63</v>
      </c>
      <c r="F1063" t="s">
        <v>59</v>
      </c>
      <c r="G1063">
        <v>4</v>
      </c>
      <c r="H1063">
        <v>4500</v>
      </c>
      <c r="I1063">
        <v>3191</v>
      </c>
      <c r="J1063" t="s">
        <v>22</v>
      </c>
      <c r="K1063" t="s">
        <v>17</v>
      </c>
      <c r="L1063">
        <f>SUM(Clean_Data[[#This Row],[Units_Sold]]*Clean_Data[[#This Row],[Unit_Price]])</f>
        <v>18000</v>
      </c>
      <c r="M1063">
        <f>Clean_Data[[#This Row],[Units_Sold]]*Clean_Data[[#This Row],[Cost_Price]]</f>
        <v>12764</v>
      </c>
      <c r="N1063">
        <f>Clean_Data[[#This Row],[Total_Sales]]-Clean_Data[[#This Row],[Total_Cost]]</f>
        <v>5236</v>
      </c>
      <c r="O1063" s="2">
        <f>Clean_Data[[#This Row],[Profit]]/Clean_Data[[#This Row],[Total_Sales]]</f>
        <v>0.29088888888888886</v>
      </c>
      <c r="P1063" t="str">
        <f>_xlfn.XLOOKUP(Clean_Data[[#This Row],[Product_Code]],Product_Catalog!A:A,Product_Catalog!C:C)</f>
        <v>Electronics</v>
      </c>
      <c r="Q1063">
        <f>IF(Clean_Data[[#This Row],[Order_Date]]="","",YEAR(Clean_Data[[#This Row],[Order_Date]]))</f>
        <v>2026</v>
      </c>
      <c r="R1063" t="str">
        <f>TEXT(Clean_Data[[#This Row],[Order_Date]],"mmm")</f>
        <v>Feb</v>
      </c>
      <c r="S1063" t="str">
        <f>TEXT(Clean_Data[[#This Row],[Order_Date]],"mmm-yy")</f>
        <v>Feb-26</v>
      </c>
      <c r="V1063"/>
    </row>
    <row r="1064" spans="1:22" x14ac:dyDescent="0.25">
      <c r="A1064" t="s">
        <v>1143</v>
      </c>
      <c r="B1064" s="1">
        <v>45965</v>
      </c>
      <c r="C1064" t="s">
        <v>31</v>
      </c>
      <c r="D1064" t="s">
        <v>13</v>
      </c>
      <c r="E1064" t="s">
        <v>49</v>
      </c>
      <c r="F1064" t="s">
        <v>50</v>
      </c>
      <c r="G1064">
        <v>9</v>
      </c>
      <c r="H1064">
        <v>75000</v>
      </c>
      <c r="I1064">
        <v>56876</v>
      </c>
      <c r="J1064" t="s">
        <v>29</v>
      </c>
      <c r="K1064" t="s">
        <v>46</v>
      </c>
      <c r="L1064">
        <f>SUM(Clean_Data[[#This Row],[Units_Sold]]*Clean_Data[[#This Row],[Unit_Price]])</f>
        <v>675000</v>
      </c>
      <c r="M1064">
        <f>Clean_Data[[#This Row],[Units_Sold]]*Clean_Data[[#This Row],[Cost_Price]]</f>
        <v>511884</v>
      </c>
      <c r="N1064">
        <f>Clean_Data[[#This Row],[Total_Sales]]-Clean_Data[[#This Row],[Total_Cost]]</f>
        <v>163116</v>
      </c>
      <c r="O1064" s="2">
        <f>Clean_Data[[#This Row],[Profit]]/Clean_Data[[#This Row],[Total_Sales]]</f>
        <v>0.24165333333333333</v>
      </c>
      <c r="P1064" t="str">
        <f>_xlfn.XLOOKUP(Clean_Data[[#This Row],[Product_Code]],Product_Catalog!A:A,Product_Catalog!C:C)</f>
        <v>Electronics</v>
      </c>
      <c r="Q1064">
        <f>IF(Clean_Data[[#This Row],[Order_Date]]="","",YEAR(Clean_Data[[#This Row],[Order_Date]]))</f>
        <v>2025</v>
      </c>
      <c r="R1064" t="str">
        <f>TEXT(Clean_Data[[#This Row],[Order_Date]],"mmm")</f>
        <v>Nov</v>
      </c>
      <c r="S1064" t="str">
        <f>TEXT(Clean_Data[[#This Row],[Order_Date]],"mmm-yy")</f>
        <v>Nov-25</v>
      </c>
      <c r="V1064"/>
    </row>
    <row r="1065" spans="1:22" x14ac:dyDescent="0.25">
      <c r="A1065" t="s">
        <v>1144</v>
      </c>
      <c r="B1065" s="1">
        <v>46000</v>
      </c>
      <c r="C1065" t="s">
        <v>25</v>
      </c>
      <c r="D1065" t="s">
        <v>40</v>
      </c>
      <c r="E1065" t="s">
        <v>27</v>
      </c>
      <c r="F1065" t="s">
        <v>28</v>
      </c>
      <c r="G1065">
        <v>1</v>
      </c>
      <c r="H1065">
        <v>14000</v>
      </c>
      <c r="I1065">
        <v>8575</v>
      </c>
      <c r="J1065" t="s">
        <v>45</v>
      </c>
      <c r="K1065" t="s">
        <v>17</v>
      </c>
      <c r="L1065">
        <f>SUM(Clean_Data[[#This Row],[Units_Sold]]*Clean_Data[[#This Row],[Unit_Price]])</f>
        <v>14000</v>
      </c>
      <c r="M1065">
        <f>Clean_Data[[#This Row],[Units_Sold]]*Clean_Data[[#This Row],[Cost_Price]]</f>
        <v>8575</v>
      </c>
      <c r="N1065">
        <f>Clean_Data[[#This Row],[Total_Sales]]-Clean_Data[[#This Row],[Total_Cost]]</f>
        <v>5425</v>
      </c>
      <c r="O1065" s="2">
        <f>Clean_Data[[#This Row],[Profit]]/Clean_Data[[#This Row],[Total_Sales]]</f>
        <v>0.38750000000000001</v>
      </c>
      <c r="P1065" t="str">
        <f>_xlfn.XLOOKUP(Clean_Data[[#This Row],[Product_Code]],Product_Catalog!A:A,Product_Catalog!C:C)</f>
        <v>Furniture</v>
      </c>
      <c r="Q1065">
        <f>IF(Clean_Data[[#This Row],[Order_Date]]="","",YEAR(Clean_Data[[#This Row],[Order_Date]]))</f>
        <v>2025</v>
      </c>
      <c r="R1065" t="str">
        <f>TEXT(Clean_Data[[#This Row],[Order_Date]],"mmm")</f>
        <v>Dec</v>
      </c>
      <c r="S1065" t="str">
        <f>TEXT(Clean_Data[[#This Row],[Order_Date]],"mmm-yy")</f>
        <v>Dec-25</v>
      </c>
      <c r="V1065"/>
    </row>
    <row r="1066" spans="1:22" x14ac:dyDescent="0.25">
      <c r="A1066" t="s">
        <v>1145</v>
      </c>
      <c r="B1066" s="1">
        <v>46094</v>
      </c>
      <c r="C1066" t="s">
        <v>31</v>
      </c>
      <c r="D1066" t="s">
        <v>40</v>
      </c>
      <c r="E1066" t="s">
        <v>49</v>
      </c>
      <c r="F1066" t="s">
        <v>50</v>
      </c>
      <c r="G1066">
        <v>5</v>
      </c>
      <c r="H1066">
        <v>75000</v>
      </c>
      <c r="I1066">
        <v>49271</v>
      </c>
      <c r="J1066" t="s">
        <v>29</v>
      </c>
      <c r="K1066" t="s">
        <v>17</v>
      </c>
      <c r="L1066">
        <f>SUM(Clean_Data[[#This Row],[Units_Sold]]*Clean_Data[[#This Row],[Unit_Price]])</f>
        <v>375000</v>
      </c>
      <c r="M1066">
        <f>Clean_Data[[#This Row],[Units_Sold]]*Clean_Data[[#This Row],[Cost_Price]]</f>
        <v>246355</v>
      </c>
      <c r="N1066">
        <f>Clean_Data[[#This Row],[Total_Sales]]-Clean_Data[[#This Row],[Total_Cost]]</f>
        <v>128645</v>
      </c>
      <c r="O1066" s="2">
        <f>Clean_Data[[#This Row],[Profit]]/Clean_Data[[#This Row],[Total_Sales]]</f>
        <v>0.34305333333333332</v>
      </c>
      <c r="P1066" t="str">
        <f>_xlfn.XLOOKUP(Clean_Data[[#This Row],[Product_Code]],Product_Catalog!A:A,Product_Catalog!C:C)</f>
        <v>Electronics</v>
      </c>
      <c r="Q1066">
        <f>IF(Clean_Data[[#This Row],[Order_Date]]="","",YEAR(Clean_Data[[#This Row],[Order_Date]]))</f>
        <v>2026</v>
      </c>
      <c r="R1066" t="str">
        <f>TEXT(Clean_Data[[#This Row],[Order_Date]],"mmm")</f>
        <v>Mar</v>
      </c>
      <c r="S1066" t="str">
        <f>TEXT(Clean_Data[[#This Row],[Order_Date]],"mmm-yy")</f>
        <v>Mar-26</v>
      </c>
      <c r="V1066"/>
    </row>
    <row r="1067" spans="1:22" x14ac:dyDescent="0.25">
      <c r="A1067" t="s">
        <v>1146</v>
      </c>
      <c r="B1067" s="1">
        <v>46046</v>
      </c>
      <c r="C1067" t="s">
        <v>19</v>
      </c>
      <c r="D1067" t="s">
        <v>36</v>
      </c>
      <c r="E1067" t="s">
        <v>49</v>
      </c>
      <c r="F1067" t="s">
        <v>50</v>
      </c>
      <c r="G1067">
        <v>11</v>
      </c>
      <c r="H1067">
        <v>75000</v>
      </c>
      <c r="I1067">
        <v>52558</v>
      </c>
      <c r="J1067" t="s">
        <v>22</v>
      </c>
      <c r="K1067" t="s">
        <v>46</v>
      </c>
      <c r="L1067">
        <f>SUM(Clean_Data[[#This Row],[Units_Sold]]*Clean_Data[[#This Row],[Unit_Price]])</f>
        <v>825000</v>
      </c>
      <c r="M1067">
        <f>Clean_Data[[#This Row],[Units_Sold]]*Clean_Data[[#This Row],[Cost_Price]]</f>
        <v>578138</v>
      </c>
      <c r="N1067">
        <f>Clean_Data[[#This Row],[Total_Sales]]-Clean_Data[[#This Row],[Total_Cost]]</f>
        <v>246862</v>
      </c>
      <c r="O1067" s="2">
        <f>Clean_Data[[#This Row],[Profit]]/Clean_Data[[#This Row],[Total_Sales]]</f>
        <v>0.29922666666666664</v>
      </c>
      <c r="P1067" t="str">
        <f>_xlfn.XLOOKUP(Clean_Data[[#This Row],[Product_Code]],Product_Catalog!A:A,Product_Catalog!C:C)</f>
        <v>Electronics</v>
      </c>
      <c r="Q1067">
        <f>IF(Clean_Data[[#This Row],[Order_Date]]="","",YEAR(Clean_Data[[#This Row],[Order_Date]]))</f>
        <v>2026</v>
      </c>
      <c r="R1067" t="str">
        <f>TEXT(Clean_Data[[#This Row],[Order_Date]],"mmm")</f>
        <v>Jan</v>
      </c>
      <c r="S1067" t="str">
        <f>TEXT(Clean_Data[[#This Row],[Order_Date]],"mmm-yy")</f>
        <v>Jan-26</v>
      </c>
      <c r="V1067"/>
    </row>
    <row r="1068" spans="1:22" x14ac:dyDescent="0.25">
      <c r="A1068" t="s">
        <v>1147</v>
      </c>
      <c r="B1068" s="1">
        <v>45774</v>
      </c>
      <c r="C1068" t="s">
        <v>62</v>
      </c>
      <c r="D1068" t="s">
        <v>40</v>
      </c>
      <c r="E1068" t="s">
        <v>27</v>
      </c>
      <c r="F1068" t="s">
        <v>28</v>
      </c>
      <c r="G1068">
        <v>5</v>
      </c>
      <c r="H1068">
        <v>14000</v>
      </c>
      <c r="I1068">
        <v>8511</v>
      </c>
      <c r="J1068" t="s">
        <v>29</v>
      </c>
      <c r="K1068" t="s">
        <v>23</v>
      </c>
      <c r="L1068">
        <f>SUM(Clean_Data[[#This Row],[Units_Sold]]*Clean_Data[[#This Row],[Unit_Price]])</f>
        <v>70000</v>
      </c>
      <c r="M1068">
        <f>Clean_Data[[#This Row],[Units_Sold]]*Clean_Data[[#This Row],[Cost_Price]]</f>
        <v>42555</v>
      </c>
      <c r="N1068">
        <f>Clean_Data[[#This Row],[Total_Sales]]-Clean_Data[[#This Row],[Total_Cost]]</f>
        <v>27445</v>
      </c>
      <c r="O1068" s="2">
        <f>Clean_Data[[#This Row],[Profit]]/Clean_Data[[#This Row],[Total_Sales]]</f>
        <v>0.39207142857142857</v>
      </c>
      <c r="P1068" t="str">
        <f>_xlfn.XLOOKUP(Clean_Data[[#This Row],[Product_Code]],Product_Catalog!A:A,Product_Catalog!C:C)</f>
        <v>Furniture</v>
      </c>
      <c r="Q1068">
        <f>IF(Clean_Data[[#This Row],[Order_Date]]="","",YEAR(Clean_Data[[#This Row],[Order_Date]]))</f>
        <v>2025</v>
      </c>
      <c r="R1068" t="str">
        <f>TEXT(Clean_Data[[#This Row],[Order_Date]],"mmm")</f>
        <v>Apr</v>
      </c>
      <c r="S1068" t="str">
        <f>TEXT(Clean_Data[[#This Row],[Order_Date]],"mmm-yy")</f>
        <v>Apr-25</v>
      </c>
      <c r="V1068"/>
    </row>
    <row r="1069" spans="1:22" x14ac:dyDescent="0.25">
      <c r="A1069" t="s">
        <v>1148</v>
      </c>
      <c r="B1069" s="1">
        <v>45907</v>
      </c>
      <c r="C1069" t="s">
        <v>19</v>
      </c>
      <c r="D1069" t="s">
        <v>13</v>
      </c>
      <c r="E1069" t="s">
        <v>55</v>
      </c>
      <c r="F1069" t="s">
        <v>34</v>
      </c>
      <c r="G1069">
        <v>15</v>
      </c>
      <c r="H1069">
        <v>35000</v>
      </c>
      <c r="I1069">
        <v>22160</v>
      </c>
      <c r="J1069" t="s">
        <v>29</v>
      </c>
      <c r="K1069" t="s">
        <v>46</v>
      </c>
      <c r="L1069">
        <f>SUM(Clean_Data[[#This Row],[Units_Sold]]*Clean_Data[[#This Row],[Unit_Price]])</f>
        <v>525000</v>
      </c>
      <c r="M1069">
        <f>Clean_Data[[#This Row],[Units_Sold]]*Clean_Data[[#This Row],[Cost_Price]]</f>
        <v>332400</v>
      </c>
      <c r="N1069">
        <f>Clean_Data[[#This Row],[Total_Sales]]-Clean_Data[[#This Row],[Total_Cost]]</f>
        <v>192600</v>
      </c>
      <c r="O1069" s="2">
        <f>Clean_Data[[#This Row],[Profit]]/Clean_Data[[#This Row],[Total_Sales]]</f>
        <v>0.36685714285714288</v>
      </c>
      <c r="P1069" t="str">
        <f>_xlfn.XLOOKUP(Clean_Data[[#This Row],[Product_Code]],Product_Catalog!A:A,Product_Catalog!C:C)</f>
        <v>Furniture</v>
      </c>
      <c r="Q1069">
        <f>IF(Clean_Data[[#This Row],[Order_Date]]="","",YEAR(Clean_Data[[#This Row],[Order_Date]]))</f>
        <v>2025</v>
      </c>
      <c r="R1069" t="str">
        <f>TEXT(Clean_Data[[#This Row],[Order_Date]],"mmm")</f>
        <v>Sep</v>
      </c>
      <c r="S1069" t="str">
        <f>TEXT(Clean_Data[[#This Row],[Order_Date]],"mmm-yy")</f>
        <v>Sep-25</v>
      </c>
      <c r="V1069"/>
    </row>
    <row r="1070" spans="1:22" x14ac:dyDescent="0.25">
      <c r="A1070" t="s">
        <v>1149</v>
      </c>
      <c r="B1070" s="1">
        <v>45976</v>
      </c>
      <c r="C1070" t="s">
        <v>31</v>
      </c>
      <c r="D1070" t="s">
        <v>40</v>
      </c>
      <c r="E1070" t="s">
        <v>37</v>
      </c>
      <c r="F1070" t="s">
        <v>38</v>
      </c>
      <c r="G1070">
        <v>7</v>
      </c>
      <c r="H1070">
        <v>55000</v>
      </c>
      <c r="I1070">
        <v>33885</v>
      </c>
      <c r="J1070" t="s">
        <v>29</v>
      </c>
      <c r="K1070" t="s">
        <v>17</v>
      </c>
      <c r="L1070">
        <f>SUM(Clean_Data[[#This Row],[Units_Sold]]*Clean_Data[[#This Row],[Unit_Price]])</f>
        <v>385000</v>
      </c>
      <c r="M1070">
        <f>Clean_Data[[#This Row],[Units_Sold]]*Clean_Data[[#This Row],[Cost_Price]]</f>
        <v>237195</v>
      </c>
      <c r="N1070">
        <f>Clean_Data[[#This Row],[Total_Sales]]-Clean_Data[[#This Row],[Total_Cost]]</f>
        <v>147805</v>
      </c>
      <c r="O1070" s="2">
        <f>Clean_Data[[#This Row],[Profit]]/Clean_Data[[#This Row],[Total_Sales]]</f>
        <v>0.38390909090909092</v>
      </c>
      <c r="P1070" t="str">
        <f>_xlfn.XLOOKUP(Clean_Data[[#This Row],[Product_Code]],Product_Catalog!A:A,Product_Catalog!C:C)</f>
        <v>Electronics</v>
      </c>
      <c r="Q1070">
        <f>IF(Clean_Data[[#This Row],[Order_Date]]="","",YEAR(Clean_Data[[#This Row],[Order_Date]]))</f>
        <v>2025</v>
      </c>
      <c r="R1070" t="str">
        <f>TEXT(Clean_Data[[#This Row],[Order_Date]],"mmm")</f>
        <v>Nov</v>
      </c>
      <c r="S1070" t="str">
        <f>TEXT(Clean_Data[[#This Row],[Order_Date]],"mmm-yy")</f>
        <v>Nov-25</v>
      </c>
      <c r="V1070"/>
    </row>
    <row r="1071" spans="1:22" x14ac:dyDescent="0.25">
      <c r="A1071" t="s">
        <v>1150</v>
      </c>
      <c r="B1071" s="1">
        <v>46151</v>
      </c>
      <c r="C1071" t="s">
        <v>31</v>
      </c>
      <c r="D1071" t="s">
        <v>40</v>
      </c>
      <c r="E1071" t="s">
        <v>41</v>
      </c>
      <c r="F1071" t="s">
        <v>42</v>
      </c>
      <c r="G1071">
        <v>11</v>
      </c>
      <c r="H1071">
        <v>28000</v>
      </c>
      <c r="I1071">
        <v>19639</v>
      </c>
      <c r="J1071" t="s">
        <v>16</v>
      </c>
      <c r="K1071" t="s">
        <v>23</v>
      </c>
      <c r="L1071">
        <f>SUM(Clean_Data[[#This Row],[Units_Sold]]*Clean_Data[[#This Row],[Unit_Price]])</f>
        <v>308000</v>
      </c>
      <c r="M1071">
        <f>Clean_Data[[#This Row],[Units_Sold]]*Clean_Data[[#This Row],[Cost_Price]]</f>
        <v>216029</v>
      </c>
      <c r="N1071">
        <f>Clean_Data[[#This Row],[Total_Sales]]-Clean_Data[[#This Row],[Total_Cost]]</f>
        <v>91971</v>
      </c>
      <c r="O1071" s="2">
        <f>Clean_Data[[#This Row],[Profit]]/Clean_Data[[#This Row],[Total_Sales]]</f>
        <v>0.29860714285714285</v>
      </c>
      <c r="P1071" t="str">
        <f>_xlfn.XLOOKUP(Clean_Data[[#This Row],[Product_Code]],Product_Catalog!A:A,Product_Catalog!C:C)</f>
        <v>Electronics</v>
      </c>
      <c r="Q1071">
        <f>IF(Clean_Data[[#This Row],[Order_Date]]="","",YEAR(Clean_Data[[#This Row],[Order_Date]]))</f>
        <v>2026</v>
      </c>
      <c r="R1071" t="str">
        <f>TEXT(Clean_Data[[#This Row],[Order_Date]],"mmm")</f>
        <v>May</v>
      </c>
      <c r="S1071" t="str">
        <f>TEXT(Clean_Data[[#This Row],[Order_Date]],"mmm-yy")</f>
        <v>May-26</v>
      </c>
      <c r="V1071"/>
    </row>
    <row r="1072" spans="1:22" x14ac:dyDescent="0.25">
      <c r="A1072" t="s">
        <v>1151</v>
      </c>
      <c r="B1072" s="1">
        <v>45840</v>
      </c>
      <c r="C1072" t="s">
        <v>73</v>
      </c>
      <c r="D1072" t="s">
        <v>40</v>
      </c>
      <c r="E1072" t="s">
        <v>63</v>
      </c>
      <c r="F1072" t="s">
        <v>59</v>
      </c>
      <c r="G1072">
        <v>10</v>
      </c>
      <c r="H1072">
        <v>4500</v>
      </c>
      <c r="I1072">
        <v>3130</v>
      </c>
      <c r="J1072" t="s">
        <v>16</v>
      </c>
      <c r="K1072" t="s">
        <v>23</v>
      </c>
      <c r="L1072">
        <f>SUM(Clean_Data[[#This Row],[Units_Sold]]*Clean_Data[[#This Row],[Unit_Price]])</f>
        <v>45000</v>
      </c>
      <c r="M1072">
        <f>Clean_Data[[#This Row],[Units_Sold]]*Clean_Data[[#This Row],[Cost_Price]]</f>
        <v>31300</v>
      </c>
      <c r="N1072">
        <f>Clean_Data[[#This Row],[Total_Sales]]-Clean_Data[[#This Row],[Total_Cost]]</f>
        <v>13700</v>
      </c>
      <c r="O1072" s="2">
        <f>Clean_Data[[#This Row],[Profit]]/Clean_Data[[#This Row],[Total_Sales]]</f>
        <v>0.30444444444444446</v>
      </c>
      <c r="P1072" t="str">
        <f>_xlfn.XLOOKUP(Clean_Data[[#This Row],[Product_Code]],Product_Catalog!A:A,Product_Catalog!C:C)</f>
        <v>Electronics</v>
      </c>
      <c r="Q1072">
        <f>IF(Clean_Data[[#This Row],[Order_Date]]="","",YEAR(Clean_Data[[#This Row],[Order_Date]]))</f>
        <v>2025</v>
      </c>
      <c r="R1072" t="str">
        <f>TEXT(Clean_Data[[#This Row],[Order_Date]],"mmm")</f>
        <v>Jul</v>
      </c>
      <c r="S1072" t="str">
        <f>TEXT(Clean_Data[[#This Row],[Order_Date]],"mmm-yy")</f>
        <v>Jul-25</v>
      </c>
      <c r="V1072"/>
    </row>
    <row r="1073" spans="1:22" x14ac:dyDescent="0.25">
      <c r="A1073" t="s">
        <v>1152</v>
      </c>
      <c r="B1073" s="1">
        <v>46183</v>
      </c>
      <c r="C1073" t="s">
        <v>31</v>
      </c>
      <c r="D1073" t="s">
        <v>13</v>
      </c>
      <c r="E1073" t="s">
        <v>55</v>
      </c>
      <c r="F1073" t="s">
        <v>34</v>
      </c>
      <c r="G1073">
        <v>17</v>
      </c>
      <c r="H1073">
        <v>35000</v>
      </c>
      <c r="I1073">
        <v>24812</v>
      </c>
      <c r="J1073" t="s">
        <v>45</v>
      </c>
      <c r="K1073" t="s">
        <v>17</v>
      </c>
      <c r="L1073">
        <f>SUM(Clean_Data[[#This Row],[Units_Sold]]*Clean_Data[[#This Row],[Unit_Price]])</f>
        <v>595000</v>
      </c>
      <c r="M1073">
        <f>Clean_Data[[#This Row],[Units_Sold]]*Clean_Data[[#This Row],[Cost_Price]]</f>
        <v>421804</v>
      </c>
      <c r="N1073">
        <f>Clean_Data[[#This Row],[Total_Sales]]-Clean_Data[[#This Row],[Total_Cost]]</f>
        <v>173196</v>
      </c>
      <c r="O1073" s="2">
        <f>Clean_Data[[#This Row],[Profit]]/Clean_Data[[#This Row],[Total_Sales]]</f>
        <v>0.29108571428571428</v>
      </c>
      <c r="P1073" t="str">
        <f>_xlfn.XLOOKUP(Clean_Data[[#This Row],[Product_Code]],Product_Catalog!A:A,Product_Catalog!C:C)</f>
        <v>Furniture</v>
      </c>
      <c r="Q1073">
        <f>IF(Clean_Data[[#This Row],[Order_Date]]="","",YEAR(Clean_Data[[#This Row],[Order_Date]]))</f>
        <v>2026</v>
      </c>
      <c r="R1073" t="str">
        <f>TEXT(Clean_Data[[#This Row],[Order_Date]],"mmm")</f>
        <v>Jun</v>
      </c>
      <c r="S1073" t="str">
        <f>TEXT(Clean_Data[[#This Row],[Order_Date]],"mmm-yy")</f>
        <v>Jun-26</v>
      </c>
      <c r="V1073"/>
    </row>
    <row r="1074" spans="1:22" x14ac:dyDescent="0.25">
      <c r="A1074" t="s">
        <v>1153</v>
      </c>
      <c r="B1074" s="1">
        <v>45738</v>
      </c>
      <c r="C1074" t="s">
        <v>19</v>
      </c>
      <c r="D1074" t="s">
        <v>40</v>
      </c>
      <c r="E1074" t="s">
        <v>63</v>
      </c>
      <c r="F1074" t="s">
        <v>59</v>
      </c>
      <c r="G1074">
        <v>7</v>
      </c>
      <c r="H1074">
        <v>4500</v>
      </c>
      <c r="I1074">
        <v>2768</v>
      </c>
      <c r="J1074" t="s">
        <v>22</v>
      </c>
      <c r="K1074" t="s">
        <v>17</v>
      </c>
      <c r="L1074">
        <f>SUM(Clean_Data[[#This Row],[Units_Sold]]*Clean_Data[[#This Row],[Unit_Price]])</f>
        <v>31500</v>
      </c>
      <c r="M1074">
        <f>Clean_Data[[#This Row],[Units_Sold]]*Clean_Data[[#This Row],[Cost_Price]]</f>
        <v>19376</v>
      </c>
      <c r="N1074">
        <f>Clean_Data[[#This Row],[Total_Sales]]-Clean_Data[[#This Row],[Total_Cost]]</f>
        <v>12124</v>
      </c>
      <c r="O1074" s="2">
        <f>Clean_Data[[#This Row],[Profit]]/Clean_Data[[#This Row],[Total_Sales]]</f>
        <v>0.38488888888888889</v>
      </c>
      <c r="P1074" t="str">
        <f>_xlfn.XLOOKUP(Clean_Data[[#This Row],[Product_Code]],Product_Catalog!A:A,Product_Catalog!C:C)</f>
        <v>Electronics</v>
      </c>
      <c r="Q1074">
        <f>IF(Clean_Data[[#This Row],[Order_Date]]="","",YEAR(Clean_Data[[#This Row],[Order_Date]]))</f>
        <v>2025</v>
      </c>
      <c r="R1074" t="str">
        <f>TEXT(Clean_Data[[#This Row],[Order_Date]],"mmm")</f>
        <v>Mar</v>
      </c>
      <c r="S1074" t="str">
        <f>TEXT(Clean_Data[[#This Row],[Order_Date]],"mmm-yy")</f>
        <v>Mar-25</v>
      </c>
      <c r="V1074"/>
    </row>
    <row r="1075" spans="1:22" x14ac:dyDescent="0.25">
      <c r="A1075" t="s">
        <v>1154</v>
      </c>
      <c r="B1075" s="1">
        <v>45707</v>
      </c>
      <c r="C1075" t="s">
        <v>31</v>
      </c>
      <c r="D1075" t="s">
        <v>33</v>
      </c>
      <c r="E1075" t="s">
        <v>49</v>
      </c>
      <c r="F1075" t="s">
        <v>50</v>
      </c>
      <c r="G1075">
        <v>15</v>
      </c>
      <c r="H1075">
        <v>75000</v>
      </c>
      <c r="I1075">
        <v>57846</v>
      </c>
      <c r="J1075" t="s">
        <v>29</v>
      </c>
      <c r="K1075" t="s">
        <v>23</v>
      </c>
      <c r="L1075">
        <f>SUM(Clean_Data[[#This Row],[Units_Sold]]*Clean_Data[[#This Row],[Unit_Price]])</f>
        <v>1125000</v>
      </c>
      <c r="M1075">
        <f>Clean_Data[[#This Row],[Units_Sold]]*Clean_Data[[#This Row],[Cost_Price]]</f>
        <v>867690</v>
      </c>
      <c r="N1075">
        <f>Clean_Data[[#This Row],[Total_Sales]]-Clean_Data[[#This Row],[Total_Cost]]</f>
        <v>257310</v>
      </c>
      <c r="O1075" s="2">
        <f>Clean_Data[[#This Row],[Profit]]/Clean_Data[[#This Row],[Total_Sales]]</f>
        <v>0.22872000000000001</v>
      </c>
      <c r="P1075" t="str">
        <f>_xlfn.XLOOKUP(Clean_Data[[#This Row],[Product_Code]],Product_Catalog!A:A,Product_Catalog!C:C)</f>
        <v>Electronics</v>
      </c>
      <c r="Q1075">
        <f>IF(Clean_Data[[#This Row],[Order_Date]]="","",YEAR(Clean_Data[[#This Row],[Order_Date]]))</f>
        <v>2025</v>
      </c>
      <c r="R1075" t="str">
        <f>TEXT(Clean_Data[[#This Row],[Order_Date]],"mmm")</f>
        <v>Feb</v>
      </c>
      <c r="S1075" t="str">
        <f>TEXT(Clean_Data[[#This Row],[Order_Date]],"mmm-yy")</f>
        <v>Feb-25</v>
      </c>
      <c r="V1075"/>
    </row>
    <row r="1076" spans="1:22" x14ac:dyDescent="0.25">
      <c r="A1076" t="s">
        <v>1155</v>
      </c>
      <c r="B1076" s="1">
        <v>45831</v>
      </c>
      <c r="C1076" t="s">
        <v>12</v>
      </c>
      <c r="D1076" t="s">
        <v>26</v>
      </c>
      <c r="E1076" t="s">
        <v>41</v>
      </c>
      <c r="F1076" t="s">
        <v>42</v>
      </c>
      <c r="G1076">
        <v>2</v>
      </c>
      <c r="H1076">
        <v>28000</v>
      </c>
      <c r="I1076">
        <v>21435</v>
      </c>
      <c r="J1076" t="s">
        <v>22</v>
      </c>
      <c r="K1076" t="s">
        <v>46</v>
      </c>
      <c r="L1076">
        <f>SUM(Clean_Data[[#This Row],[Units_Sold]]*Clean_Data[[#This Row],[Unit_Price]])</f>
        <v>56000</v>
      </c>
      <c r="M1076">
        <f>Clean_Data[[#This Row],[Units_Sold]]*Clean_Data[[#This Row],[Cost_Price]]</f>
        <v>42870</v>
      </c>
      <c r="N1076">
        <f>Clean_Data[[#This Row],[Total_Sales]]-Clean_Data[[#This Row],[Total_Cost]]</f>
        <v>13130</v>
      </c>
      <c r="O1076" s="2">
        <f>Clean_Data[[#This Row],[Profit]]/Clean_Data[[#This Row],[Total_Sales]]</f>
        <v>0.23446428571428571</v>
      </c>
      <c r="P1076" t="str">
        <f>_xlfn.XLOOKUP(Clean_Data[[#This Row],[Product_Code]],Product_Catalog!A:A,Product_Catalog!C:C)</f>
        <v>Electronics</v>
      </c>
      <c r="Q1076">
        <f>IF(Clean_Data[[#This Row],[Order_Date]]="","",YEAR(Clean_Data[[#This Row],[Order_Date]]))</f>
        <v>2025</v>
      </c>
      <c r="R1076" t="str">
        <f>TEXT(Clean_Data[[#This Row],[Order_Date]],"mmm")</f>
        <v>Jun</v>
      </c>
      <c r="S1076" t="str">
        <f>TEXT(Clean_Data[[#This Row],[Order_Date]],"mmm-yy")</f>
        <v>Jun-25</v>
      </c>
      <c r="V1076"/>
    </row>
    <row r="1077" spans="1:22" x14ac:dyDescent="0.25">
      <c r="A1077" t="s">
        <v>1156</v>
      </c>
      <c r="B1077" s="1">
        <v>45878</v>
      </c>
      <c r="C1077" t="s">
        <v>44</v>
      </c>
      <c r="D1077" t="s">
        <v>13</v>
      </c>
      <c r="E1077" t="s">
        <v>20</v>
      </c>
      <c r="F1077" t="s">
        <v>21</v>
      </c>
      <c r="G1077">
        <v>2</v>
      </c>
      <c r="H1077">
        <v>8500</v>
      </c>
      <c r="I1077">
        <v>6791</v>
      </c>
      <c r="J1077" t="s">
        <v>22</v>
      </c>
      <c r="K1077" t="s">
        <v>46</v>
      </c>
      <c r="L1077">
        <f>SUM(Clean_Data[[#This Row],[Units_Sold]]*Clean_Data[[#This Row],[Unit_Price]])</f>
        <v>17000</v>
      </c>
      <c r="M1077">
        <f>Clean_Data[[#This Row],[Units_Sold]]*Clean_Data[[#This Row],[Cost_Price]]</f>
        <v>13582</v>
      </c>
      <c r="N1077">
        <f>Clean_Data[[#This Row],[Total_Sales]]-Clean_Data[[#This Row],[Total_Cost]]</f>
        <v>3418</v>
      </c>
      <c r="O1077" s="2">
        <f>Clean_Data[[#This Row],[Profit]]/Clean_Data[[#This Row],[Total_Sales]]</f>
        <v>0.20105882352941176</v>
      </c>
      <c r="P1077" t="str">
        <f>_xlfn.XLOOKUP(Clean_Data[[#This Row],[Product_Code]],Product_Catalog!A:A,Product_Catalog!C:C)</f>
        <v>Accessories</v>
      </c>
      <c r="Q1077">
        <f>IF(Clean_Data[[#This Row],[Order_Date]]="","",YEAR(Clean_Data[[#This Row],[Order_Date]]))</f>
        <v>2025</v>
      </c>
      <c r="R1077" t="str">
        <f>TEXT(Clean_Data[[#This Row],[Order_Date]],"mmm")</f>
        <v>Aug</v>
      </c>
      <c r="S1077" t="str">
        <f>TEXT(Clean_Data[[#This Row],[Order_Date]],"mmm-yy")</f>
        <v>Aug-25</v>
      </c>
      <c r="V1077"/>
    </row>
    <row r="1078" spans="1:22" x14ac:dyDescent="0.25">
      <c r="A1078" t="s">
        <v>1157</v>
      </c>
      <c r="B1078" s="1">
        <v>45803</v>
      </c>
      <c r="C1078" t="s">
        <v>44</v>
      </c>
      <c r="D1078" t="s">
        <v>13</v>
      </c>
      <c r="E1078" t="s">
        <v>20</v>
      </c>
      <c r="F1078" t="s">
        <v>21</v>
      </c>
      <c r="G1078">
        <v>17</v>
      </c>
      <c r="H1078">
        <v>8500</v>
      </c>
      <c r="I1078">
        <v>6413</v>
      </c>
      <c r="J1078" t="s">
        <v>29</v>
      </c>
      <c r="K1078" t="s">
        <v>23</v>
      </c>
      <c r="L1078">
        <f>SUM(Clean_Data[[#This Row],[Units_Sold]]*Clean_Data[[#This Row],[Unit_Price]])</f>
        <v>144500</v>
      </c>
      <c r="M1078">
        <f>Clean_Data[[#This Row],[Units_Sold]]*Clean_Data[[#This Row],[Cost_Price]]</f>
        <v>109021</v>
      </c>
      <c r="N1078">
        <f>Clean_Data[[#This Row],[Total_Sales]]-Clean_Data[[#This Row],[Total_Cost]]</f>
        <v>35479</v>
      </c>
      <c r="O1078" s="2">
        <f>Clean_Data[[#This Row],[Profit]]/Clean_Data[[#This Row],[Total_Sales]]</f>
        <v>0.24552941176470588</v>
      </c>
      <c r="P1078" t="str">
        <f>_xlfn.XLOOKUP(Clean_Data[[#This Row],[Product_Code]],Product_Catalog!A:A,Product_Catalog!C:C)</f>
        <v>Accessories</v>
      </c>
      <c r="Q1078">
        <f>IF(Clean_Data[[#This Row],[Order_Date]]="","",YEAR(Clean_Data[[#This Row],[Order_Date]]))</f>
        <v>2025</v>
      </c>
      <c r="R1078" t="str">
        <f>TEXT(Clean_Data[[#This Row],[Order_Date]],"mmm")</f>
        <v>May</v>
      </c>
      <c r="S1078" t="str">
        <f>TEXT(Clean_Data[[#This Row],[Order_Date]],"mmm-yy")</f>
        <v>May-25</v>
      </c>
      <c r="V1078"/>
    </row>
    <row r="1079" spans="1:22" x14ac:dyDescent="0.25">
      <c r="A1079" t="s">
        <v>1158</v>
      </c>
      <c r="B1079" s="1">
        <v>45897</v>
      </c>
      <c r="C1079" t="s">
        <v>31</v>
      </c>
      <c r="D1079" t="s">
        <v>13</v>
      </c>
      <c r="E1079" t="s">
        <v>14</v>
      </c>
      <c r="F1079" t="s">
        <v>15</v>
      </c>
      <c r="G1079">
        <v>14</v>
      </c>
      <c r="H1079">
        <v>12500</v>
      </c>
      <c r="I1079">
        <v>9140</v>
      </c>
      <c r="J1079" t="s">
        <v>45</v>
      </c>
      <c r="K1079" t="s">
        <v>17</v>
      </c>
      <c r="L1079">
        <f>SUM(Clean_Data[[#This Row],[Units_Sold]]*Clean_Data[[#This Row],[Unit_Price]])</f>
        <v>175000</v>
      </c>
      <c r="M1079">
        <f>Clean_Data[[#This Row],[Units_Sold]]*Clean_Data[[#This Row],[Cost_Price]]</f>
        <v>127960</v>
      </c>
      <c r="N1079">
        <f>Clean_Data[[#This Row],[Total_Sales]]-Clean_Data[[#This Row],[Total_Cost]]</f>
        <v>47040</v>
      </c>
      <c r="O1079" s="2">
        <f>Clean_Data[[#This Row],[Profit]]/Clean_Data[[#This Row],[Total_Sales]]</f>
        <v>0.26879999999999998</v>
      </c>
      <c r="P1079" t="str">
        <f>_xlfn.XLOOKUP(Clean_Data[[#This Row],[Product_Code]],Product_Catalog!A:A,Product_Catalog!C:C)</f>
        <v>Accessories</v>
      </c>
      <c r="Q1079">
        <f>IF(Clean_Data[[#This Row],[Order_Date]]="","",YEAR(Clean_Data[[#This Row],[Order_Date]]))</f>
        <v>2025</v>
      </c>
      <c r="R1079" t="str">
        <f>TEXT(Clean_Data[[#This Row],[Order_Date]],"mmm")</f>
        <v>Aug</v>
      </c>
      <c r="S1079" t="str">
        <f>TEXT(Clean_Data[[#This Row],[Order_Date]],"mmm-yy")</f>
        <v>Aug-25</v>
      </c>
      <c r="V1079"/>
    </row>
    <row r="1080" spans="1:22" x14ac:dyDescent="0.25">
      <c r="A1080" t="s">
        <v>1160</v>
      </c>
      <c r="B1080" s="1">
        <v>46209</v>
      </c>
      <c r="C1080" t="s">
        <v>19</v>
      </c>
      <c r="D1080" t="s">
        <v>36</v>
      </c>
      <c r="E1080" t="s">
        <v>20</v>
      </c>
      <c r="F1080" t="s">
        <v>21</v>
      </c>
      <c r="G1080">
        <v>10</v>
      </c>
      <c r="H1080">
        <v>8500</v>
      </c>
      <c r="I1080">
        <v>5513</v>
      </c>
      <c r="J1080" t="s">
        <v>16</v>
      </c>
      <c r="K1080" t="s">
        <v>23</v>
      </c>
      <c r="L1080">
        <f>SUM(Clean_Data[[#This Row],[Units_Sold]]*Clean_Data[[#This Row],[Unit_Price]])</f>
        <v>85000</v>
      </c>
      <c r="M1080">
        <f>Clean_Data[[#This Row],[Units_Sold]]*Clean_Data[[#This Row],[Cost_Price]]</f>
        <v>55130</v>
      </c>
      <c r="N1080">
        <f>Clean_Data[[#This Row],[Total_Sales]]-Clean_Data[[#This Row],[Total_Cost]]</f>
        <v>29870</v>
      </c>
      <c r="O1080" s="2">
        <f>Clean_Data[[#This Row],[Profit]]/Clean_Data[[#This Row],[Total_Sales]]</f>
        <v>0.35141176470588237</v>
      </c>
      <c r="P1080" t="str">
        <f>_xlfn.XLOOKUP(Clean_Data[[#This Row],[Product_Code]],Product_Catalog!A:A,Product_Catalog!C:C)</f>
        <v>Accessories</v>
      </c>
      <c r="Q1080">
        <f>IF(Clean_Data[[#This Row],[Order_Date]]="","",YEAR(Clean_Data[[#This Row],[Order_Date]]))</f>
        <v>2026</v>
      </c>
      <c r="R1080" t="str">
        <f>TEXT(Clean_Data[[#This Row],[Order_Date]],"mmm")</f>
        <v>Jul</v>
      </c>
      <c r="S1080" t="str">
        <f>TEXT(Clean_Data[[#This Row],[Order_Date]],"mmm-yy")</f>
        <v>Jul-26</v>
      </c>
      <c r="V1080"/>
    </row>
    <row r="1081" spans="1:22" x14ac:dyDescent="0.25">
      <c r="A1081" t="s">
        <v>1161</v>
      </c>
      <c r="B1081" s="1">
        <v>45867</v>
      </c>
      <c r="C1081" t="s">
        <v>44</v>
      </c>
      <c r="D1081" t="s">
        <v>40</v>
      </c>
      <c r="E1081" t="s">
        <v>66</v>
      </c>
      <c r="F1081" t="s">
        <v>67</v>
      </c>
      <c r="G1081">
        <v>2</v>
      </c>
      <c r="H1081">
        <v>2500</v>
      </c>
      <c r="I1081">
        <v>1945</v>
      </c>
      <c r="J1081" t="s">
        <v>29</v>
      </c>
      <c r="K1081" t="s">
        <v>23</v>
      </c>
      <c r="L1081">
        <f>SUM(Clean_Data[[#This Row],[Units_Sold]]*Clean_Data[[#This Row],[Unit_Price]])</f>
        <v>5000</v>
      </c>
      <c r="M1081">
        <f>Clean_Data[[#This Row],[Units_Sold]]*Clean_Data[[#This Row],[Cost_Price]]</f>
        <v>3890</v>
      </c>
      <c r="N1081">
        <f>Clean_Data[[#This Row],[Total_Sales]]-Clean_Data[[#This Row],[Total_Cost]]</f>
        <v>1110</v>
      </c>
      <c r="O1081" s="2">
        <f>Clean_Data[[#This Row],[Profit]]/Clean_Data[[#This Row],[Total_Sales]]</f>
        <v>0.222</v>
      </c>
      <c r="P1081" t="str">
        <f>_xlfn.XLOOKUP(Clean_Data[[#This Row],[Product_Code]],Product_Catalog!A:A,Product_Catalog!C:C)</f>
        <v>Electronics</v>
      </c>
      <c r="Q1081">
        <f>IF(Clean_Data[[#This Row],[Order_Date]]="","",YEAR(Clean_Data[[#This Row],[Order_Date]]))</f>
        <v>2025</v>
      </c>
      <c r="R1081" t="str">
        <f>TEXT(Clean_Data[[#This Row],[Order_Date]],"mmm")</f>
        <v>Jul</v>
      </c>
      <c r="S1081" t="str">
        <f>TEXT(Clean_Data[[#This Row],[Order_Date]],"mmm-yy")</f>
        <v>Jul-25</v>
      </c>
      <c r="V1081"/>
    </row>
    <row r="1082" spans="1:22" x14ac:dyDescent="0.25">
      <c r="A1082" t="s">
        <v>1162</v>
      </c>
      <c r="B1082" s="1">
        <v>46117</v>
      </c>
      <c r="C1082" t="s">
        <v>19</v>
      </c>
      <c r="D1082" t="s">
        <v>13</v>
      </c>
      <c r="E1082" t="s">
        <v>20</v>
      </c>
      <c r="F1082" t="s">
        <v>21</v>
      </c>
      <c r="G1082">
        <v>11</v>
      </c>
      <c r="H1082">
        <v>8500</v>
      </c>
      <c r="I1082">
        <v>5811</v>
      </c>
      <c r="J1082" t="s">
        <v>16</v>
      </c>
      <c r="K1082" t="s">
        <v>23</v>
      </c>
      <c r="L1082">
        <f>SUM(Clean_Data[[#This Row],[Units_Sold]]*Clean_Data[[#This Row],[Unit_Price]])</f>
        <v>93500</v>
      </c>
      <c r="M1082">
        <f>Clean_Data[[#This Row],[Units_Sold]]*Clean_Data[[#This Row],[Cost_Price]]</f>
        <v>63921</v>
      </c>
      <c r="N1082">
        <f>Clean_Data[[#This Row],[Total_Sales]]-Clean_Data[[#This Row],[Total_Cost]]</f>
        <v>29579</v>
      </c>
      <c r="O1082" s="2">
        <f>Clean_Data[[#This Row],[Profit]]/Clean_Data[[#This Row],[Total_Sales]]</f>
        <v>0.31635294117647061</v>
      </c>
      <c r="P1082" t="str">
        <f>_xlfn.XLOOKUP(Clean_Data[[#This Row],[Product_Code]],Product_Catalog!A:A,Product_Catalog!C:C)</f>
        <v>Accessories</v>
      </c>
      <c r="Q1082">
        <f>IF(Clean_Data[[#This Row],[Order_Date]]="","",YEAR(Clean_Data[[#This Row],[Order_Date]]))</f>
        <v>2026</v>
      </c>
      <c r="R1082" t="str">
        <f>TEXT(Clean_Data[[#This Row],[Order_Date]],"mmm")</f>
        <v>Apr</v>
      </c>
      <c r="S1082" t="str">
        <f>TEXT(Clean_Data[[#This Row],[Order_Date]],"mmm-yy")</f>
        <v>Apr-26</v>
      </c>
      <c r="V1082"/>
    </row>
    <row r="1083" spans="1:22" x14ac:dyDescent="0.25">
      <c r="A1083" t="s">
        <v>1163</v>
      </c>
      <c r="B1083" s="1">
        <v>46046</v>
      </c>
      <c r="C1083" t="s">
        <v>73</v>
      </c>
      <c r="D1083" t="s">
        <v>36</v>
      </c>
      <c r="E1083" t="s">
        <v>27</v>
      </c>
      <c r="F1083" t="s">
        <v>28</v>
      </c>
      <c r="G1083">
        <v>19</v>
      </c>
      <c r="H1083">
        <v>14000</v>
      </c>
      <c r="I1083">
        <v>10469</v>
      </c>
      <c r="J1083" t="s">
        <v>45</v>
      </c>
      <c r="K1083" t="s">
        <v>23</v>
      </c>
      <c r="L1083">
        <f>SUM(Clean_Data[[#This Row],[Units_Sold]]*Clean_Data[[#This Row],[Unit_Price]])</f>
        <v>266000</v>
      </c>
      <c r="M1083">
        <f>Clean_Data[[#This Row],[Units_Sold]]*Clean_Data[[#This Row],[Cost_Price]]</f>
        <v>198911</v>
      </c>
      <c r="N1083">
        <f>Clean_Data[[#This Row],[Total_Sales]]-Clean_Data[[#This Row],[Total_Cost]]</f>
        <v>67089</v>
      </c>
      <c r="O1083" s="2">
        <f>Clean_Data[[#This Row],[Profit]]/Clean_Data[[#This Row],[Total_Sales]]</f>
        <v>0.25221428571428572</v>
      </c>
      <c r="P1083" t="str">
        <f>_xlfn.XLOOKUP(Clean_Data[[#This Row],[Product_Code]],Product_Catalog!A:A,Product_Catalog!C:C)</f>
        <v>Furniture</v>
      </c>
      <c r="Q1083">
        <f>IF(Clean_Data[[#This Row],[Order_Date]]="","",YEAR(Clean_Data[[#This Row],[Order_Date]]))</f>
        <v>2026</v>
      </c>
      <c r="R1083" t="str">
        <f>TEXT(Clean_Data[[#This Row],[Order_Date]],"mmm")</f>
        <v>Jan</v>
      </c>
      <c r="S1083" t="str">
        <f>TEXT(Clean_Data[[#This Row],[Order_Date]],"mmm-yy")</f>
        <v>Jan-26</v>
      </c>
      <c r="V1083"/>
    </row>
    <row r="1084" spans="1:22" x14ac:dyDescent="0.25">
      <c r="A1084" t="s">
        <v>1164</v>
      </c>
      <c r="B1084" s="1">
        <v>45859</v>
      </c>
      <c r="C1084" t="s">
        <v>25</v>
      </c>
      <c r="D1084" t="s">
        <v>33</v>
      </c>
      <c r="E1084" t="s">
        <v>55</v>
      </c>
      <c r="F1084" t="s">
        <v>34</v>
      </c>
      <c r="G1084">
        <v>8</v>
      </c>
      <c r="H1084">
        <v>35000</v>
      </c>
      <c r="I1084">
        <v>24351</v>
      </c>
      <c r="J1084" t="s">
        <v>22</v>
      </c>
      <c r="K1084" t="s">
        <v>84</v>
      </c>
      <c r="L1084">
        <f>SUM(Clean_Data[[#This Row],[Units_Sold]]*Clean_Data[[#This Row],[Unit_Price]])</f>
        <v>280000</v>
      </c>
      <c r="M1084">
        <f>Clean_Data[[#This Row],[Units_Sold]]*Clean_Data[[#This Row],[Cost_Price]]</f>
        <v>194808</v>
      </c>
      <c r="N1084">
        <f>Clean_Data[[#This Row],[Total_Sales]]-Clean_Data[[#This Row],[Total_Cost]]</f>
        <v>85192</v>
      </c>
      <c r="O1084" s="2">
        <f>Clean_Data[[#This Row],[Profit]]/Clean_Data[[#This Row],[Total_Sales]]</f>
        <v>0.30425714285714284</v>
      </c>
      <c r="P1084" t="str">
        <f>_xlfn.XLOOKUP(Clean_Data[[#This Row],[Product_Code]],Product_Catalog!A:A,Product_Catalog!C:C)</f>
        <v>Furniture</v>
      </c>
      <c r="Q1084">
        <f>IF(Clean_Data[[#This Row],[Order_Date]]="","",YEAR(Clean_Data[[#This Row],[Order_Date]]))</f>
        <v>2025</v>
      </c>
      <c r="R1084" t="str">
        <f>TEXT(Clean_Data[[#This Row],[Order_Date]],"mmm")</f>
        <v>Jul</v>
      </c>
      <c r="S1084" t="str">
        <f>TEXT(Clean_Data[[#This Row],[Order_Date]],"mmm-yy")</f>
        <v>Jul-25</v>
      </c>
      <c r="V1084"/>
    </row>
    <row r="1085" spans="1:22" x14ac:dyDescent="0.25">
      <c r="A1085" t="s">
        <v>1165</v>
      </c>
      <c r="B1085" s="1">
        <v>45959</v>
      </c>
      <c r="C1085" t="s">
        <v>48</v>
      </c>
      <c r="D1085" t="s">
        <v>40</v>
      </c>
      <c r="E1085" t="s">
        <v>14</v>
      </c>
      <c r="F1085" t="s">
        <v>15</v>
      </c>
      <c r="G1085">
        <v>5</v>
      </c>
      <c r="H1085">
        <v>12500</v>
      </c>
      <c r="I1085">
        <v>8644</v>
      </c>
      <c r="J1085" t="s">
        <v>29</v>
      </c>
      <c r="K1085" t="s">
        <v>23</v>
      </c>
      <c r="L1085">
        <f>SUM(Clean_Data[[#This Row],[Units_Sold]]*Clean_Data[[#This Row],[Unit_Price]])</f>
        <v>62500</v>
      </c>
      <c r="M1085">
        <f>Clean_Data[[#This Row],[Units_Sold]]*Clean_Data[[#This Row],[Cost_Price]]</f>
        <v>43220</v>
      </c>
      <c r="N1085">
        <f>Clean_Data[[#This Row],[Total_Sales]]-Clean_Data[[#This Row],[Total_Cost]]</f>
        <v>19280</v>
      </c>
      <c r="O1085" s="2">
        <f>Clean_Data[[#This Row],[Profit]]/Clean_Data[[#This Row],[Total_Sales]]</f>
        <v>0.30847999999999998</v>
      </c>
      <c r="P1085" t="str">
        <f>_xlfn.XLOOKUP(Clean_Data[[#This Row],[Product_Code]],Product_Catalog!A:A,Product_Catalog!C:C)</f>
        <v>Accessories</v>
      </c>
      <c r="Q1085">
        <f>IF(Clean_Data[[#This Row],[Order_Date]]="","",YEAR(Clean_Data[[#This Row],[Order_Date]]))</f>
        <v>2025</v>
      </c>
      <c r="R1085" t="str">
        <f>TEXT(Clean_Data[[#This Row],[Order_Date]],"mmm")</f>
        <v>Oct</v>
      </c>
      <c r="S1085" t="str">
        <f>TEXT(Clean_Data[[#This Row],[Order_Date]],"mmm-yy")</f>
        <v>Oct-25</v>
      </c>
      <c r="V1085"/>
    </row>
    <row r="1086" spans="1:22" x14ac:dyDescent="0.25">
      <c r="A1086" t="s">
        <v>1166</v>
      </c>
      <c r="B1086" s="1">
        <v>46255</v>
      </c>
      <c r="C1086" t="s">
        <v>53</v>
      </c>
      <c r="D1086" t="s">
        <v>33</v>
      </c>
      <c r="E1086" t="s">
        <v>37</v>
      </c>
      <c r="F1086" t="s">
        <v>38</v>
      </c>
      <c r="G1086">
        <v>3</v>
      </c>
      <c r="H1086">
        <v>55000</v>
      </c>
      <c r="I1086">
        <v>34730</v>
      </c>
      <c r="J1086" t="s">
        <v>29</v>
      </c>
      <c r="K1086" t="s">
        <v>23</v>
      </c>
      <c r="L1086">
        <f>SUM(Clean_Data[[#This Row],[Units_Sold]]*Clean_Data[[#This Row],[Unit_Price]])</f>
        <v>165000</v>
      </c>
      <c r="M1086">
        <f>Clean_Data[[#This Row],[Units_Sold]]*Clean_Data[[#This Row],[Cost_Price]]</f>
        <v>104190</v>
      </c>
      <c r="N1086">
        <f>Clean_Data[[#This Row],[Total_Sales]]-Clean_Data[[#This Row],[Total_Cost]]</f>
        <v>60810</v>
      </c>
      <c r="O1086" s="2">
        <f>Clean_Data[[#This Row],[Profit]]/Clean_Data[[#This Row],[Total_Sales]]</f>
        <v>0.36854545454545456</v>
      </c>
      <c r="P1086" t="str">
        <f>_xlfn.XLOOKUP(Clean_Data[[#This Row],[Product_Code]],Product_Catalog!A:A,Product_Catalog!C:C)</f>
        <v>Electronics</v>
      </c>
      <c r="Q1086">
        <f>IF(Clean_Data[[#This Row],[Order_Date]]="","",YEAR(Clean_Data[[#This Row],[Order_Date]]))</f>
        <v>2026</v>
      </c>
      <c r="R1086" t="str">
        <f>TEXT(Clean_Data[[#This Row],[Order_Date]],"mmm")</f>
        <v>Aug</v>
      </c>
      <c r="S1086" t="str">
        <f>TEXT(Clean_Data[[#This Row],[Order_Date]],"mmm-yy")</f>
        <v>Aug-26</v>
      </c>
      <c r="V1086"/>
    </row>
    <row r="1087" spans="1:22" x14ac:dyDescent="0.25">
      <c r="A1087" t="s">
        <v>1167</v>
      </c>
      <c r="B1087" s="1">
        <v>45704</v>
      </c>
      <c r="C1087" t="s">
        <v>53</v>
      </c>
      <c r="D1087" t="s">
        <v>33</v>
      </c>
      <c r="E1087" t="s">
        <v>27</v>
      </c>
      <c r="F1087" t="s">
        <v>28</v>
      </c>
      <c r="G1087">
        <v>11</v>
      </c>
      <c r="H1087">
        <v>14000</v>
      </c>
      <c r="I1087">
        <v>9995</v>
      </c>
      <c r="J1087" t="s">
        <v>22</v>
      </c>
      <c r="K1087" t="s">
        <v>23</v>
      </c>
      <c r="L1087">
        <f>SUM(Clean_Data[[#This Row],[Units_Sold]]*Clean_Data[[#This Row],[Unit_Price]])</f>
        <v>154000</v>
      </c>
      <c r="M1087">
        <f>Clean_Data[[#This Row],[Units_Sold]]*Clean_Data[[#This Row],[Cost_Price]]</f>
        <v>109945</v>
      </c>
      <c r="N1087">
        <f>Clean_Data[[#This Row],[Total_Sales]]-Clean_Data[[#This Row],[Total_Cost]]</f>
        <v>44055</v>
      </c>
      <c r="O1087" s="2">
        <f>Clean_Data[[#This Row],[Profit]]/Clean_Data[[#This Row],[Total_Sales]]</f>
        <v>0.28607142857142859</v>
      </c>
      <c r="P1087" t="str">
        <f>_xlfn.XLOOKUP(Clean_Data[[#This Row],[Product_Code]],Product_Catalog!A:A,Product_Catalog!C:C)</f>
        <v>Furniture</v>
      </c>
      <c r="Q1087">
        <f>IF(Clean_Data[[#This Row],[Order_Date]]="","",YEAR(Clean_Data[[#This Row],[Order_Date]]))</f>
        <v>2025</v>
      </c>
      <c r="R1087" t="str">
        <f>TEXT(Clean_Data[[#This Row],[Order_Date]],"mmm")</f>
        <v>Feb</v>
      </c>
      <c r="S1087" t="str">
        <f>TEXT(Clean_Data[[#This Row],[Order_Date]],"mmm-yy")</f>
        <v>Feb-25</v>
      </c>
      <c r="V1087"/>
    </row>
    <row r="1088" spans="1:22" x14ac:dyDescent="0.25">
      <c r="A1088" t="s">
        <v>1168</v>
      </c>
      <c r="B1088" s="1">
        <v>46008</v>
      </c>
      <c r="C1088" t="s">
        <v>25</v>
      </c>
      <c r="D1088" t="s">
        <v>36</v>
      </c>
      <c r="E1088" t="s">
        <v>41</v>
      </c>
      <c r="F1088" t="s">
        <v>42</v>
      </c>
      <c r="G1088">
        <v>15</v>
      </c>
      <c r="H1088">
        <v>28000</v>
      </c>
      <c r="I1088">
        <v>21272</v>
      </c>
      <c r="J1088" t="s">
        <v>45</v>
      </c>
      <c r="K1088" t="s">
        <v>46</v>
      </c>
      <c r="L1088">
        <f>SUM(Clean_Data[[#This Row],[Units_Sold]]*Clean_Data[[#This Row],[Unit_Price]])</f>
        <v>420000</v>
      </c>
      <c r="M1088">
        <f>Clean_Data[[#This Row],[Units_Sold]]*Clean_Data[[#This Row],[Cost_Price]]</f>
        <v>319080</v>
      </c>
      <c r="N1088">
        <f>Clean_Data[[#This Row],[Total_Sales]]-Clean_Data[[#This Row],[Total_Cost]]</f>
        <v>100920</v>
      </c>
      <c r="O1088" s="2">
        <f>Clean_Data[[#This Row],[Profit]]/Clean_Data[[#This Row],[Total_Sales]]</f>
        <v>0.2402857142857143</v>
      </c>
      <c r="P1088" t="str">
        <f>_xlfn.XLOOKUP(Clean_Data[[#This Row],[Product_Code]],Product_Catalog!A:A,Product_Catalog!C:C)</f>
        <v>Electronics</v>
      </c>
      <c r="Q1088">
        <f>IF(Clean_Data[[#This Row],[Order_Date]]="","",YEAR(Clean_Data[[#This Row],[Order_Date]]))</f>
        <v>2025</v>
      </c>
      <c r="R1088" t="str">
        <f>TEXT(Clean_Data[[#This Row],[Order_Date]],"mmm")</f>
        <v>Dec</v>
      </c>
      <c r="S1088" t="str">
        <f>TEXT(Clean_Data[[#This Row],[Order_Date]],"mmm-yy")</f>
        <v>Dec-25</v>
      </c>
      <c r="V1088"/>
    </row>
    <row r="1089" spans="1:22" x14ac:dyDescent="0.25">
      <c r="A1089" t="s">
        <v>1169</v>
      </c>
      <c r="B1089" s="1">
        <v>45715</v>
      </c>
      <c r="C1089" t="s">
        <v>19</v>
      </c>
      <c r="D1089" t="s">
        <v>13</v>
      </c>
      <c r="E1089" t="s">
        <v>55</v>
      </c>
      <c r="F1089" t="s">
        <v>34</v>
      </c>
      <c r="G1089">
        <v>10</v>
      </c>
      <c r="H1089">
        <v>35000</v>
      </c>
      <c r="I1089">
        <v>27927</v>
      </c>
      <c r="J1089" t="s">
        <v>16</v>
      </c>
      <c r="K1089" t="s">
        <v>23</v>
      </c>
      <c r="L1089">
        <f>SUM(Clean_Data[[#This Row],[Units_Sold]]*Clean_Data[[#This Row],[Unit_Price]])</f>
        <v>350000</v>
      </c>
      <c r="M1089">
        <f>Clean_Data[[#This Row],[Units_Sold]]*Clean_Data[[#This Row],[Cost_Price]]</f>
        <v>279270</v>
      </c>
      <c r="N1089">
        <f>Clean_Data[[#This Row],[Total_Sales]]-Clean_Data[[#This Row],[Total_Cost]]</f>
        <v>70730</v>
      </c>
      <c r="O1089" s="2">
        <f>Clean_Data[[#This Row],[Profit]]/Clean_Data[[#This Row],[Total_Sales]]</f>
        <v>0.20208571428571429</v>
      </c>
      <c r="P1089" t="str">
        <f>_xlfn.XLOOKUP(Clean_Data[[#This Row],[Product_Code]],Product_Catalog!A:A,Product_Catalog!C:C)</f>
        <v>Furniture</v>
      </c>
      <c r="Q1089">
        <f>IF(Clean_Data[[#This Row],[Order_Date]]="","",YEAR(Clean_Data[[#This Row],[Order_Date]]))</f>
        <v>2025</v>
      </c>
      <c r="R1089" t="str">
        <f>TEXT(Clean_Data[[#This Row],[Order_Date]],"mmm")</f>
        <v>Feb</v>
      </c>
      <c r="S1089" t="str">
        <f>TEXT(Clean_Data[[#This Row],[Order_Date]],"mmm-yy")</f>
        <v>Feb-25</v>
      </c>
      <c r="V1089"/>
    </row>
    <row r="1090" spans="1:22" x14ac:dyDescent="0.25">
      <c r="A1090" t="s">
        <v>1170</v>
      </c>
      <c r="B1090" s="1">
        <v>46129</v>
      </c>
      <c r="C1090" t="s">
        <v>62</v>
      </c>
      <c r="D1090" t="s">
        <v>36</v>
      </c>
      <c r="E1090" t="s">
        <v>20</v>
      </c>
      <c r="F1090" t="s">
        <v>21</v>
      </c>
      <c r="G1090">
        <v>15</v>
      </c>
      <c r="H1090">
        <v>8500</v>
      </c>
      <c r="I1090">
        <v>5596</v>
      </c>
      <c r="J1090" t="s">
        <v>29</v>
      </c>
      <c r="K1090" t="s">
        <v>23</v>
      </c>
      <c r="L1090">
        <f>SUM(Clean_Data[[#This Row],[Units_Sold]]*Clean_Data[[#This Row],[Unit_Price]])</f>
        <v>127500</v>
      </c>
      <c r="M1090">
        <f>Clean_Data[[#This Row],[Units_Sold]]*Clean_Data[[#This Row],[Cost_Price]]</f>
        <v>83940</v>
      </c>
      <c r="N1090">
        <f>Clean_Data[[#This Row],[Total_Sales]]-Clean_Data[[#This Row],[Total_Cost]]</f>
        <v>43560</v>
      </c>
      <c r="O1090" s="2">
        <f>Clean_Data[[#This Row],[Profit]]/Clean_Data[[#This Row],[Total_Sales]]</f>
        <v>0.34164705882352941</v>
      </c>
      <c r="P1090" t="str">
        <f>_xlfn.XLOOKUP(Clean_Data[[#This Row],[Product_Code]],Product_Catalog!A:A,Product_Catalog!C:C)</f>
        <v>Accessories</v>
      </c>
      <c r="Q1090">
        <f>IF(Clean_Data[[#This Row],[Order_Date]]="","",YEAR(Clean_Data[[#This Row],[Order_Date]]))</f>
        <v>2026</v>
      </c>
      <c r="R1090" t="str">
        <f>TEXT(Clean_Data[[#This Row],[Order_Date]],"mmm")</f>
        <v>Apr</v>
      </c>
      <c r="S1090" t="str">
        <f>TEXT(Clean_Data[[#This Row],[Order_Date]],"mmm-yy")</f>
        <v>Apr-26</v>
      </c>
      <c r="V1090"/>
    </row>
    <row r="1091" spans="1:22" x14ac:dyDescent="0.25">
      <c r="A1091" t="s">
        <v>1171</v>
      </c>
      <c r="B1091" s="1">
        <v>45665</v>
      </c>
      <c r="C1091" t="s">
        <v>73</v>
      </c>
      <c r="D1091" t="s">
        <v>40</v>
      </c>
      <c r="E1091" t="s">
        <v>49</v>
      </c>
      <c r="F1091" t="s">
        <v>50</v>
      </c>
      <c r="G1091">
        <v>8</v>
      </c>
      <c r="H1091">
        <v>75000</v>
      </c>
      <c r="I1091">
        <v>57202</v>
      </c>
      <c r="J1091" t="s">
        <v>29</v>
      </c>
      <c r="K1091" t="s">
        <v>46</v>
      </c>
      <c r="L1091">
        <f>SUM(Clean_Data[[#This Row],[Units_Sold]]*Clean_Data[[#This Row],[Unit_Price]])</f>
        <v>600000</v>
      </c>
      <c r="M1091">
        <f>Clean_Data[[#This Row],[Units_Sold]]*Clean_Data[[#This Row],[Cost_Price]]</f>
        <v>457616</v>
      </c>
      <c r="N1091">
        <f>Clean_Data[[#This Row],[Total_Sales]]-Clean_Data[[#This Row],[Total_Cost]]</f>
        <v>142384</v>
      </c>
      <c r="O1091" s="2">
        <f>Clean_Data[[#This Row],[Profit]]/Clean_Data[[#This Row],[Total_Sales]]</f>
        <v>0.23730666666666667</v>
      </c>
      <c r="P1091" t="str">
        <f>_xlfn.XLOOKUP(Clean_Data[[#This Row],[Product_Code]],Product_Catalog!A:A,Product_Catalog!C:C)</f>
        <v>Electronics</v>
      </c>
      <c r="Q1091">
        <f>IF(Clean_Data[[#This Row],[Order_Date]]="","",YEAR(Clean_Data[[#This Row],[Order_Date]]))</f>
        <v>2025</v>
      </c>
      <c r="R1091" t="str">
        <f>TEXT(Clean_Data[[#This Row],[Order_Date]],"mmm")</f>
        <v>Jan</v>
      </c>
      <c r="S1091" t="str">
        <f>TEXT(Clean_Data[[#This Row],[Order_Date]],"mmm-yy")</f>
        <v>Jan-25</v>
      </c>
      <c r="V1091"/>
    </row>
    <row r="1092" spans="1:22" x14ac:dyDescent="0.25">
      <c r="A1092" t="s">
        <v>1172</v>
      </c>
      <c r="B1092" s="1">
        <v>45790</v>
      </c>
      <c r="C1092" t="s">
        <v>53</v>
      </c>
      <c r="D1092" t="s">
        <v>13</v>
      </c>
      <c r="E1092" t="s">
        <v>49</v>
      </c>
      <c r="F1092" t="s">
        <v>50</v>
      </c>
      <c r="G1092">
        <v>4</v>
      </c>
      <c r="H1092">
        <v>75000</v>
      </c>
      <c r="I1092">
        <v>54409</v>
      </c>
      <c r="J1092" t="s">
        <v>22</v>
      </c>
      <c r="K1092" t="s">
        <v>23</v>
      </c>
      <c r="L1092">
        <f>SUM(Clean_Data[[#This Row],[Units_Sold]]*Clean_Data[[#This Row],[Unit_Price]])</f>
        <v>300000</v>
      </c>
      <c r="M1092">
        <f>Clean_Data[[#This Row],[Units_Sold]]*Clean_Data[[#This Row],[Cost_Price]]</f>
        <v>217636</v>
      </c>
      <c r="N1092">
        <f>Clean_Data[[#This Row],[Total_Sales]]-Clean_Data[[#This Row],[Total_Cost]]</f>
        <v>82364</v>
      </c>
      <c r="O1092" s="2">
        <f>Clean_Data[[#This Row],[Profit]]/Clean_Data[[#This Row],[Total_Sales]]</f>
        <v>0.27454666666666666</v>
      </c>
      <c r="P1092" t="str">
        <f>_xlfn.XLOOKUP(Clean_Data[[#This Row],[Product_Code]],Product_Catalog!A:A,Product_Catalog!C:C)</f>
        <v>Electronics</v>
      </c>
      <c r="Q1092">
        <f>IF(Clean_Data[[#This Row],[Order_Date]]="","",YEAR(Clean_Data[[#This Row],[Order_Date]]))</f>
        <v>2025</v>
      </c>
      <c r="R1092" t="str">
        <f>TEXT(Clean_Data[[#This Row],[Order_Date]],"mmm")</f>
        <v>May</v>
      </c>
      <c r="S1092" t="str">
        <f>TEXT(Clean_Data[[#This Row],[Order_Date]],"mmm-yy")</f>
        <v>May-25</v>
      </c>
      <c r="V1092"/>
    </row>
    <row r="1093" spans="1:22" x14ac:dyDescent="0.25">
      <c r="A1093" t="s">
        <v>1173</v>
      </c>
      <c r="B1093" s="1">
        <v>45765</v>
      </c>
      <c r="C1093" t="s">
        <v>31</v>
      </c>
      <c r="D1093" t="s">
        <v>40</v>
      </c>
      <c r="E1093" t="s">
        <v>41</v>
      </c>
      <c r="F1093" t="s">
        <v>42</v>
      </c>
      <c r="G1093">
        <v>11</v>
      </c>
      <c r="H1093">
        <v>28000</v>
      </c>
      <c r="I1093">
        <v>19238</v>
      </c>
      <c r="J1093" t="s">
        <v>45</v>
      </c>
      <c r="K1093" t="s">
        <v>17</v>
      </c>
      <c r="L1093">
        <f>SUM(Clean_Data[[#This Row],[Units_Sold]]*Clean_Data[[#This Row],[Unit_Price]])</f>
        <v>308000</v>
      </c>
      <c r="M1093">
        <f>Clean_Data[[#This Row],[Units_Sold]]*Clean_Data[[#This Row],[Cost_Price]]</f>
        <v>211618</v>
      </c>
      <c r="N1093">
        <f>Clean_Data[[#This Row],[Total_Sales]]-Clean_Data[[#This Row],[Total_Cost]]</f>
        <v>96382</v>
      </c>
      <c r="O1093" s="2">
        <f>Clean_Data[[#This Row],[Profit]]/Clean_Data[[#This Row],[Total_Sales]]</f>
        <v>0.31292857142857144</v>
      </c>
      <c r="P1093" t="str">
        <f>_xlfn.XLOOKUP(Clean_Data[[#This Row],[Product_Code]],Product_Catalog!A:A,Product_Catalog!C:C)</f>
        <v>Electronics</v>
      </c>
      <c r="Q1093">
        <f>IF(Clean_Data[[#This Row],[Order_Date]]="","",YEAR(Clean_Data[[#This Row],[Order_Date]]))</f>
        <v>2025</v>
      </c>
      <c r="R1093" t="str">
        <f>TEXT(Clean_Data[[#This Row],[Order_Date]],"mmm")</f>
        <v>Apr</v>
      </c>
      <c r="S1093" t="str">
        <f>TEXT(Clean_Data[[#This Row],[Order_Date]],"mmm-yy")</f>
        <v>Apr-25</v>
      </c>
      <c r="V1093"/>
    </row>
    <row r="1094" spans="1:22" x14ac:dyDescent="0.25">
      <c r="A1094" t="s">
        <v>1174</v>
      </c>
      <c r="B1094" s="1">
        <v>45970</v>
      </c>
      <c r="C1094" t="s">
        <v>25</v>
      </c>
      <c r="D1094" t="s">
        <v>33</v>
      </c>
      <c r="E1094" t="s">
        <v>49</v>
      </c>
      <c r="F1094" t="s">
        <v>50</v>
      </c>
      <c r="G1094">
        <v>7</v>
      </c>
      <c r="H1094">
        <v>75000</v>
      </c>
      <c r="I1094">
        <v>50725</v>
      </c>
      <c r="J1094" t="s">
        <v>45</v>
      </c>
      <c r="K1094" t="s">
        <v>23</v>
      </c>
      <c r="L1094">
        <f>SUM(Clean_Data[[#This Row],[Units_Sold]]*Clean_Data[[#This Row],[Unit_Price]])</f>
        <v>525000</v>
      </c>
      <c r="M1094">
        <f>Clean_Data[[#This Row],[Units_Sold]]*Clean_Data[[#This Row],[Cost_Price]]</f>
        <v>355075</v>
      </c>
      <c r="N1094">
        <f>Clean_Data[[#This Row],[Total_Sales]]-Clean_Data[[#This Row],[Total_Cost]]</f>
        <v>169925</v>
      </c>
      <c r="O1094" s="2">
        <f>Clean_Data[[#This Row],[Profit]]/Clean_Data[[#This Row],[Total_Sales]]</f>
        <v>0.32366666666666666</v>
      </c>
      <c r="P1094" t="str">
        <f>_xlfn.XLOOKUP(Clean_Data[[#This Row],[Product_Code]],Product_Catalog!A:A,Product_Catalog!C:C)</f>
        <v>Electronics</v>
      </c>
      <c r="Q1094">
        <f>IF(Clean_Data[[#This Row],[Order_Date]]="","",YEAR(Clean_Data[[#This Row],[Order_Date]]))</f>
        <v>2025</v>
      </c>
      <c r="R1094" t="str">
        <f>TEXT(Clean_Data[[#This Row],[Order_Date]],"mmm")</f>
        <v>Nov</v>
      </c>
      <c r="S1094" t="str">
        <f>TEXT(Clean_Data[[#This Row],[Order_Date]],"mmm-yy")</f>
        <v>Nov-25</v>
      </c>
      <c r="V1094"/>
    </row>
    <row r="1095" spans="1:22" x14ac:dyDescent="0.25">
      <c r="A1095" t="s">
        <v>1175</v>
      </c>
      <c r="B1095" s="1">
        <v>46184</v>
      </c>
      <c r="C1095" t="s">
        <v>19</v>
      </c>
      <c r="D1095" t="s">
        <v>40</v>
      </c>
      <c r="E1095" t="s">
        <v>41</v>
      </c>
      <c r="F1095" t="s">
        <v>42</v>
      </c>
      <c r="G1095">
        <v>7</v>
      </c>
      <c r="H1095">
        <v>28000</v>
      </c>
      <c r="I1095">
        <v>20565</v>
      </c>
      <c r="J1095" t="s">
        <v>45</v>
      </c>
      <c r="K1095" t="s">
        <v>23</v>
      </c>
      <c r="L1095">
        <f>SUM(Clean_Data[[#This Row],[Units_Sold]]*Clean_Data[[#This Row],[Unit_Price]])</f>
        <v>196000</v>
      </c>
      <c r="M1095">
        <f>Clean_Data[[#This Row],[Units_Sold]]*Clean_Data[[#This Row],[Cost_Price]]</f>
        <v>143955</v>
      </c>
      <c r="N1095">
        <f>Clean_Data[[#This Row],[Total_Sales]]-Clean_Data[[#This Row],[Total_Cost]]</f>
        <v>52045</v>
      </c>
      <c r="O1095" s="2">
        <f>Clean_Data[[#This Row],[Profit]]/Clean_Data[[#This Row],[Total_Sales]]</f>
        <v>0.26553571428571426</v>
      </c>
      <c r="P1095" t="str">
        <f>_xlfn.XLOOKUP(Clean_Data[[#This Row],[Product_Code]],Product_Catalog!A:A,Product_Catalog!C:C)</f>
        <v>Electronics</v>
      </c>
      <c r="Q1095">
        <f>IF(Clean_Data[[#This Row],[Order_Date]]="","",YEAR(Clean_Data[[#This Row],[Order_Date]]))</f>
        <v>2026</v>
      </c>
      <c r="R1095" t="str">
        <f>TEXT(Clean_Data[[#This Row],[Order_Date]],"mmm")</f>
        <v>Jun</v>
      </c>
      <c r="S1095" t="str">
        <f>TEXT(Clean_Data[[#This Row],[Order_Date]],"mmm-yy")</f>
        <v>Jun-26</v>
      </c>
      <c r="V1095"/>
    </row>
    <row r="1096" spans="1:22" x14ac:dyDescent="0.25">
      <c r="A1096" t="s">
        <v>1176</v>
      </c>
      <c r="B1096" s="1">
        <v>45730</v>
      </c>
      <c r="C1096" t="s">
        <v>62</v>
      </c>
      <c r="D1096" t="s">
        <v>33</v>
      </c>
      <c r="E1096" t="s">
        <v>37</v>
      </c>
      <c r="F1096" t="s">
        <v>38</v>
      </c>
      <c r="G1096">
        <v>7</v>
      </c>
      <c r="H1096">
        <v>55000</v>
      </c>
      <c r="I1096">
        <v>35501</v>
      </c>
      <c r="J1096" t="s">
        <v>45</v>
      </c>
      <c r="K1096" t="s">
        <v>17</v>
      </c>
      <c r="L1096">
        <f>SUM(Clean_Data[[#This Row],[Units_Sold]]*Clean_Data[[#This Row],[Unit_Price]])</f>
        <v>385000</v>
      </c>
      <c r="M1096">
        <f>Clean_Data[[#This Row],[Units_Sold]]*Clean_Data[[#This Row],[Cost_Price]]</f>
        <v>248507</v>
      </c>
      <c r="N1096">
        <f>Clean_Data[[#This Row],[Total_Sales]]-Clean_Data[[#This Row],[Total_Cost]]</f>
        <v>136493</v>
      </c>
      <c r="O1096" s="2">
        <f>Clean_Data[[#This Row],[Profit]]/Clean_Data[[#This Row],[Total_Sales]]</f>
        <v>0.35452727272727275</v>
      </c>
      <c r="P1096" t="str">
        <f>_xlfn.XLOOKUP(Clean_Data[[#This Row],[Product_Code]],Product_Catalog!A:A,Product_Catalog!C:C)</f>
        <v>Electronics</v>
      </c>
      <c r="Q1096">
        <f>IF(Clean_Data[[#This Row],[Order_Date]]="","",YEAR(Clean_Data[[#This Row],[Order_Date]]))</f>
        <v>2025</v>
      </c>
      <c r="R1096" t="str">
        <f>TEXT(Clean_Data[[#This Row],[Order_Date]],"mmm")</f>
        <v>Mar</v>
      </c>
      <c r="S1096" t="str">
        <f>TEXT(Clean_Data[[#This Row],[Order_Date]],"mmm-yy")</f>
        <v>Mar-25</v>
      </c>
      <c r="V1096"/>
    </row>
    <row r="1097" spans="1:22" x14ac:dyDescent="0.25">
      <c r="A1097" t="s">
        <v>1177</v>
      </c>
      <c r="B1097" s="1">
        <v>46056</v>
      </c>
      <c r="C1097" t="s">
        <v>19</v>
      </c>
      <c r="D1097" t="s">
        <v>13</v>
      </c>
      <c r="E1097" t="s">
        <v>41</v>
      </c>
      <c r="F1097" t="s">
        <v>42</v>
      </c>
      <c r="G1097">
        <v>2</v>
      </c>
      <c r="H1097">
        <v>28000</v>
      </c>
      <c r="I1097">
        <v>20049</v>
      </c>
      <c r="J1097" t="s">
        <v>45</v>
      </c>
      <c r="K1097" t="s">
        <v>23</v>
      </c>
      <c r="L1097">
        <f>SUM(Clean_Data[[#This Row],[Units_Sold]]*Clean_Data[[#This Row],[Unit_Price]])</f>
        <v>56000</v>
      </c>
      <c r="M1097">
        <f>Clean_Data[[#This Row],[Units_Sold]]*Clean_Data[[#This Row],[Cost_Price]]</f>
        <v>40098</v>
      </c>
      <c r="N1097">
        <f>Clean_Data[[#This Row],[Total_Sales]]-Clean_Data[[#This Row],[Total_Cost]]</f>
        <v>15902</v>
      </c>
      <c r="O1097" s="2">
        <f>Clean_Data[[#This Row],[Profit]]/Clean_Data[[#This Row],[Total_Sales]]</f>
        <v>0.28396428571428572</v>
      </c>
      <c r="P1097" t="str">
        <f>_xlfn.XLOOKUP(Clean_Data[[#This Row],[Product_Code]],Product_Catalog!A:A,Product_Catalog!C:C)</f>
        <v>Electronics</v>
      </c>
      <c r="Q1097">
        <f>IF(Clean_Data[[#This Row],[Order_Date]]="","",YEAR(Clean_Data[[#This Row],[Order_Date]]))</f>
        <v>2026</v>
      </c>
      <c r="R1097" t="str">
        <f>TEXT(Clean_Data[[#This Row],[Order_Date]],"mmm")</f>
        <v>Feb</v>
      </c>
      <c r="S1097" t="str">
        <f>TEXT(Clean_Data[[#This Row],[Order_Date]],"mmm-yy")</f>
        <v>Feb-26</v>
      </c>
      <c r="V1097"/>
    </row>
    <row r="1098" spans="1:22" x14ac:dyDescent="0.25">
      <c r="A1098" t="s">
        <v>1178</v>
      </c>
      <c r="B1098" s="1">
        <v>45730</v>
      </c>
      <c r="C1098" t="s">
        <v>12</v>
      </c>
      <c r="D1098" t="s">
        <v>33</v>
      </c>
      <c r="E1098" t="s">
        <v>37</v>
      </c>
      <c r="F1098" t="s">
        <v>38</v>
      </c>
      <c r="G1098">
        <v>7</v>
      </c>
      <c r="H1098">
        <v>55000</v>
      </c>
      <c r="I1098">
        <v>37821</v>
      </c>
      <c r="J1098" t="s">
        <v>29</v>
      </c>
      <c r="K1098" t="s">
        <v>23</v>
      </c>
      <c r="L1098">
        <f>SUM(Clean_Data[[#This Row],[Units_Sold]]*Clean_Data[[#This Row],[Unit_Price]])</f>
        <v>385000</v>
      </c>
      <c r="M1098">
        <f>Clean_Data[[#This Row],[Units_Sold]]*Clean_Data[[#This Row],[Cost_Price]]</f>
        <v>264747</v>
      </c>
      <c r="N1098">
        <f>Clean_Data[[#This Row],[Total_Sales]]-Clean_Data[[#This Row],[Total_Cost]]</f>
        <v>120253</v>
      </c>
      <c r="O1098" s="2">
        <f>Clean_Data[[#This Row],[Profit]]/Clean_Data[[#This Row],[Total_Sales]]</f>
        <v>0.31234545454545454</v>
      </c>
      <c r="P1098" t="str">
        <f>_xlfn.XLOOKUP(Clean_Data[[#This Row],[Product_Code]],Product_Catalog!A:A,Product_Catalog!C:C)</f>
        <v>Electronics</v>
      </c>
      <c r="Q1098">
        <f>IF(Clean_Data[[#This Row],[Order_Date]]="","",YEAR(Clean_Data[[#This Row],[Order_Date]]))</f>
        <v>2025</v>
      </c>
      <c r="R1098" t="str">
        <f>TEXT(Clean_Data[[#This Row],[Order_Date]],"mmm")</f>
        <v>Mar</v>
      </c>
      <c r="S1098" t="str">
        <f>TEXT(Clean_Data[[#This Row],[Order_Date]],"mmm-yy")</f>
        <v>Mar-25</v>
      </c>
      <c r="V1098"/>
    </row>
    <row r="1099" spans="1:22" x14ac:dyDescent="0.25">
      <c r="A1099" t="s">
        <v>1179</v>
      </c>
      <c r="B1099" s="1">
        <v>45951</v>
      </c>
      <c r="C1099" t="s">
        <v>53</v>
      </c>
      <c r="D1099" t="s">
        <v>33</v>
      </c>
      <c r="E1099" t="s">
        <v>55</v>
      </c>
      <c r="F1099" t="s">
        <v>34</v>
      </c>
      <c r="G1099">
        <v>8</v>
      </c>
      <c r="H1099">
        <v>35000</v>
      </c>
      <c r="I1099">
        <v>24351</v>
      </c>
      <c r="J1099" t="s">
        <v>16</v>
      </c>
      <c r="K1099" t="s">
        <v>23</v>
      </c>
      <c r="L1099">
        <f>SUM(Clean_Data[[#This Row],[Units_Sold]]*Clean_Data[[#This Row],[Unit_Price]])</f>
        <v>280000</v>
      </c>
      <c r="M1099">
        <f>Clean_Data[[#This Row],[Units_Sold]]*Clean_Data[[#This Row],[Cost_Price]]</f>
        <v>194808</v>
      </c>
      <c r="N1099">
        <f>Clean_Data[[#This Row],[Total_Sales]]-Clean_Data[[#This Row],[Total_Cost]]</f>
        <v>85192</v>
      </c>
      <c r="O1099" s="2">
        <f>Clean_Data[[#This Row],[Profit]]/Clean_Data[[#This Row],[Total_Sales]]</f>
        <v>0.30425714285714284</v>
      </c>
      <c r="P1099" t="str">
        <f>_xlfn.XLOOKUP(Clean_Data[[#This Row],[Product_Code]],Product_Catalog!A:A,Product_Catalog!C:C)</f>
        <v>Furniture</v>
      </c>
      <c r="Q1099">
        <f>IF(Clean_Data[[#This Row],[Order_Date]]="","",YEAR(Clean_Data[[#This Row],[Order_Date]]))</f>
        <v>2025</v>
      </c>
      <c r="R1099" t="str">
        <f>TEXT(Clean_Data[[#This Row],[Order_Date]],"mmm")</f>
        <v>Oct</v>
      </c>
      <c r="S1099" t="str">
        <f>TEXT(Clean_Data[[#This Row],[Order_Date]],"mmm-yy")</f>
        <v>Oct-25</v>
      </c>
      <c r="V1099"/>
    </row>
    <row r="1100" spans="1:22" x14ac:dyDescent="0.25">
      <c r="A1100" t="s">
        <v>1180</v>
      </c>
      <c r="B1100" s="1">
        <v>46093</v>
      </c>
      <c r="C1100" t="s">
        <v>31</v>
      </c>
      <c r="D1100" t="s">
        <v>13</v>
      </c>
      <c r="E1100" t="s">
        <v>14</v>
      </c>
      <c r="F1100" t="s">
        <v>15</v>
      </c>
      <c r="G1100">
        <v>19</v>
      </c>
      <c r="H1100">
        <v>12500</v>
      </c>
      <c r="I1100">
        <v>8336</v>
      </c>
      <c r="J1100" t="s">
        <v>45</v>
      </c>
      <c r="K1100" t="s">
        <v>46</v>
      </c>
      <c r="L1100">
        <f>SUM(Clean_Data[[#This Row],[Units_Sold]]*Clean_Data[[#This Row],[Unit_Price]])</f>
        <v>237500</v>
      </c>
      <c r="M1100">
        <f>Clean_Data[[#This Row],[Units_Sold]]*Clean_Data[[#This Row],[Cost_Price]]</f>
        <v>158384</v>
      </c>
      <c r="N1100">
        <f>Clean_Data[[#This Row],[Total_Sales]]-Clean_Data[[#This Row],[Total_Cost]]</f>
        <v>79116</v>
      </c>
      <c r="O1100" s="2">
        <f>Clean_Data[[#This Row],[Profit]]/Clean_Data[[#This Row],[Total_Sales]]</f>
        <v>0.33312000000000003</v>
      </c>
      <c r="P1100" t="str">
        <f>_xlfn.XLOOKUP(Clean_Data[[#This Row],[Product_Code]],Product_Catalog!A:A,Product_Catalog!C:C)</f>
        <v>Accessories</v>
      </c>
      <c r="Q1100">
        <f>IF(Clean_Data[[#This Row],[Order_Date]]="","",YEAR(Clean_Data[[#This Row],[Order_Date]]))</f>
        <v>2026</v>
      </c>
      <c r="R1100" t="str">
        <f>TEXT(Clean_Data[[#This Row],[Order_Date]],"mmm")</f>
        <v>Mar</v>
      </c>
      <c r="S1100" t="str">
        <f>TEXT(Clean_Data[[#This Row],[Order_Date]],"mmm-yy")</f>
        <v>Mar-26</v>
      </c>
      <c r="V1100"/>
    </row>
    <row r="1101" spans="1:22" x14ac:dyDescent="0.25">
      <c r="A1101" t="s">
        <v>1181</v>
      </c>
      <c r="B1101" s="1">
        <v>45729</v>
      </c>
      <c r="C1101" t="s">
        <v>48</v>
      </c>
      <c r="D1101" t="s">
        <v>33</v>
      </c>
      <c r="E1101" t="s">
        <v>37</v>
      </c>
      <c r="F1101" t="s">
        <v>38</v>
      </c>
      <c r="G1101">
        <v>3</v>
      </c>
      <c r="H1101">
        <v>55000</v>
      </c>
      <c r="I1101">
        <v>35719</v>
      </c>
      <c r="J1101" t="s">
        <v>45</v>
      </c>
      <c r="K1101" t="s">
        <v>46</v>
      </c>
      <c r="L1101">
        <f>SUM(Clean_Data[[#This Row],[Units_Sold]]*Clean_Data[[#This Row],[Unit_Price]])</f>
        <v>165000</v>
      </c>
      <c r="M1101">
        <f>Clean_Data[[#This Row],[Units_Sold]]*Clean_Data[[#This Row],[Cost_Price]]</f>
        <v>107157</v>
      </c>
      <c r="N1101">
        <f>Clean_Data[[#This Row],[Total_Sales]]-Clean_Data[[#This Row],[Total_Cost]]</f>
        <v>57843</v>
      </c>
      <c r="O1101" s="2">
        <f>Clean_Data[[#This Row],[Profit]]/Clean_Data[[#This Row],[Total_Sales]]</f>
        <v>0.35056363636363636</v>
      </c>
      <c r="P1101" t="str">
        <f>_xlfn.XLOOKUP(Clean_Data[[#This Row],[Product_Code]],Product_Catalog!A:A,Product_Catalog!C:C)</f>
        <v>Electronics</v>
      </c>
      <c r="Q1101">
        <f>IF(Clean_Data[[#This Row],[Order_Date]]="","",YEAR(Clean_Data[[#This Row],[Order_Date]]))</f>
        <v>2025</v>
      </c>
      <c r="R1101" t="str">
        <f>TEXT(Clean_Data[[#This Row],[Order_Date]],"mmm")</f>
        <v>Mar</v>
      </c>
      <c r="S1101" t="str">
        <f>TEXT(Clean_Data[[#This Row],[Order_Date]],"mmm-yy")</f>
        <v>Mar-25</v>
      </c>
      <c r="V1101"/>
    </row>
    <row r="1102" spans="1:22" x14ac:dyDescent="0.25">
      <c r="A1102" t="s">
        <v>1182</v>
      </c>
      <c r="B1102" s="1">
        <v>45708</v>
      </c>
      <c r="C1102" t="s">
        <v>19</v>
      </c>
      <c r="D1102" t="s">
        <v>40</v>
      </c>
      <c r="E1102" t="s">
        <v>27</v>
      </c>
      <c r="F1102" t="s">
        <v>28</v>
      </c>
      <c r="G1102">
        <v>6</v>
      </c>
      <c r="H1102">
        <v>14000</v>
      </c>
      <c r="I1102">
        <v>10123</v>
      </c>
      <c r="J1102" t="s">
        <v>16</v>
      </c>
      <c r="K1102" t="s">
        <v>23</v>
      </c>
      <c r="L1102">
        <f>SUM(Clean_Data[[#This Row],[Units_Sold]]*Clean_Data[[#This Row],[Unit_Price]])</f>
        <v>84000</v>
      </c>
      <c r="M1102">
        <f>Clean_Data[[#This Row],[Units_Sold]]*Clean_Data[[#This Row],[Cost_Price]]</f>
        <v>60738</v>
      </c>
      <c r="N1102">
        <f>Clean_Data[[#This Row],[Total_Sales]]-Clean_Data[[#This Row],[Total_Cost]]</f>
        <v>23262</v>
      </c>
      <c r="O1102" s="2">
        <f>Clean_Data[[#This Row],[Profit]]/Clean_Data[[#This Row],[Total_Sales]]</f>
        <v>0.27692857142857141</v>
      </c>
      <c r="P1102" t="str">
        <f>_xlfn.XLOOKUP(Clean_Data[[#This Row],[Product_Code]],Product_Catalog!A:A,Product_Catalog!C:C)</f>
        <v>Furniture</v>
      </c>
      <c r="Q1102">
        <f>IF(Clean_Data[[#This Row],[Order_Date]]="","",YEAR(Clean_Data[[#This Row],[Order_Date]]))</f>
        <v>2025</v>
      </c>
      <c r="R1102" t="str">
        <f>TEXT(Clean_Data[[#This Row],[Order_Date]],"mmm")</f>
        <v>Feb</v>
      </c>
      <c r="S1102" t="str">
        <f>TEXT(Clean_Data[[#This Row],[Order_Date]],"mmm-yy")</f>
        <v>Feb-25</v>
      </c>
      <c r="V1102"/>
    </row>
    <row r="1103" spans="1:22" x14ac:dyDescent="0.25">
      <c r="A1103" t="s">
        <v>1183</v>
      </c>
      <c r="B1103" s="1">
        <v>46089</v>
      </c>
      <c r="C1103" t="s">
        <v>19</v>
      </c>
      <c r="D1103" t="s">
        <v>33</v>
      </c>
      <c r="E1103" t="s">
        <v>49</v>
      </c>
      <c r="F1103" t="s">
        <v>50</v>
      </c>
      <c r="G1103">
        <v>4</v>
      </c>
      <c r="H1103">
        <v>75000</v>
      </c>
      <c r="I1103">
        <v>46478</v>
      </c>
      <c r="J1103" t="s">
        <v>22</v>
      </c>
      <c r="K1103" t="s">
        <v>17</v>
      </c>
      <c r="L1103">
        <f>SUM(Clean_Data[[#This Row],[Units_Sold]]*Clean_Data[[#This Row],[Unit_Price]])</f>
        <v>300000</v>
      </c>
      <c r="M1103">
        <f>Clean_Data[[#This Row],[Units_Sold]]*Clean_Data[[#This Row],[Cost_Price]]</f>
        <v>185912</v>
      </c>
      <c r="N1103">
        <f>Clean_Data[[#This Row],[Total_Sales]]-Clean_Data[[#This Row],[Total_Cost]]</f>
        <v>114088</v>
      </c>
      <c r="O1103" s="2">
        <f>Clean_Data[[#This Row],[Profit]]/Clean_Data[[#This Row],[Total_Sales]]</f>
        <v>0.38029333333333332</v>
      </c>
      <c r="P1103" t="str">
        <f>_xlfn.XLOOKUP(Clean_Data[[#This Row],[Product_Code]],Product_Catalog!A:A,Product_Catalog!C:C)</f>
        <v>Electronics</v>
      </c>
      <c r="Q1103">
        <f>IF(Clean_Data[[#This Row],[Order_Date]]="","",YEAR(Clean_Data[[#This Row],[Order_Date]]))</f>
        <v>2026</v>
      </c>
      <c r="R1103" t="str">
        <f>TEXT(Clean_Data[[#This Row],[Order_Date]],"mmm")</f>
        <v>Mar</v>
      </c>
      <c r="S1103" t="str">
        <f>TEXT(Clean_Data[[#This Row],[Order_Date]],"mmm-yy")</f>
        <v>Mar-26</v>
      </c>
      <c r="V1103"/>
    </row>
    <row r="1104" spans="1:22" x14ac:dyDescent="0.25">
      <c r="A1104" t="s">
        <v>1184</v>
      </c>
      <c r="B1104" s="1">
        <v>45809</v>
      </c>
      <c r="C1104" t="s">
        <v>48</v>
      </c>
      <c r="D1104" t="s">
        <v>13</v>
      </c>
      <c r="E1104" t="s">
        <v>49</v>
      </c>
      <c r="F1104" t="s">
        <v>50</v>
      </c>
      <c r="G1104">
        <v>18</v>
      </c>
      <c r="H1104">
        <v>75000</v>
      </c>
      <c r="I1104">
        <v>45367</v>
      </c>
      <c r="J1104" t="s">
        <v>29</v>
      </c>
      <c r="K1104" t="s">
        <v>23</v>
      </c>
      <c r="L1104">
        <f>SUM(Clean_Data[[#This Row],[Units_Sold]]*Clean_Data[[#This Row],[Unit_Price]])</f>
        <v>1350000</v>
      </c>
      <c r="M1104">
        <f>Clean_Data[[#This Row],[Units_Sold]]*Clean_Data[[#This Row],[Cost_Price]]</f>
        <v>816606</v>
      </c>
      <c r="N1104">
        <f>Clean_Data[[#This Row],[Total_Sales]]-Clean_Data[[#This Row],[Total_Cost]]</f>
        <v>533394</v>
      </c>
      <c r="O1104" s="2">
        <f>Clean_Data[[#This Row],[Profit]]/Clean_Data[[#This Row],[Total_Sales]]</f>
        <v>0.39510666666666666</v>
      </c>
      <c r="P1104" t="str">
        <f>_xlfn.XLOOKUP(Clean_Data[[#This Row],[Product_Code]],Product_Catalog!A:A,Product_Catalog!C:C)</f>
        <v>Electronics</v>
      </c>
      <c r="Q1104">
        <f>IF(Clean_Data[[#This Row],[Order_Date]]="","",YEAR(Clean_Data[[#This Row],[Order_Date]]))</f>
        <v>2025</v>
      </c>
      <c r="R1104" t="str">
        <f>TEXT(Clean_Data[[#This Row],[Order_Date]],"mmm")</f>
        <v>Jun</v>
      </c>
      <c r="S1104" t="str">
        <f>TEXT(Clean_Data[[#This Row],[Order_Date]],"mmm-yy")</f>
        <v>Jun-25</v>
      </c>
      <c r="V1104"/>
    </row>
    <row r="1105" spans="1:22" x14ac:dyDescent="0.25">
      <c r="A1105" t="s">
        <v>1185</v>
      </c>
      <c r="B1105" s="1">
        <v>46178</v>
      </c>
      <c r="C1105" t="s">
        <v>73</v>
      </c>
      <c r="D1105" t="s">
        <v>33</v>
      </c>
      <c r="E1105" t="s">
        <v>27</v>
      </c>
      <c r="F1105" t="s">
        <v>28</v>
      </c>
      <c r="G1105">
        <v>2</v>
      </c>
      <c r="H1105">
        <v>14000</v>
      </c>
      <c r="I1105">
        <v>8488</v>
      </c>
      <c r="J1105" t="s">
        <v>29</v>
      </c>
      <c r="K1105" t="s">
        <v>23</v>
      </c>
      <c r="L1105">
        <f>SUM(Clean_Data[[#This Row],[Units_Sold]]*Clean_Data[[#This Row],[Unit_Price]])</f>
        <v>28000</v>
      </c>
      <c r="M1105">
        <f>Clean_Data[[#This Row],[Units_Sold]]*Clean_Data[[#This Row],[Cost_Price]]</f>
        <v>16976</v>
      </c>
      <c r="N1105">
        <f>Clean_Data[[#This Row],[Total_Sales]]-Clean_Data[[#This Row],[Total_Cost]]</f>
        <v>11024</v>
      </c>
      <c r="O1105" s="2">
        <f>Clean_Data[[#This Row],[Profit]]/Clean_Data[[#This Row],[Total_Sales]]</f>
        <v>0.39371428571428574</v>
      </c>
      <c r="P1105" t="str">
        <f>_xlfn.XLOOKUP(Clean_Data[[#This Row],[Product_Code]],Product_Catalog!A:A,Product_Catalog!C:C)</f>
        <v>Furniture</v>
      </c>
      <c r="Q1105">
        <f>IF(Clean_Data[[#This Row],[Order_Date]]="","",YEAR(Clean_Data[[#This Row],[Order_Date]]))</f>
        <v>2026</v>
      </c>
      <c r="R1105" t="str">
        <f>TEXT(Clean_Data[[#This Row],[Order_Date]],"mmm")</f>
        <v>Jun</v>
      </c>
      <c r="S1105" t="str">
        <f>TEXT(Clean_Data[[#This Row],[Order_Date]],"mmm-yy")</f>
        <v>Jun-26</v>
      </c>
      <c r="V1105"/>
    </row>
    <row r="1106" spans="1:22" x14ac:dyDescent="0.25">
      <c r="A1106" t="s">
        <v>1186</v>
      </c>
      <c r="B1106" s="1">
        <v>45710</v>
      </c>
      <c r="C1106" t="s">
        <v>19</v>
      </c>
      <c r="D1106" t="s">
        <v>26</v>
      </c>
      <c r="E1106" t="s">
        <v>63</v>
      </c>
      <c r="F1106" t="s">
        <v>59</v>
      </c>
      <c r="G1106">
        <v>4</v>
      </c>
      <c r="H1106">
        <v>4500</v>
      </c>
      <c r="I1106">
        <v>3045</v>
      </c>
      <c r="J1106" t="s">
        <v>22</v>
      </c>
      <c r="K1106" t="s">
        <v>17</v>
      </c>
      <c r="L1106">
        <f>SUM(Clean_Data[[#This Row],[Units_Sold]]*Clean_Data[[#This Row],[Unit_Price]])</f>
        <v>18000</v>
      </c>
      <c r="M1106">
        <f>Clean_Data[[#This Row],[Units_Sold]]*Clean_Data[[#This Row],[Cost_Price]]</f>
        <v>12180</v>
      </c>
      <c r="N1106">
        <f>Clean_Data[[#This Row],[Total_Sales]]-Clean_Data[[#This Row],[Total_Cost]]</f>
        <v>5820</v>
      </c>
      <c r="O1106" s="2">
        <f>Clean_Data[[#This Row],[Profit]]/Clean_Data[[#This Row],[Total_Sales]]</f>
        <v>0.32333333333333331</v>
      </c>
      <c r="P1106" t="str">
        <f>_xlfn.XLOOKUP(Clean_Data[[#This Row],[Product_Code]],Product_Catalog!A:A,Product_Catalog!C:C)</f>
        <v>Electronics</v>
      </c>
      <c r="Q1106">
        <f>IF(Clean_Data[[#This Row],[Order_Date]]="","",YEAR(Clean_Data[[#This Row],[Order_Date]]))</f>
        <v>2025</v>
      </c>
      <c r="R1106" t="str">
        <f>TEXT(Clean_Data[[#This Row],[Order_Date]],"mmm")</f>
        <v>Feb</v>
      </c>
      <c r="S1106" t="str">
        <f>TEXT(Clean_Data[[#This Row],[Order_Date]],"mmm-yy")</f>
        <v>Feb-25</v>
      </c>
      <c r="V1106"/>
    </row>
    <row r="1107" spans="1:22" x14ac:dyDescent="0.25">
      <c r="A1107" t="s">
        <v>1187</v>
      </c>
      <c r="B1107" s="1">
        <v>45958</v>
      </c>
      <c r="C1107" t="s">
        <v>19</v>
      </c>
      <c r="D1107" t="s">
        <v>26</v>
      </c>
      <c r="E1107" t="s">
        <v>14</v>
      </c>
      <c r="F1107" t="s">
        <v>15</v>
      </c>
      <c r="G1107">
        <v>5</v>
      </c>
      <c r="H1107">
        <v>12500</v>
      </c>
      <c r="I1107">
        <v>9976</v>
      </c>
      <c r="J1107" t="s">
        <v>29</v>
      </c>
      <c r="K1107" t="s">
        <v>17</v>
      </c>
      <c r="L1107">
        <f>SUM(Clean_Data[[#This Row],[Units_Sold]]*Clean_Data[[#This Row],[Unit_Price]])</f>
        <v>62500</v>
      </c>
      <c r="M1107">
        <f>Clean_Data[[#This Row],[Units_Sold]]*Clean_Data[[#This Row],[Cost_Price]]</f>
        <v>49880</v>
      </c>
      <c r="N1107">
        <f>Clean_Data[[#This Row],[Total_Sales]]-Clean_Data[[#This Row],[Total_Cost]]</f>
        <v>12620</v>
      </c>
      <c r="O1107" s="2">
        <f>Clean_Data[[#This Row],[Profit]]/Clean_Data[[#This Row],[Total_Sales]]</f>
        <v>0.20191999999999999</v>
      </c>
      <c r="P1107" t="str">
        <f>_xlfn.XLOOKUP(Clean_Data[[#This Row],[Product_Code]],Product_Catalog!A:A,Product_Catalog!C:C)</f>
        <v>Accessories</v>
      </c>
      <c r="Q1107">
        <f>IF(Clean_Data[[#This Row],[Order_Date]]="","",YEAR(Clean_Data[[#This Row],[Order_Date]]))</f>
        <v>2025</v>
      </c>
      <c r="R1107" t="str">
        <f>TEXT(Clean_Data[[#This Row],[Order_Date]],"mmm")</f>
        <v>Oct</v>
      </c>
      <c r="S1107" t="str">
        <f>TEXT(Clean_Data[[#This Row],[Order_Date]],"mmm-yy")</f>
        <v>Oct-25</v>
      </c>
      <c r="V1107"/>
    </row>
    <row r="1108" spans="1:22" x14ac:dyDescent="0.25">
      <c r="A1108" t="s">
        <v>1188</v>
      </c>
      <c r="B1108" s="1">
        <v>46019</v>
      </c>
      <c r="C1108" t="s">
        <v>19</v>
      </c>
      <c r="D1108" t="s">
        <v>13</v>
      </c>
      <c r="E1108" t="s">
        <v>27</v>
      </c>
      <c r="F1108" t="s">
        <v>28</v>
      </c>
      <c r="G1108">
        <v>17</v>
      </c>
      <c r="H1108">
        <v>14000</v>
      </c>
      <c r="I1108">
        <v>10312</v>
      </c>
      <c r="J1108" t="s">
        <v>29</v>
      </c>
      <c r="K1108" t="s">
        <v>17</v>
      </c>
      <c r="L1108">
        <f>SUM(Clean_Data[[#This Row],[Units_Sold]]*Clean_Data[[#This Row],[Unit_Price]])</f>
        <v>238000</v>
      </c>
      <c r="M1108">
        <f>Clean_Data[[#This Row],[Units_Sold]]*Clean_Data[[#This Row],[Cost_Price]]</f>
        <v>175304</v>
      </c>
      <c r="N1108">
        <f>Clean_Data[[#This Row],[Total_Sales]]-Clean_Data[[#This Row],[Total_Cost]]</f>
        <v>62696</v>
      </c>
      <c r="O1108" s="2">
        <f>Clean_Data[[#This Row],[Profit]]/Clean_Data[[#This Row],[Total_Sales]]</f>
        <v>0.2634285714285714</v>
      </c>
      <c r="P1108" t="str">
        <f>_xlfn.XLOOKUP(Clean_Data[[#This Row],[Product_Code]],Product_Catalog!A:A,Product_Catalog!C:C)</f>
        <v>Furniture</v>
      </c>
      <c r="Q1108">
        <f>IF(Clean_Data[[#This Row],[Order_Date]]="","",YEAR(Clean_Data[[#This Row],[Order_Date]]))</f>
        <v>2025</v>
      </c>
      <c r="R1108" t="str">
        <f>TEXT(Clean_Data[[#This Row],[Order_Date]],"mmm")</f>
        <v>Dec</v>
      </c>
      <c r="S1108" t="str">
        <f>TEXT(Clean_Data[[#This Row],[Order_Date]],"mmm-yy")</f>
        <v>Dec-25</v>
      </c>
      <c r="V1108"/>
    </row>
    <row r="1109" spans="1:22" x14ac:dyDescent="0.25">
      <c r="A1109" t="s">
        <v>1189</v>
      </c>
      <c r="B1109" s="1">
        <v>46131</v>
      </c>
      <c r="C1109" t="s">
        <v>44</v>
      </c>
      <c r="D1109" t="s">
        <v>36</v>
      </c>
      <c r="E1109" t="s">
        <v>20</v>
      </c>
      <c r="F1109" t="s">
        <v>21</v>
      </c>
      <c r="G1109">
        <v>9</v>
      </c>
      <c r="H1109">
        <v>8500</v>
      </c>
      <c r="I1109">
        <v>6016</v>
      </c>
      <c r="J1109" t="s">
        <v>45</v>
      </c>
      <c r="K1109" t="s">
        <v>23</v>
      </c>
      <c r="L1109">
        <f>SUM(Clean_Data[[#This Row],[Units_Sold]]*Clean_Data[[#This Row],[Unit_Price]])</f>
        <v>76500</v>
      </c>
      <c r="M1109">
        <f>Clean_Data[[#This Row],[Units_Sold]]*Clean_Data[[#This Row],[Cost_Price]]</f>
        <v>54144</v>
      </c>
      <c r="N1109">
        <f>Clean_Data[[#This Row],[Total_Sales]]-Clean_Data[[#This Row],[Total_Cost]]</f>
        <v>22356</v>
      </c>
      <c r="O1109" s="2">
        <f>Clean_Data[[#This Row],[Profit]]/Clean_Data[[#This Row],[Total_Sales]]</f>
        <v>0.29223529411764704</v>
      </c>
      <c r="P1109" t="str">
        <f>_xlfn.XLOOKUP(Clean_Data[[#This Row],[Product_Code]],Product_Catalog!A:A,Product_Catalog!C:C)</f>
        <v>Accessories</v>
      </c>
      <c r="Q1109">
        <f>IF(Clean_Data[[#This Row],[Order_Date]]="","",YEAR(Clean_Data[[#This Row],[Order_Date]]))</f>
        <v>2026</v>
      </c>
      <c r="R1109" t="str">
        <f>TEXT(Clean_Data[[#This Row],[Order_Date]],"mmm")</f>
        <v>Apr</v>
      </c>
      <c r="S1109" t="str">
        <f>TEXT(Clean_Data[[#This Row],[Order_Date]],"mmm-yy")</f>
        <v>Apr-26</v>
      </c>
      <c r="V1109"/>
    </row>
    <row r="1110" spans="1:22" x14ac:dyDescent="0.25">
      <c r="A1110" t="s">
        <v>1190</v>
      </c>
      <c r="B1110" s="1">
        <v>46025</v>
      </c>
      <c r="C1110" t="s">
        <v>73</v>
      </c>
      <c r="D1110" t="s">
        <v>13</v>
      </c>
      <c r="E1110" t="s">
        <v>41</v>
      </c>
      <c r="F1110" t="s">
        <v>42</v>
      </c>
      <c r="G1110">
        <v>7</v>
      </c>
      <c r="H1110">
        <v>28000</v>
      </c>
      <c r="I1110">
        <v>21498</v>
      </c>
      <c r="J1110" t="s">
        <v>29</v>
      </c>
      <c r="K1110" t="s">
        <v>17</v>
      </c>
      <c r="L1110">
        <f>SUM(Clean_Data[[#This Row],[Units_Sold]]*Clean_Data[[#This Row],[Unit_Price]])</f>
        <v>196000</v>
      </c>
      <c r="M1110">
        <f>Clean_Data[[#This Row],[Units_Sold]]*Clean_Data[[#This Row],[Cost_Price]]</f>
        <v>150486</v>
      </c>
      <c r="N1110">
        <f>Clean_Data[[#This Row],[Total_Sales]]-Clean_Data[[#This Row],[Total_Cost]]</f>
        <v>45514</v>
      </c>
      <c r="O1110" s="2">
        <f>Clean_Data[[#This Row],[Profit]]/Clean_Data[[#This Row],[Total_Sales]]</f>
        <v>0.23221428571428571</v>
      </c>
      <c r="P1110" t="str">
        <f>_xlfn.XLOOKUP(Clean_Data[[#This Row],[Product_Code]],Product_Catalog!A:A,Product_Catalog!C:C)</f>
        <v>Electronics</v>
      </c>
      <c r="Q1110">
        <f>IF(Clean_Data[[#This Row],[Order_Date]]="","",YEAR(Clean_Data[[#This Row],[Order_Date]]))</f>
        <v>2026</v>
      </c>
      <c r="R1110" t="str">
        <f>TEXT(Clean_Data[[#This Row],[Order_Date]],"mmm")</f>
        <v>Jan</v>
      </c>
      <c r="S1110" t="str">
        <f>TEXT(Clean_Data[[#This Row],[Order_Date]],"mmm-yy")</f>
        <v>Jan-26</v>
      </c>
      <c r="V1110"/>
    </row>
    <row r="1111" spans="1:22" x14ac:dyDescent="0.25">
      <c r="A1111" t="s">
        <v>1191</v>
      </c>
      <c r="B1111" s="1">
        <v>46094</v>
      </c>
      <c r="C1111" t="s">
        <v>44</v>
      </c>
      <c r="D1111" t="s">
        <v>33</v>
      </c>
      <c r="E1111" t="s">
        <v>14</v>
      </c>
      <c r="F1111" t="s">
        <v>15</v>
      </c>
      <c r="G1111">
        <v>15</v>
      </c>
      <c r="H1111">
        <v>12500</v>
      </c>
      <c r="I1111">
        <v>8356</v>
      </c>
      <c r="J1111" t="s">
        <v>16</v>
      </c>
      <c r="K1111" t="s">
        <v>23</v>
      </c>
      <c r="L1111">
        <f>SUM(Clean_Data[[#This Row],[Units_Sold]]*Clean_Data[[#This Row],[Unit_Price]])</f>
        <v>187500</v>
      </c>
      <c r="M1111">
        <f>Clean_Data[[#This Row],[Units_Sold]]*Clean_Data[[#This Row],[Cost_Price]]</f>
        <v>125340</v>
      </c>
      <c r="N1111">
        <f>Clean_Data[[#This Row],[Total_Sales]]-Clean_Data[[#This Row],[Total_Cost]]</f>
        <v>62160</v>
      </c>
      <c r="O1111" s="2">
        <f>Clean_Data[[#This Row],[Profit]]/Clean_Data[[#This Row],[Total_Sales]]</f>
        <v>0.33151999999999998</v>
      </c>
      <c r="P1111" t="str">
        <f>_xlfn.XLOOKUP(Clean_Data[[#This Row],[Product_Code]],Product_Catalog!A:A,Product_Catalog!C:C)</f>
        <v>Accessories</v>
      </c>
      <c r="Q1111">
        <f>IF(Clean_Data[[#This Row],[Order_Date]]="","",YEAR(Clean_Data[[#This Row],[Order_Date]]))</f>
        <v>2026</v>
      </c>
      <c r="R1111" t="str">
        <f>TEXT(Clean_Data[[#This Row],[Order_Date]],"mmm")</f>
        <v>Mar</v>
      </c>
      <c r="S1111" t="str">
        <f>TEXT(Clean_Data[[#This Row],[Order_Date]],"mmm-yy")</f>
        <v>Mar-26</v>
      </c>
      <c r="V1111"/>
    </row>
    <row r="1112" spans="1:22" x14ac:dyDescent="0.25">
      <c r="A1112" t="s">
        <v>1192</v>
      </c>
      <c r="B1112" s="1">
        <v>45958</v>
      </c>
      <c r="C1112" t="s">
        <v>53</v>
      </c>
      <c r="D1112" t="s">
        <v>26</v>
      </c>
      <c r="E1112" t="s">
        <v>66</v>
      </c>
      <c r="F1112" t="s">
        <v>67</v>
      </c>
      <c r="G1112">
        <v>9</v>
      </c>
      <c r="H1112">
        <v>2500</v>
      </c>
      <c r="I1112">
        <v>1646</v>
      </c>
      <c r="J1112" t="s">
        <v>16</v>
      </c>
      <c r="K1112" t="s">
        <v>23</v>
      </c>
      <c r="L1112">
        <f>SUM(Clean_Data[[#This Row],[Units_Sold]]*Clean_Data[[#This Row],[Unit_Price]])</f>
        <v>22500</v>
      </c>
      <c r="M1112">
        <f>Clean_Data[[#This Row],[Units_Sold]]*Clean_Data[[#This Row],[Cost_Price]]</f>
        <v>14814</v>
      </c>
      <c r="N1112">
        <f>Clean_Data[[#This Row],[Total_Sales]]-Clean_Data[[#This Row],[Total_Cost]]</f>
        <v>7686</v>
      </c>
      <c r="O1112" s="2">
        <f>Clean_Data[[#This Row],[Profit]]/Clean_Data[[#This Row],[Total_Sales]]</f>
        <v>0.34160000000000001</v>
      </c>
      <c r="P1112" t="str">
        <f>_xlfn.XLOOKUP(Clean_Data[[#This Row],[Product_Code]],Product_Catalog!A:A,Product_Catalog!C:C)</f>
        <v>Electronics</v>
      </c>
      <c r="Q1112">
        <f>IF(Clean_Data[[#This Row],[Order_Date]]="","",YEAR(Clean_Data[[#This Row],[Order_Date]]))</f>
        <v>2025</v>
      </c>
      <c r="R1112" t="str">
        <f>TEXT(Clean_Data[[#This Row],[Order_Date]],"mmm")</f>
        <v>Oct</v>
      </c>
      <c r="S1112" t="str">
        <f>TEXT(Clean_Data[[#This Row],[Order_Date]],"mmm-yy")</f>
        <v>Oct-25</v>
      </c>
      <c r="V1112"/>
    </row>
    <row r="1113" spans="1:22" x14ac:dyDescent="0.25">
      <c r="A1113" t="s">
        <v>1193</v>
      </c>
      <c r="B1113" s="1">
        <v>45996</v>
      </c>
      <c r="C1113" t="s">
        <v>12</v>
      </c>
      <c r="D1113" t="s">
        <v>13</v>
      </c>
      <c r="E1113" t="s">
        <v>55</v>
      </c>
      <c r="F1113" t="s">
        <v>34</v>
      </c>
      <c r="G1113">
        <v>19</v>
      </c>
      <c r="H1113">
        <v>35000</v>
      </c>
      <c r="I1113">
        <v>25892</v>
      </c>
      <c r="J1113" t="s">
        <v>45</v>
      </c>
      <c r="K1113" t="s">
        <v>17</v>
      </c>
      <c r="L1113">
        <f>SUM(Clean_Data[[#This Row],[Units_Sold]]*Clean_Data[[#This Row],[Unit_Price]])</f>
        <v>665000</v>
      </c>
      <c r="M1113">
        <f>Clean_Data[[#This Row],[Units_Sold]]*Clean_Data[[#This Row],[Cost_Price]]</f>
        <v>491948</v>
      </c>
      <c r="N1113">
        <f>Clean_Data[[#This Row],[Total_Sales]]-Clean_Data[[#This Row],[Total_Cost]]</f>
        <v>173052</v>
      </c>
      <c r="O1113" s="2">
        <f>Clean_Data[[#This Row],[Profit]]/Clean_Data[[#This Row],[Total_Sales]]</f>
        <v>0.26022857142857142</v>
      </c>
      <c r="P1113" t="str">
        <f>_xlfn.XLOOKUP(Clean_Data[[#This Row],[Product_Code]],Product_Catalog!A:A,Product_Catalog!C:C)</f>
        <v>Furniture</v>
      </c>
      <c r="Q1113">
        <f>IF(Clean_Data[[#This Row],[Order_Date]]="","",YEAR(Clean_Data[[#This Row],[Order_Date]]))</f>
        <v>2025</v>
      </c>
      <c r="R1113" t="str">
        <f>TEXT(Clean_Data[[#This Row],[Order_Date]],"mmm")</f>
        <v>Dec</v>
      </c>
      <c r="S1113" t="str">
        <f>TEXT(Clean_Data[[#This Row],[Order_Date]],"mmm-yy")</f>
        <v>Dec-25</v>
      </c>
      <c r="V1113"/>
    </row>
    <row r="1114" spans="1:22" x14ac:dyDescent="0.25">
      <c r="A1114" t="s">
        <v>1195</v>
      </c>
      <c r="B1114" s="1">
        <v>46061</v>
      </c>
      <c r="C1114" t="s">
        <v>73</v>
      </c>
      <c r="D1114" t="s">
        <v>26</v>
      </c>
      <c r="E1114" t="s">
        <v>41</v>
      </c>
      <c r="F1114" t="s">
        <v>42</v>
      </c>
      <c r="G1114">
        <v>12</v>
      </c>
      <c r="H1114">
        <v>28000</v>
      </c>
      <c r="I1114">
        <v>19379</v>
      </c>
      <c r="J1114" t="s">
        <v>29</v>
      </c>
      <c r="K1114" t="s">
        <v>23</v>
      </c>
      <c r="L1114">
        <f>SUM(Clean_Data[[#This Row],[Units_Sold]]*Clean_Data[[#This Row],[Unit_Price]])</f>
        <v>336000</v>
      </c>
      <c r="M1114">
        <f>Clean_Data[[#This Row],[Units_Sold]]*Clean_Data[[#This Row],[Cost_Price]]</f>
        <v>232548</v>
      </c>
      <c r="N1114">
        <f>Clean_Data[[#This Row],[Total_Sales]]-Clean_Data[[#This Row],[Total_Cost]]</f>
        <v>103452</v>
      </c>
      <c r="O1114" s="2">
        <f>Clean_Data[[#This Row],[Profit]]/Clean_Data[[#This Row],[Total_Sales]]</f>
        <v>0.30789285714285713</v>
      </c>
      <c r="P1114" t="str">
        <f>_xlfn.XLOOKUP(Clean_Data[[#This Row],[Product_Code]],Product_Catalog!A:A,Product_Catalog!C:C)</f>
        <v>Electronics</v>
      </c>
      <c r="Q1114">
        <f>IF(Clean_Data[[#This Row],[Order_Date]]="","",YEAR(Clean_Data[[#This Row],[Order_Date]]))</f>
        <v>2026</v>
      </c>
      <c r="R1114" t="str">
        <f>TEXT(Clean_Data[[#This Row],[Order_Date]],"mmm")</f>
        <v>Feb</v>
      </c>
      <c r="S1114" t="str">
        <f>TEXT(Clean_Data[[#This Row],[Order_Date]],"mmm-yy")</f>
        <v>Feb-26</v>
      </c>
      <c r="V1114"/>
    </row>
    <row r="1115" spans="1:22" x14ac:dyDescent="0.25">
      <c r="A1115" t="s">
        <v>1196</v>
      </c>
      <c r="B1115" s="1">
        <v>46089</v>
      </c>
      <c r="C1115" t="s">
        <v>19</v>
      </c>
      <c r="D1115" t="s">
        <v>13</v>
      </c>
      <c r="E1115" t="s">
        <v>49</v>
      </c>
      <c r="F1115" t="s">
        <v>50</v>
      </c>
      <c r="G1115">
        <v>8</v>
      </c>
      <c r="H1115">
        <v>75000</v>
      </c>
      <c r="I1115">
        <v>45796</v>
      </c>
      <c r="J1115" t="s">
        <v>16</v>
      </c>
      <c r="K1115" t="s">
        <v>46</v>
      </c>
      <c r="L1115">
        <f>SUM(Clean_Data[[#This Row],[Units_Sold]]*Clean_Data[[#This Row],[Unit_Price]])</f>
        <v>600000</v>
      </c>
      <c r="M1115">
        <f>Clean_Data[[#This Row],[Units_Sold]]*Clean_Data[[#This Row],[Cost_Price]]</f>
        <v>366368</v>
      </c>
      <c r="N1115">
        <f>Clean_Data[[#This Row],[Total_Sales]]-Clean_Data[[#This Row],[Total_Cost]]</f>
        <v>233632</v>
      </c>
      <c r="O1115" s="2">
        <f>Clean_Data[[#This Row],[Profit]]/Clean_Data[[#This Row],[Total_Sales]]</f>
        <v>0.38938666666666666</v>
      </c>
      <c r="P1115" t="str">
        <f>_xlfn.XLOOKUP(Clean_Data[[#This Row],[Product_Code]],Product_Catalog!A:A,Product_Catalog!C:C)</f>
        <v>Electronics</v>
      </c>
      <c r="Q1115">
        <f>IF(Clean_Data[[#This Row],[Order_Date]]="","",YEAR(Clean_Data[[#This Row],[Order_Date]]))</f>
        <v>2026</v>
      </c>
      <c r="R1115" t="str">
        <f>TEXT(Clean_Data[[#This Row],[Order_Date]],"mmm")</f>
        <v>Mar</v>
      </c>
      <c r="S1115" t="str">
        <f>TEXT(Clean_Data[[#This Row],[Order_Date]],"mmm-yy")</f>
        <v>Mar-26</v>
      </c>
      <c r="V1115"/>
    </row>
    <row r="1116" spans="1:22" x14ac:dyDescent="0.25">
      <c r="A1116" t="s">
        <v>1197</v>
      </c>
      <c r="B1116" s="1">
        <v>45862</v>
      </c>
      <c r="C1116" t="s">
        <v>62</v>
      </c>
      <c r="D1116" t="s">
        <v>40</v>
      </c>
      <c r="E1116" t="s">
        <v>41</v>
      </c>
      <c r="F1116" t="s">
        <v>42</v>
      </c>
      <c r="G1116">
        <v>3</v>
      </c>
      <c r="H1116">
        <v>28000</v>
      </c>
      <c r="I1116">
        <v>19712</v>
      </c>
      <c r="J1116" t="s">
        <v>16</v>
      </c>
      <c r="K1116" t="s">
        <v>23</v>
      </c>
      <c r="L1116">
        <f>SUM(Clean_Data[[#This Row],[Units_Sold]]*Clean_Data[[#This Row],[Unit_Price]])</f>
        <v>84000</v>
      </c>
      <c r="M1116">
        <f>Clean_Data[[#This Row],[Units_Sold]]*Clean_Data[[#This Row],[Cost_Price]]</f>
        <v>59136</v>
      </c>
      <c r="N1116">
        <f>Clean_Data[[#This Row],[Total_Sales]]-Clean_Data[[#This Row],[Total_Cost]]</f>
        <v>24864</v>
      </c>
      <c r="O1116" s="2">
        <f>Clean_Data[[#This Row],[Profit]]/Clean_Data[[#This Row],[Total_Sales]]</f>
        <v>0.29599999999999999</v>
      </c>
      <c r="P1116" t="str">
        <f>_xlfn.XLOOKUP(Clean_Data[[#This Row],[Product_Code]],Product_Catalog!A:A,Product_Catalog!C:C)</f>
        <v>Electronics</v>
      </c>
      <c r="Q1116">
        <f>IF(Clean_Data[[#This Row],[Order_Date]]="","",YEAR(Clean_Data[[#This Row],[Order_Date]]))</f>
        <v>2025</v>
      </c>
      <c r="R1116" t="str">
        <f>TEXT(Clean_Data[[#This Row],[Order_Date]],"mmm")</f>
        <v>Jul</v>
      </c>
      <c r="S1116" t="str">
        <f>TEXT(Clean_Data[[#This Row],[Order_Date]],"mmm-yy")</f>
        <v>Jul-25</v>
      </c>
      <c r="V1116"/>
    </row>
    <row r="1117" spans="1:22" x14ac:dyDescent="0.25">
      <c r="A1117" t="s">
        <v>1198</v>
      </c>
      <c r="B1117" s="1">
        <v>45976</v>
      </c>
      <c r="C1117" t="s">
        <v>44</v>
      </c>
      <c r="D1117" t="s">
        <v>36</v>
      </c>
      <c r="E1117" t="s">
        <v>49</v>
      </c>
      <c r="F1117" t="s">
        <v>50</v>
      </c>
      <c r="G1117">
        <v>11</v>
      </c>
      <c r="H1117">
        <v>75000</v>
      </c>
      <c r="I1117">
        <v>58556</v>
      </c>
      <c r="J1117" t="s">
        <v>22</v>
      </c>
      <c r="K1117" t="s">
        <v>46</v>
      </c>
      <c r="L1117">
        <f>SUM(Clean_Data[[#This Row],[Units_Sold]]*Clean_Data[[#This Row],[Unit_Price]])</f>
        <v>825000</v>
      </c>
      <c r="M1117">
        <f>Clean_Data[[#This Row],[Units_Sold]]*Clean_Data[[#This Row],[Cost_Price]]</f>
        <v>644116</v>
      </c>
      <c r="N1117">
        <f>Clean_Data[[#This Row],[Total_Sales]]-Clean_Data[[#This Row],[Total_Cost]]</f>
        <v>180884</v>
      </c>
      <c r="O1117" s="2">
        <f>Clean_Data[[#This Row],[Profit]]/Clean_Data[[#This Row],[Total_Sales]]</f>
        <v>0.21925333333333333</v>
      </c>
      <c r="P1117" t="str">
        <f>_xlfn.XLOOKUP(Clean_Data[[#This Row],[Product_Code]],Product_Catalog!A:A,Product_Catalog!C:C)</f>
        <v>Electronics</v>
      </c>
      <c r="Q1117">
        <f>IF(Clean_Data[[#This Row],[Order_Date]]="","",YEAR(Clean_Data[[#This Row],[Order_Date]]))</f>
        <v>2025</v>
      </c>
      <c r="R1117" t="str">
        <f>TEXT(Clean_Data[[#This Row],[Order_Date]],"mmm")</f>
        <v>Nov</v>
      </c>
      <c r="S1117" t="str">
        <f>TEXT(Clean_Data[[#This Row],[Order_Date]],"mmm-yy")</f>
        <v>Nov-25</v>
      </c>
      <c r="V1117"/>
    </row>
    <row r="1118" spans="1:22" x14ac:dyDescent="0.25">
      <c r="A1118" t="s">
        <v>1199</v>
      </c>
      <c r="B1118" s="1">
        <v>46058</v>
      </c>
      <c r="C1118" t="s">
        <v>25</v>
      </c>
      <c r="D1118" t="s">
        <v>33</v>
      </c>
      <c r="E1118" t="s">
        <v>66</v>
      </c>
      <c r="F1118" t="s">
        <v>67</v>
      </c>
      <c r="G1118">
        <v>1</v>
      </c>
      <c r="H1118">
        <v>2500</v>
      </c>
      <c r="I1118">
        <v>1563</v>
      </c>
      <c r="J1118" t="s">
        <v>29</v>
      </c>
      <c r="K1118" t="s">
        <v>23</v>
      </c>
      <c r="L1118">
        <f>SUM(Clean_Data[[#This Row],[Units_Sold]]*Clean_Data[[#This Row],[Unit_Price]])</f>
        <v>2500</v>
      </c>
      <c r="M1118">
        <f>Clean_Data[[#This Row],[Units_Sold]]*Clean_Data[[#This Row],[Cost_Price]]</f>
        <v>1563</v>
      </c>
      <c r="N1118">
        <f>Clean_Data[[#This Row],[Total_Sales]]-Clean_Data[[#This Row],[Total_Cost]]</f>
        <v>937</v>
      </c>
      <c r="O1118" s="2">
        <f>Clean_Data[[#This Row],[Profit]]/Clean_Data[[#This Row],[Total_Sales]]</f>
        <v>0.37480000000000002</v>
      </c>
      <c r="P1118" t="str">
        <f>_xlfn.XLOOKUP(Clean_Data[[#This Row],[Product_Code]],Product_Catalog!A:A,Product_Catalog!C:C)</f>
        <v>Electronics</v>
      </c>
      <c r="Q1118">
        <f>IF(Clean_Data[[#This Row],[Order_Date]]="","",YEAR(Clean_Data[[#This Row],[Order_Date]]))</f>
        <v>2026</v>
      </c>
      <c r="R1118" t="str">
        <f>TEXT(Clean_Data[[#This Row],[Order_Date]],"mmm")</f>
        <v>Feb</v>
      </c>
      <c r="S1118" t="str">
        <f>TEXT(Clean_Data[[#This Row],[Order_Date]],"mmm-yy")</f>
        <v>Feb-26</v>
      </c>
      <c r="V1118"/>
    </row>
    <row r="1119" spans="1:22" x14ac:dyDescent="0.25">
      <c r="A1119" t="s">
        <v>1200</v>
      </c>
      <c r="B1119" s="1">
        <v>45913</v>
      </c>
      <c r="C1119" t="s">
        <v>53</v>
      </c>
      <c r="D1119" t="s">
        <v>13</v>
      </c>
      <c r="E1119" t="s">
        <v>63</v>
      </c>
      <c r="F1119" t="s">
        <v>59</v>
      </c>
      <c r="G1119">
        <v>1</v>
      </c>
      <c r="H1119">
        <v>4500</v>
      </c>
      <c r="I1119">
        <v>2865</v>
      </c>
      <c r="J1119" t="s">
        <v>45</v>
      </c>
      <c r="K1119" t="s">
        <v>46</v>
      </c>
      <c r="L1119">
        <f>SUM(Clean_Data[[#This Row],[Units_Sold]]*Clean_Data[[#This Row],[Unit_Price]])</f>
        <v>4500</v>
      </c>
      <c r="M1119">
        <f>Clean_Data[[#This Row],[Units_Sold]]*Clean_Data[[#This Row],[Cost_Price]]</f>
        <v>2865</v>
      </c>
      <c r="N1119">
        <f>Clean_Data[[#This Row],[Total_Sales]]-Clean_Data[[#This Row],[Total_Cost]]</f>
        <v>1635</v>
      </c>
      <c r="O1119" s="2">
        <f>Clean_Data[[#This Row],[Profit]]/Clean_Data[[#This Row],[Total_Sales]]</f>
        <v>0.36333333333333334</v>
      </c>
      <c r="P1119" t="str">
        <f>_xlfn.XLOOKUP(Clean_Data[[#This Row],[Product_Code]],Product_Catalog!A:A,Product_Catalog!C:C)</f>
        <v>Electronics</v>
      </c>
      <c r="Q1119">
        <f>IF(Clean_Data[[#This Row],[Order_Date]]="","",YEAR(Clean_Data[[#This Row],[Order_Date]]))</f>
        <v>2025</v>
      </c>
      <c r="R1119" t="str">
        <f>TEXT(Clean_Data[[#This Row],[Order_Date]],"mmm")</f>
        <v>Sep</v>
      </c>
      <c r="S1119" t="str">
        <f>TEXT(Clean_Data[[#This Row],[Order_Date]],"mmm-yy")</f>
        <v>Sep-25</v>
      </c>
      <c r="V1119"/>
    </row>
    <row r="1120" spans="1:22" x14ac:dyDescent="0.25">
      <c r="A1120" t="s">
        <v>1201</v>
      </c>
      <c r="B1120" s="1">
        <v>45990</v>
      </c>
      <c r="C1120" t="s">
        <v>44</v>
      </c>
      <c r="D1120" t="s">
        <v>40</v>
      </c>
      <c r="E1120" t="s">
        <v>63</v>
      </c>
      <c r="F1120" t="s">
        <v>59</v>
      </c>
      <c r="G1120">
        <v>15</v>
      </c>
      <c r="H1120">
        <v>4500</v>
      </c>
      <c r="I1120">
        <v>3094</v>
      </c>
      <c r="J1120" t="s">
        <v>29</v>
      </c>
      <c r="K1120" t="s">
        <v>23</v>
      </c>
      <c r="L1120">
        <f>SUM(Clean_Data[[#This Row],[Units_Sold]]*Clean_Data[[#This Row],[Unit_Price]])</f>
        <v>67500</v>
      </c>
      <c r="M1120">
        <f>Clean_Data[[#This Row],[Units_Sold]]*Clean_Data[[#This Row],[Cost_Price]]</f>
        <v>46410</v>
      </c>
      <c r="N1120">
        <f>Clean_Data[[#This Row],[Total_Sales]]-Clean_Data[[#This Row],[Total_Cost]]</f>
        <v>21090</v>
      </c>
      <c r="O1120" s="2">
        <f>Clean_Data[[#This Row],[Profit]]/Clean_Data[[#This Row],[Total_Sales]]</f>
        <v>0.31244444444444447</v>
      </c>
      <c r="P1120" t="str">
        <f>_xlfn.XLOOKUP(Clean_Data[[#This Row],[Product_Code]],Product_Catalog!A:A,Product_Catalog!C:C)</f>
        <v>Electronics</v>
      </c>
      <c r="Q1120">
        <f>IF(Clean_Data[[#This Row],[Order_Date]]="","",YEAR(Clean_Data[[#This Row],[Order_Date]]))</f>
        <v>2025</v>
      </c>
      <c r="R1120" t="str">
        <f>TEXT(Clean_Data[[#This Row],[Order_Date]],"mmm")</f>
        <v>Nov</v>
      </c>
      <c r="S1120" t="str">
        <f>TEXT(Clean_Data[[#This Row],[Order_Date]],"mmm-yy")</f>
        <v>Nov-25</v>
      </c>
      <c r="V1120"/>
    </row>
    <row r="1121" spans="1:22" x14ac:dyDescent="0.25">
      <c r="A1121" t="s">
        <v>1202</v>
      </c>
      <c r="B1121" s="1">
        <v>45932</v>
      </c>
      <c r="C1121" t="s">
        <v>12</v>
      </c>
      <c r="D1121" t="s">
        <v>36</v>
      </c>
      <c r="E1121" t="s">
        <v>49</v>
      </c>
      <c r="F1121" t="s">
        <v>50</v>
      </c>
      <c r="G1121">
        <v>10</v>
      </c>
      <c r="H1121">
        <v>75000</v>
      </c>
      <c r="I1121">
        <v>51573</v>
      </c>
      <c r="J1121" t="s">
        <v>22</v>
      </c>
      <c r="K1121" t="s">
        <v>46</v>
      </c>
      <c r="L1121">
        <f>SUM(Clean_Data[[#This Row],[Units_Sold]]*Clean_Data[[#This Row],[Unit_Price]])</f>
        <v>750000</v>
      </c>
      <c r="M1121">
        <f>Clean_Data[[#This Row],[Units_Sold]]*Clean_Data[[#This Row],[Cost_Price]]</f>
        <v>515730</v>
      </c>
      <c r="N1121">
        <f>Clean_Data[[#This Row],[Total_Sales]]-Clean_Data[[#This Row],[Total_Cost]]</f>
        <v>234270</v>
      </c>
      <c r="O1121" s="2">
        <f>Clean_Data[[#This Row],[Profit]]/Clean_Data[[#This Row],[Total_Sales]]</f>
        <v>0.31236000000000003</v>
      </c>
      <c r="P1121" t="str">
        <f>_xlfn.XLOOKUP(Clean_Data[[#This Row],[Product_Code]],Product_Catalog!A:A,Product_Catalog!C:C)</f>
        <v>Electronics</v>
      </c>
      <c r="Q1121">
        <f>IF(Clean_Data[[#This Row],[Order_Date]]="","",YEAR(Clean_Data[[#This Row],[Order_Date]]))</f>
        <v>2025</v>
      </c>
      <c r="R1121" t="str">
        <f>TEXT(Clean_Data[[#This Row],[Order_Date]],"mmm")</f>
        <v>Oct</v>
      </c>
      <c r="S1121" t="str">
        <f>TEXT(Clean_Data[[#This Row],[Order_Date]],"mmm-yy")</f>
        <v>Oct-25</v>
      </c>
      <c r="V1121"/>
    </row>
    <row r="1122" spans="1:22" x14ac:dyDescent="0.25">
      <c r="A1122" t="s">
        <v>1203</v>
      </c>
      <c r="B1122" s="1">
        <v>46040</v>
      </c>
      <c r="C1122" t="s">
        <v>73</v>
      </c>
      <c r="D1122" t="s">
        <v>40</v>
      </c>
      <c r="E1122" t="s">
        <v>37</v>
      </c>
      <c r="F1122" t="s">
        <v>38</v>
      </c>
      <c r="G1122">
        <v>3</v>
      </c>
      <c r="H1122">
        <v>55000</v>
      </c>
      <c r="I1122">
        <v>37482</v>
      </c>
      <c r="J1122" t="s">
        <v>22</v>
      </c>
      <c r="K1122" t="s">
        <v>23</v>
      </c>
      <c r="L1122">
        <f>SUM(Clean_Data[[#This Row],[Units_Sold]]*Clean_Data[[#This Row],[Unit_Price]])</f>
        <v>165000</v>
      </c>
      <c r="M1122">
        <f>Clean_Data[[#This Row],[Units_Sold]]*Clean_Data[[#This Row],[Cost_Price]]</f>
        <v>112446</v>
      </c>
      <c r="N1122">
        <f>Clean_Data[[#This Row],[Total_Sales]]-Clean_Data[[#This Row],[Total_Cost]]</f>
        <v>52554</v>
      </c>
      <c r="O1122" s="2">
        <f>Clean_Data[[#This Row],[Profit]]/Clean_Data[[#This Row],[Total_Sales]]</f>
        <v>0.31850909090909091</v>
      </c>
      <c r="P1122" t="str">
        <f>_xlfn.XLOOKUP(Clean_Data[[#This Row],[Product_Code]],Product_Catalog!A:A,Product_Catalog!C:C)</f>
        <v>Electronics</v>
      </c>
      <c r="Q1122">
        <f>IF(Clean_Data[[#This Row],[Order_Date]]="","",YEAR(Clean_Data[[#This Row],[Order_Date]]))</f>
        <v>2026</v>
      </c>
      <c r="R1122" t="str">
        <f>TEXT(Clean_Data[[#This Row],[Order_Date]],"mmm")</f>
        <v>Jan</v>
      </c>
      <c r="S1122" t="str">
        <f>TEXT(Clean_Data[[#This Row],[Order_Date]],"mmm-yy")</f>
        <v>Jan-26</v>
      </c>
      <c r="V1122"/>
    </row>
    <row r="1123" spans="1:22" x14ac:dyDescent="0.25">
      <c r="A1123" t="s">
        <v>1204</v>
      </c>
      <c r="B1123" s="1">
        <v>46009</v>
      </c>
      <c r="C1123" t="s">
        <v>25</v>
      </c>
      <c r="D1123" t="s">
        <v>33</v>
      </c>
      <c r="E1123" t="s">
        <v>20</v>
      </c>
      <c r="F1123" t="s">
        <v>21</v>
      </c>
      <c r="G1123">
        <v>5</v>
      </c>
      <c r="H1123">
        <v>8500</v>
      </c>
      <c r="I1123">
        <v>5474</v>
      </c>
      <c r="J1123" t="s">
        <v>16</v>
      </c>
      <c r="K1123" t="s">
        <v>17</v>
      </c>
      <c r="L1123">
        <f>SUM(Clean_Data[[#This Row],[Units_Sold]]*Clean_Data[[#This Row],[Unit_Price]])</f>
        <v>42500</v>
      </c>
      <c r="M1123">
        <f>Clean_Data[[#This Row],[Units_Sold]]*Clean_Data[[#This Row],[Cost_Price]]</f>
        <v>27370</v>
      </c>
      <c r="N1123">
        <f>Clean_Data[[#This Row],[Total_Sales]]-Clean_Data[[#This Row],[Total_Cost]]</f>
        <v>15130</v>
      </c>
      <c r="O1123" s="2">
        <f>Clean_Data[[#This Row],[Profit]]/Clean_Data[[#This Row],[Total_Sales]]</f>
        <v>0.35599999999999998</v>
      </c>
      <c r="P1123" t="str">
        <f>_xlfn.XLOOKUP(Clean_Data[[#This Row],[Product_Code]],Product_Catalog!A:A,Product_Catalog!C:C)</f>
        <v>Accessories</v>
      </c>
      <c r="Q1123">
        <f>IF(Clean_Data[[#This Row],[Order_Date]]="","",YEAR(Clean_Data[[#This Row],[Order_Date]]))</f>
        <v>2025</v>
      </c>
      <c r="R1123" t="str">
        <f>TEXT(Clean_Data[[#This Row],[Order_Date]],"mmm")</f>
        <v>Dec</v>
      </c>
      <c r="S1123" t="str">
        <f>TEXT(Clean_Data[[#This Row],[Order_Date]],"mmm-yy")</f>
        <v>Dec-25</v>
      </c>
      <c r="V1123"/>
    </row>
    <row r="1124" spans="1:22" x14ac:dyDescent="0.25">
      <c r="A1124" t="s">
        <v>1205</v>
      </c>
      <c r="B1124" s="1">
        <v>46092</v>
      </c>
      <c r="C1124" t="s">
        <v>48</v>
      </c>
      <c r="D1124" t="s">
        <v>33</v>
      </c>
      <c r="E1124" t="s">
        <v>41</v>
      </c>
      <c r="F1124" t="s">
        <v>42</v>
      </c>
      <c r="G1124">
        <v>4</v>
      </c>
      <c r="H1124">
        <v>28000</v>
      </c>
      <c r="I1124">
        <v>21269</v>
      </c>
      <c r="J1124" t="s">
        <v>29</v>
      </c>
      <c r="K1124" t="s">
        <v>23</v>
      </c>
      <c r="L1124">
        <f>SUM(Clean_Data[[#This Row],[Units_Sold]]*Clean_Data[[#This Row],[Unit_Price]])</f>
        <v>112000</v>
      </c>
      <c r="M1124">
        <f>Clean_Data[[#This Row],[Units_Sold]]*Clean_Data[[#This Row],[Cost_Price]]</f>
        <v>85076</v>
      </c>
      <c r="N1124">
        <f>Clean_Data[[#This Row],[Total_Sales]]-Clean_Data[[#This Row],[Total_Cost]]</f>
        <v>26924</v>
      </c>
      <c r="O1124" s="2">
        <f>Clean_Data[[#This Row],[Profit]]/Clean_Data[[#This Row],[Total_Sales]]</f>
        <v>0.24039285714285713</v>
      </c>
      <c r="P1124" t="str">
        <f>_xlfn.XLOOKUP(Clean_Data[[#This Row],[Product_Code]],Product_Catalog!A:A,Product_Catalog!C:C)</f>
        <v>Electronics</v>
      </c>
      <c r="Q1124">
        <f>IF(Clean_Data[[#This Row],[Order_Date]]="","",YEAR(Clean_Data[[#This Row],[Order_Date]]))</f>
        <v>2026</v>
      </c>
      <c r="R1124" t="str">
        <f>TEXT(Clean_Data[[#This Row],[Order_Date]],"mmm")</f>
        <v>Mar</v>
      </c>
      <c r="S1124" t="str">
        <f>TEXT(Clean_Data[[#This Row],[Order_Date]],"mmm-yy")</f>
        <v>Mar-26</v>
      </c>
      <c r="V1124"/>
    </row>
    <row r="1125" spans="1:22" x14ac:dyDescent="0.25">
      <c r="A1125" t="s">
        <v>1206</v>
      </c>
      <c r="B1125" s="1">
        <v>45950</v>
      </c>
      <c r="C1125" t="s">
        <v>53</v>
      </c>
      <c r="D1125" t="s">
        <v>26</v>
      </c>
      <c r="E1125" t="s">
        <v>20</v>
      </c>
      <c r="F1125" t="s">
        <v>21</v>
      </c>
      <c r="G1125">
        <v>7</v>
      </c>
      <c r="H1125">
        <v>8500</v>
      </c>
      <c r="I1125">
        <v>5263</v>
      </c>
      <c r="J1125" t="s">
        <v>22</v>
      </c>
      <c r="K1125" t="s">
        <v>17</v>
      </c>
      <c r="L1125">
        <f>SUM(Clean_Data[[#This Row],[Units_Sold]]*Clean_Data[[#This Row],[Unit_Price]])</f>
        <v>59500</v>
      </c>
      <c r="M1125">
        <f>Clean_Data[[#This Row],[Units_Sold]]*Clean_Data[[#This Row],[Cost_Price]]</f>
        <v>36841</v>
      </c>
      <c r="N1125">
        <f>Clean_Data[[#This Row],[Total_Sales]]-Clean_Data[[#This Row],[Total_Cost]]</f>
        <v>22659</v>
      </c>
      <c r="O1125" s="2">
        <f>Clean_Data[[#This Row],[Profit]]/Clean_Data[[#This Row],[Total_Sales]]</f>
        <v>0.38082352941176473</v>
      </c>
      <c r="P1125" t="str">
        <f>_xlfn.XLOOKUP(Clean_Data[[#This Row],[Product_Code]],Product_Catalog!A:A,Product_Catalog!C:C)</f>
        <v>Accessories</v>
      </c>
      <c r="Q1125">
        <f>IF(Clean_Data[[#This Row],[Order_Date]]="","",YEAR(Clean_Data[[#This Row],[Order_Date]]))</f>
        <v>2025</v>
      </c>
      <c r="R1125" t="str">
        <f>TEXT(Clean_Data[[#This Row],[Order_Date]],"mmm")</f>
        <v>Oct</v>
      </c>
      <c r="S1125" t="str">
        <f>TEXT(Clean_Data[[#This Row],[Order_Date]],"mmm-yy")</f>
        <v>Oct-25</v>
      </c>
      <c r="V1125"/>
    </row>
    <row r="1126" spans="1:22" x14ac:dyDescent="0.25">
      <c r="A1126" t="s">
        <v>1207</v>
      </c>
      <c r="B1126" s="1">
        <v>45775</v>
      </c>
      <c r="C1126" t="s">
        <v>53</v>
      </c>
      <c r="D1126" t="s">
        <v>13</v>
      </c>
      <c r="E1126" t="s">
        <v>49</v>
      </c>
      <c r="F1126" t="s">
        <v>50</v>
      </c>
      <c r="G1126">
        <v>13</v>
      </c>
      <c r="H1126">
        <v>75000</v>
      </c>
      <c r="I1126">
        <v>52365</v>
      </c>
      <c r="J1126" t="s">
        <v>29</v>
      </c>
      <c r="K1126" t="s">
        <v>23</v>
      </c>
      <c r="L1126">
        <f>SUM(Clean_Data[[#This Row],[Units_Sold]]*Clean_Data[[#This Row],[Unit_Price]])</f>
        <v>975000</v>
      </c>
      <c r="M1126">
        <f>Clean_Data[[#This Row],[Units_Sold]]*Clean_Data[[#This Row],[Cost_Price]]</f>
        <v>680745</v>
      </c>
      <c r="N1126">
        <f>Clean_Data[[#This Row],[Total_Sales]]-Clean_Data[[#This Row],[Total_Cost]]</f>
        <v>294255</v>
      </c>
      <c r="O1126" s="2">
        <f>Clean_Data[[#This Row],[Profit]]/Clean_Data[[#This Row],[Total_Sales]]</f>
        <v>0.30180000000000001</v>
      </c>
      <c r="P1126" t="str">
        <f>_xlfn.XLOOKUP(Clean_Data[[#This Row],[Product_Code]],Product_Catalog!A:A,Product_Catalog!C:C)</f>
        <v>Electronics</v>
      </c>
      <c r="Q1126">
        <f>IF(Clean_Data[[#This Row],[Order_Date]]="","",YEAR(Clean_Data[[#This Row],[Order_Date]]))</f>
        <v>2025</v>
      </c>
      <c r="R1126" t="str">
        <f>TEXT(Clean_Data[[#This Row],[Order_Date]],"mmm")</f>
        <v>Apr</v>
      </c>
      <c r="S1126" t="str">
        <f>TEXT(Clean_Data[[#This Row],[Order_Date]],"mmm-yy")</f>
        <v>Apr-25</v>
      </c>
      <c r="V1126"/>
    </row>
    <row r="1127" spans="1:22" x14ac:dyDescent="0.25">
      <c r="A1127" t="s">
        <v>1208</v>
      </c>
      <c r="B1127" s="1">
        <v>45880</v>
      </c>
      <c r="C1127" t="s">
        <v>12</v>
      </c>
      <c r="D1127" t="s">
        <v>40</v>
      </c>
      <c r="E1127" t="s">
        <v>14</v>
      </c>
      <c r="F1127" t="s">
        <v>15</v>
      </c>
      <c r="G1127">
        <v>12</v>
      </c>
      <c r="H1127">
        <v>12500</v>
      </c>
      <c r="I1127">
        <v>7977</v>
      </c>
      <c r="J1127" t="s">
        <v>29</v>
      </c>
      <c r="K1127" t="s">
        <v>46</v>
      </c>
      <c r="L1127">
        <f>SUM(Clean_Data[[#This Row],[Units_Sold]]*Clean_Data[[#This Row],[Unit_Price]])</f>
        <v>150000</v>
      </c>
      <c r="M1127">
        <f>Clean_Data[[#This Row],[Units_Sold]]*Clean_Data[[#This Row],[Cost_Price]]</f>
        <v>95724</v>
      </c>
      <c r="N1127">
        <f>Clean_Data[[#This Row],[Total_Sales]]-Clean_Data[[#This Row],[Total_Cost]]</f>
        <v>54276</v>
      </c>
      <c r="O1127" s="2">
        <f>Clean_Data[[#This Row],[Profit]]/Clean_Data[[#This Row],[Total_Sales]]</f>
        <v>0.36183999999999999</v>
      </c>
      <c r="P1127" t="str">
        <f>_xlfn.XLOOKUP(Clean_Data[[#This Row],[Product_Code]],Product_Catalog!A:A,Product_Catalog!C:C)</f>
        <v>Accessories</v>
      </c>
      <c r="Q1127">
        <f>IF(Clean_Data[[#This Row],[Order_Date]]="","",YEAR(Clean_Data[[#This Row],[Order_Date]]))</f>
        <v>2025</v>
      </c>
      <c r="R1127" t="str">
        <f>TEXT(Clean_Data[[#This Row],[Order_Date]],"mmm")</f>
        <v>Aug</v>
      </c>
      <c r="S1127" t="str">
        <f>TEXT(Clean_Data[[#This Row],[Order_Date]],"mmm-yy")</f>
        <v>Aug-25</v>
      </c>
      <c r="V1127"/>
    </row>
    <row r="1128" spans="1:22" x14ac:dyDescent="0.25">
      <c r="A1128" t="s">
        <v>1209</v>
      </c>
      <c r="B1128" s="1">
        <v>46213</v>
      </c>
      <c r="C1128" t="s">
        <v>62</v>
      </c>
      <c r="D1128" t="s">
        <v>13</v>
      </c>
      <c r="E1128" t="s">
        <v>49</v>
      </c>
      <c r="F1128" t="s">
        <v>50</v>
      </c>
      <c r="G1128">
        <v>10</v>
      </c>
      <c r="H1128">
        <v>75000</v>
      </c>
      <c r="I1128">
        <v>48966</v>
      </c>
      <c r="J1128" t="s">
        <v>22</v>
      </c>
      <c r="K1128" t="s">
        <v>84</v>
      </c>
      <c r="L1128">
        <f>SUM(Clean_Data[[#This Row],[Units_Sold]]*Clean_Data[[#This Row],[Unit_Price]])</f>
        <v>750000</v>
      </c>
      <c r="M1128">
        <f>Clean_Data[[#This Row],[Units_Sold]]*Clean_Data[[#This Row],[Cost_Price]]</f>
        <v>489660</v>
      </c>
      <c r="N1128">
        <f>Clean_Data[[#This Row],[Total_Sales]]-Clean_Data[[#This Row],[Total_Cost]]</f>
        <v>260340</v>
      </c>
      <c r="O1128" s="2">
        <f>Clean_Data[[#This Row],[Profit]]/Clean_Data[[#This Row],[Total_Sales]]</f>
        <v>0.34711999999999998</v>
      </c>
      <c r="P1128" t="str">
        <f>_xlfn.XLOOKUP(Clean_Data[[#This Row],[Product_Code]],Product_Catalog!A:A,Product_Catalog!C:C)</f>
        <v>Electronics</v>
      </c>
      <c r="Q1128">
        <f>IF(Clean_Data[[#This Row],[Order_Date]]="","",YEAR(Clean_Data[[#This Row],[Order_Date]]))</f>
        <v>2026</v>
      </c>
      <c r="R1128" t="str">
        <f>TEXT(Clean_Data[[#This Row],[Order_Date]],"mmm")</f>
        <v>Jul</v>
      </c>
      <c r="S1128" t="str">
        <f>TEXT(Clean_Data[[#This Row],[Order_Date]],"mmm-yy")</f>
        <v>Jul-26</v>
      </c>
      <c r="V1128"/>
    </row>
    <row r="1129" spans="1:22" x14ac:dyDescent="0.25">
      <c r="A1129" t="s">
        <v>1210</v>
      </c>
      <c r="B1129" s="1">
        <v>45689</v>
      </c>
      <c r="C1129" t="s">
        <v>62</v>
      </c>
      <c r="D1129" t="s">
        <v>13</v>
      </c>
      <c r="E1129" t="s">
        <v>49</v>
      </c>
      <c r="F1129" t="s">
        <v>50</v>
      </c>
      <c r="G1129">
        <v>19</v>
      </c>
      <c r="H1129">
        <v>75000</v>
      </c>
      <c r="I1129">
        <v>50845</v>
      </c>
      <c r="J1129" t="s">
        <v>16</v>
      </c>
      <c r="K1129" t="s">
        <v>46</v>
      </c>
      <c r="L1129">
        <f>SUM(Clean_Data[[#This Row],[Units_Sold]]*Clean_Data[[#This Row],[Unit_Price]])</f>
        <v>1425000</v>
      </c>
      <c r="M1129">
        <f>Clean_Data[[#This Row],[Units_Sold]]*Clean_Data[[#This Row],[Cost_Price]]</f>
        <v>966055</v>
      </c>
      <c r="N1129">
        <f>Clean_Data[[#This Row],[Total_Sales]]-Clean_Data[[#This Row],[Total_Cost]]</f>
        <v>458945</v>
      </c>
      <c r="O1129" s="2">
        <f>Clean_Data[[#This Row],[Profit]]/Clean_Data[[#This Row],[Total_Sales]]</f>
        <v>0.32206666666666667</v>
      </c>
      <c r="P1129" t="str">
        <f>_xlfn.XLOOKUP(Clean_Data[[#This Row],[Product_Code]],Product_Catalog!A:A,Product_Catalog!C:C)</f>
        <v>Electronics</v>
      </c>
      <c r="Q1129">
        <f>IF(Clean_Data[[#This Row],[Order_Date]]="","",YEAR(Clean_Data[[#This Row],[Order_Date]]))</f>
        <v>2025</v>
      </c>
      <c r="R1129" t="str">
        <f>TEXT(Clean_Data[[#This Row],[Order_Date]],"mmm")</f>
        <v>Feb</v>
      </c>
      <c r="S1129" t="str">
        <f>TEXT(Clean_Data[[#This Row],[Order_Date]],"mmm-yy")</f>
        <v>Feb-25</v>
      </c>
      <c r="V1129"/>
    </row>
    <row r="1130" spans="1:22" x14ac:dyDescent="0.25">
      <c r="A1130" t="s">
        <v>1211</v>
      </c>
      <c r="B1130" s="1">
        <v>45924</v>
      </c>
      <c r="C1130" t="s">
        <v>19</v>
      </c>
      <c r="D1130" t="s">
        <v>26</v>
      </c>
      <c r="E1130" t="s">
        <v>49</v>
      </c>
      <c r="F1130" t="s">
        <v>50</v>
      </c>
      <c r="G1130">
        <v>6</v>
      </c>
      <c r="H1130">
        <v>75000</v>
      </c>
      <c r="I1130">
        <v>57032</v>
      </c>
      <c r="J1130" t="s">
        <v>16</v>
      </c>
      <c r="K1130" t="s">
        <v>23</v>
      </c>
      <c r="L1130">
        <f>SUM(Clean_Data[[#This Row],[Units_Sold]]*Clean_Data[[#This Row],[Unit_Price]])</f>
        <v>450000</v>
      </c>
      <c r="M1130">
        <f>Clean_Data[[#This Row],[Units_Sold]]*Clean_Data[[#This Row],[Cost_Price]]</f>
        <v>342192</v>
      </c>
      <c r="N1130">
        <f>Clean_Data[[#This Row],[Total_Sales]]-Clean_Data[[#This Row],[Total_Cost]]</f>
        <v>107808</v>
      </c>
      <c r="O1130" s="2">
        <f>Clean_Data[[#This Row],[Profit]]/Clean_Data[[#This Row],[Total_Sales]]</f>
        <v>0.23957333333333333</v>
      </c>
      <c r="P1130" t="str">
        <f>_xlfn.XLOOKUP(Clean_Data[[#This Row],[Product_Code]],Product_Catalog!A:A,Product_Catalog!C:C)</f>
        <v>Electronics</v>
      </c>
      <c r="Q1130">
        <f>IF(Clean_Data[[#This Row],[Order_Date]]="","",YEAR(Clean_Data[[#This Row],[Order_Date]]))</f>
        <v>2025</v>
      </c>
      <c r="R1130" t="str">
        <f>TEXT(Clean_Data[[#This Row],[Order_Date]],"mmm")</f>
        <v>Sep</v>
      </c>
      <c r="S1130" t="str">
        <f>TEXT(Clean_Data[[#This Row],[Order_Date]],"mmm-yy")</f>
        <v>Sep-25</v>
      </c>
      <c r="V1130"/>
    </row>
    <row r="1131" spans="1:22" x14ac:dyDescent="0.25">
      <c r="A1131" t="s">
        <v>1212</v>
      </c>
      <c r="B1131" s="1">
        <v>46150</v>
      </c>
      <c r="C1131" t="s">
        <v>44</v>
      </c>
      <c r="D1131" t="s">
        <v>33</v>
      </c>
      <c r="E1131" t="s">
        <v>41</v>
      </c>
      <c r="F1131" t="s">
        <v>42</v>
      </c>
      <c r="G1131">
        <v>12</v>
      </c>
      <c r="H1131">
        <v>28000</v>
      </c>
      <c r="I1131">
        <v>22026</v>
      </c>
      <c r="J1131" t="s">
        <v>29</v>
      </c>
      <c r="K1131" t="s">
        <v>46</v>
      </c>
      <c r="L1131">
        <f>SUM(Clean_Data[[#This Row],[Units_Sold]]*Clean_Data[[#This Row],[Unit_Price]])</f>
        <v>336000</v>
      </c>
      <c r="M1131">
        <f>Clean_Data[[#This Row],[Units_Sold]]*Clean_Data[[#This Row],[Cost_Price]]</f>
        <v>264312</v>
      </c>
      <c r="N1131">
        <f>Clean_Data[[#This Row],[Total_Sales]]-Clean_Data[[#This Row],[Total_Cost]]</f>
        <v>71688</v>
      </c>
      <c r="O1131" s="2">
        <f>Clean_Data[[#This Row],[Profit]]/Clean_Data[[#This Row],[Total_Sales]]</f>
        <v>0.21335714285714286</v>
      </c>
      <c r="P1131" t="str">
        <f>_xlfn.XLOOKUP(Clean_Data[[#This Row],[Product_Code]],Product_Catalog!A:A,Product_Catalog!C:C)</f>
        <v>Electronics</v>
      </c>
      <c r="Q1131">
        <f>IF(Clean_Data[[#This Row],[Order_Date]]="","",YEAR(Clean_Data[[#This Row],[Order_Date]]))</f>
        <v>2026</v>
      </c>
      <c r="R1131" t="str">
        <f>TEXT(Clean_Data[[#This Row],[Order_Date]],"mmm")</f>
        <v>May</v>
      </c>
      <c r="S1131" t="str">
        <f>TEXT(Clean_Data[[#This Row],[Order_Date]],"mmm-yy")</f>
        <v>May-26</v>
      </c>
      <c r="V1131"/>
    </row>
    <row r="1132" spans="1:22" x14ac:dyDescent="0.25">
      <c r="A1132" t="s">
        <v>1213</v>
      </c>
      <c r="B1132" s="1">
        <v>45733</v>
      </c>
      <c r="C1132" t="s">
        <v>44</v>
      </c>
      <c r="D1132" t="s">
        <v>40</v>
      </c>
      <c r="E1132" t="s">
        <v>27</v>
      </c>
      <c r="F1132" t="s">
        <v>28</v>
      </c>
      <c r="G1132">
        <v>19</v>
      </c>
      <c r="H1132">
        <v>14000</v>
      </c>
      <c r="I1132">
        <v>8985</v>
      </c>
      <c r="J1132" t="s">
        <v>16</v>
      </c>
      <c r="K1132" t="s">
        <v>17</v>
      </c>
      <c r="L1132">
        <f>SUM(Clean_Data[[#This Row],[Units_Sold]]*Clean_Data[[#This Row],[Unit_Price]])</f>
        <v>266000</v>
      </c>
      <c r="M1132">
        <f>Clean_Data[[#This Row],[Units_Sold]]*Clean_Data[[#This Row],[Cost_Price]]</f>
        <v>170715</v>
      </c>
      <c r="N1132">
        <f>Clean_Data[[#This Row],[Total_Sales]]-Clean_Data[[#This Row],[Total_Cost]]</f>
        <v>95285</v>
      </c>
      <c r="O1132" s="2">
        <f>Clean_Data[[#This Row],[Profit]]/Clean_Data[[#This Row],[Total_Sales]]</f>
        <v>0.35821428571428571</v>
      </c>
      <c r="P1132" t="str">
        <f>_xlfn.XLOOKUP(Clean_Data[[#This Row],[Product_Code]],Product_Catalog!A:A,Product_Catalog!C:C)</f>
        <v>Furniture</v>
      </c>
      <c r="Q1132">
        <f>IF(Clean_Data[[#This Row],[Order_Date]]="","",YEAR(Clean_Data[[#This Row],[Order_Date]]))</f>
        <v>2025</v>
      </c>
      <c r="R1132" t="str">
        <f>TEXT(Clean_Data[[#This Row],[Order_Date]],"mmm")</f>
        <v>Mar</v>
      </c>
      <c r="S1132" t="str">
        <f>TEXT(Clean_Data[[#This Row],[Order_Date]],"mmm-yy")</f>
        <v>Mar-25</v>
      </c>
      <c r="V1132"/>
    </row>
    <row r="1133" spans="1:22" x14ac:dyDescent="0.25">
      <c r="A1133" t="s">
        <v>1214</v>
      </c>
      <c r="B1133" s="1">
        <v>45873</v>
      </c>
      <c r="C1133" t="s">
        <v>25</v>
      </c>
      <c r="D1133" t="s">
        <v>36</v>
      </c>
      <c r="E1133" t="s">
        <v>14</v>
      </c>
      <c r="F1133" t="s">
        <v>15</v>
      </c>
      <c r="G1133">
        <v>16</v>
      </c>
      <c r="H1133">
        <v>12500</v>
      </c>
      <c r="I1133">
        <v>9512</v>
      </c>
      <c r="J1133" t="s">
        <v>29</v>
      </c>
      <c r="K1133" t="s">
        <v>46</v>
      </c>
      <c r="L1133">
        <f>SUM(Clean_Data[[#This Row],[Units_Sold]]*Clean_Data[[#This Row],[Unit_Price]])</f>
        <v>200000</v>
      </c>
      <c r="M1133">
        <f>Clean_Data[[#This Row],[Units_Sold]]*Clean_Data[[#This Row],[Cost_Price]]</f>
        <v>152192</v>
      </c>
      <c r="N1133">
        <f>Clean_Data[[#This Row],[Total_Sales]]-Clean_Data[[#This Row],[Total_Cost]]</f>
        <v>47808</v>
      </c>
      <c r="O1133" s="2">
        <f>Clean_Data[[#This Row],[Profit]]/Clean_Data[[#This Row],[Total_Sales]]</f>
        <v>0.23904</v>
      </c>
      <c r="P1133" t="str">
        <f>_xlfn.XLOOKUP(Clean_Data[[#This Row],[Product_Code]],Product_Catalog!A:A,Product_Catalog!C:C)</f>
        <v>Accessories</v>
      </c>
      <c r="Q1133">
        <f>IF(Clean_Data[[#This Row],[Order_Date]]="","",YEAR(Clean_Data[[#This Row],[Order_Date]]))</f>
        <v>2025</v>
      </c>
      <c r="R1133" t="str">
        <f>TEXT(Clean_Data[[#This Row],[Order_Date]],"mmm")</f>
        <v>Aug</v>
      </c>
      <c r="S1133" t="str">
        <f>TEXT(Clean_Data[[#This Row],[Order_Date]],"mmm-yy")</f>
        <v>Aug-25</v>
      </c>
      <c r="V1133"/>
    </row>
    <row r="1134" spans="1:22" x14ac:dyDescent="0.25">
      <c r="A1134" t="s">
        <v>1215</v>
      </c>
      <c r="B1134" s="1">
        <v>45992</v>
      </c>
      <c r="C1134" t="s">
        <v>44</v>
      </c>
      <c r="D1134" t="s">
        <v>13</v>
      </c>
      <c r="E1134" t="s">
        <v>49</v>
      </c>
      <c r="F1134" t="s">
        <v>50</v>
      </c>
      <c r="G1134">
        <v>13</v>
      </c>
      <c r="H1134">
        <v>75000</v>
      </c>
      <c r="I1134">
        <v>46609</v>
      </c>
      <c r="J1134" t="s">
        <v>29</v>
      </c>
      <c r="K1134" t="s">
        <v>46</v>
      </c>
      <c r="L1134">
        <f>SUM(Clean_Data[[#This Row],[Units_Sold]]*Clean_Data[[#This Row],[Unit_Price]])</f>
        <v>975000</v>
      </c>
      <c r="M1134">
        <f>Clean_Data[[#This Row],[Units_Sold]]*Clean_Data[[#This Row],[Cost_Price]]</f>
        <v>605917</v>
      </c>
      <c r="N1134">
        <f>Clean_Data[[#This Row],[Total_Sales]]-Clean_Data[[#This Row],[Total_Cost]]</f>
        <v>369083</v>
      </c>
      <c r="O1134" s="2">
        <f>Clean_Data[[#This Row],[Profit]]/Clean_Data[[#This Row],[Total_Sales]]</f>
        <v>0.37854666666666664</v>
      </c>
      <c r="P1134" t="str">
        <f>_xlfn.XLOOKUP(Clean_Data[[#This Row],[Product_Code]],Product_Catalog!A:A,Product_Catalog!C:C)</f>
        <v>Electronics</v>
      </c>
      <c r="Q1134">
        <f>IF(Clean_Data[[#This Row],[Order_Date]]="","",YEAR(Clean_Data[[#This Row],[Order_Date]]))</f>
        <v>2025</v>
      </c>
      <c r="R1134" t="str">
        <f>TEXT(Clean_Data[[#This Row],[Order_Date]],"mmm")</f>
        <v>Dec</v>
      </c>
      <c r="S1134" t="str">
        <f>TEXT(Clean_Data[[#This Row],[Order_Date]],"mmm-yy")</f>
        <v>Dec-25</v>
      </c>
      <c r="V1134"/>
    </row>
    <row r="1135" spans="1:22" x14ac:dyDescent="0.25">
      <c r="A1135" t="s">
        <v>1216</v>
      </c>
      <c r="B1135" s="1">
        <v>46075</v>
      </c>
      <c r="C1135" t="s">
        <v>73</v>
      </c>
      <c r="D1135" t="s">
        <v>36</v>
      </c>
      <c r="E1135" t="s">
        <v>63</v>
      </c>
      <c r="F1135" t="s">
        <v>59</v>
      </c>
      <c r="G1135">
        <v>19</v>
      </c>
      <c r="H1135">
        <v>4500</v>
      </c>
      <c r="I1135">
        <v>3350</v>
      </c>
      <c r="J1135" t="s">
        <v>16</v>
      </c>
      <c r="K1135" t="s">
        <v>23</v>
      </c>
      <c r="L1135">
        <f>SUM(Clean_Data[[#This Row],[Units_Sold]]*Clean_Data[[#This Row],[Unit_Price]])</f>
        <v>85500</v>
      </c>
      <c r="M1135">
        <f>Clean_Data[[#This Row],[Units_Sold]]*Clean_Data[[#This Row],[Cost_Price]]</f>
        <v>63650</v>
      </c>
      <c r="N1135">
        <f>Clean_Data[[#This Row],[Total_Sales]]-Clean_Data[[#This Row],[Total_Cost]]</f>
        <v>21850</v>
      </c>
      <c r="O1135" s="2">
        <f>Clean_Data[[#This Row],[Profit]]/Clean_Data[[#This Row],[Total_Sales]]</f>
        <v>0.25555555555555554</v>
      </c>
      <c r="P1135" t="str">
        <f>_xlfn.XLOOKUP(Clean_Data[[#This Row],[Product_Code]],Product_Catalog!A:A,Product_Catalog!C:C)</f>
        <v>Electronics</v>
      </c>
      <c r="Q1135">
        <f>IF(Clean_Data[[#This Row],[Order_Date]]="","",YEAR(Clean_Data[[#This Row],[Order_Date]]))</f>
        <v>2026</v>
      </c>
      <c r="R1135" t="str">
        <f>TEXT(Clean_Data[[#This Row],[Order_Date]],"mmm")</f>
        <v>Feb</v>
      </c>
      <c r="S1135" t="str">
        <f>TEXT(Clean_Data[[#This Row],[Order_Date]],"mmm-yy")</f>
        <v>Feb-26</v>
      </c>
      <c r="V1135"/>
    </row>
    <row r="1136" spans="1:22" x14ac:dyDescent="0.25">
      <c r="A1136" t="s">
        <v>1217</v>
      </c>
      <c r="B1136" s="1">
        <v>45912</v>
      </c>
      <c r="C1136" t="s">
        <v>19</v>
      </c>
      <c r="D1136" t="s">
        <v>13</v>
      </c>
      <c r="E1136" t="s">
        <v>41</v>
      </c>
      <c r="F1136" t="s">
        <v>42</v>
      </c>
      <c r="G1136">
        <v>2</v>
      </c>
      <c r="H1136">
        <v>28000</v>
      </c>
      <c r="I1136">
        <v>18943</v>
      </c>
      <c r="J1136" t="s">
        <v>22</v>
      </c>
      <c r="K1136" t="s">
        <v>17</v>
      </c>
      <c r="L1136">
        <f>SUM(Clean_Data[[#This Row],[Units_Sold]]*Clean_Data[[#This Row],[Unit_Price]])</f>
        <v>56000</v>
      </c>
      <c r="M1136">
        <f>Clean_Data[[#This Row],[Units_Sold]]*Clean_Data[[#This Row],[Cost_Price]]</f>
        <v>37886</v>
      </c>
      <c r="N1136">
        <f>Clean_Data[[#This Row],[Total_Sales]]-Clean_Data[[#This Row],[Total_Cost]]</f>
        <v>18114</v>
      </c>
      <c r="O1136" s="2">
        <f>Clean_Data[[#This Row],[Profit]]/Clean_Data[[#This Row],[Total_Sales]]</f>
        <v>0.3234642857142857</v>
      </c>
      <c r="P1136" t="str">
        <f>_xlfn.XLOOKUP(Clean_Data[[#This Row],[Product_Code]],Product_Catalog!A:A,Product_Catalog!C:C)</f>
        <v>Electronics</v>
      </c>
      <c r="Q1136">
        <f>IF(Clean_Data[[#This Row],[Order_Date]]="","",YEAR(Clean_Data[[#This Row],[Order_Date]]))</f>
        <v>2025</v>
      </c>
      <c r="R1136" t="str">
        <f>TEXT(Clean_Data[[#This Row],[Order_Date]],"mmm")</f>
        <v>Sep</v>
      </c>
      <c r="S1136" t="str">
        <f>TEXT(Clean_Data[[#This Row],[Order_Date]],"mmm-yy")</f>
        <v>Sep-25</v>
      </c>
      <c r="V1136"/>
    </row>
    <row r="1137" spans="1:22" x14ac:dyDescent="0.25">
      <c r="A1137" t="s">
        <v>1218</v>
      </c>
      <c r="B1137" s="1">
        <v>45967</v>
      </c>
      <c r="C1137" t="s">
        <v>12</v>
      </c>
      <c r="D1137" t="s">
        <v>36</v>
      </c>
      <c r="E1137" t="s">
        <v>37</v>
      </c>
      <c r="F1137" t="s">
        <v>38</v>
      </c>
      <c r="G1137">
        <v>10</v>
      </c>
      <c r="H1137">
        <v>55000</v>
      </c>
      <c r="I1137">
        <v>39012</v>
      </c>
      <c r="J1137" t="s">
        <v>29</v>
      </c>
      <c r="K1137" t="s">
        <v>17</v>
      </c>
      <c r="L1137">
        <f>SUM(Clean_Data[[#This Row],[Units_Sold]]*Clean_Data[[#This Row],[Unit_Price]])</f>
        <v>550000</v>
      </c>
      <c r="M1137">
        <f>Clean_Data[[#This Row],[Units_Sold]]*Clean_Data[[#This Row],[Cost_Price]]</f>
        <v>390120</v>
      </c>
      <c r="N1137">
        <f>Clean_Data[[#This Row],[Total_Sales]]-Clean_Data[[#This Row],[Total_Cost]]</f>
        <v>159880</v>
      </c>
      <c r="O1137" s="2">
        <f>Clean_Data[[#This Row],[Profit]]/Clean_Data[[#This Row],[Total_Sales]]</f>
        <v>0.29069090909090911</v>
      </c>
      <c r="P1137" t="str">
        <f>_xlfn.XLOOKUP(Clean_Data[[#This Row],[Product_Code]],Product_Catalog!A:A,Product_Catalog!C:C)</f>
        <v>Electronics</v>
      </c>
      <c r="Q1137">
        <f>IF(Clean_Data[[#This Row],[Order_Date]]="","",YEAR(Clean_Data[[#This Row],[Order_Date]]))</f>
        <v>2025</v>
      </c>
      <c r="R1137" t="str">
        <f>TEXT(Clean_Data[[#This Row],[Order_Date]],"mmm")</f>
        <v>Nov</v>
      </c>
      <c r="S1137" t="str">
        <f>TEXT(Clean_Data[[#This Row],[Order_Date]],"mmm-yy")</f>
        <v>Nov-25</v>
      </c>
      <c r="V1137"/>
    </row>
    <row r="1138" spans="1:22" x14ac:dyDescent="0.25">
      <c r="A1138" t="s">
        <v>1219</v>
      </c>
      <c r="B1138" s="1">
        <v>45946</v>
      </c>
      <c r="C1138" t="s">
        <v>12</v>
      </c>
      <c r="D1138" t="s">
        <v>26</v>
      </c>
      <c r="E1138" t="s">
        <v>49</v>
      </c>
      <c r="F1138" t="s">
        <v>50</v>
      </c>
      <c r="G1138">
        <v>17</v>
      </c>
      <c r="H1138">
        <v>75000</v>
      </c>
      <c r="I1138">
        <v>57105</v>
      </c>
      <c r="J1138" t="s">
        <v>29</v>
      </c>
      <c r="K1138" t="s">
        <v>23</v>
      </c>
      <c r="L1138">
        <f>SUM(Clean_Data[[#This Row],[Units_Sold]]*Clean_Data[[#This Row],[Unit_Price]])</f>
        <v>1275000</v>
      </c>
      <c r="M1138">
        <f>Clean_Data[[#This Row],[Units_Sold]]*Clean_Data[[#This Row],[Cost_Price]]</f>
        <v>970785</v>
      </c>
      <c r="N1138">
        <f>Clean_Data[[#This Row],[Total_Sales]]-Clean_Data[[#This Row],[Total_Cost]]</f>
        <v>304215</v>
      </c>
      <c r="O1138" s="2">
        <f>Clean_Data[[#This Row],[Profit]]/Clean_Data[[#This Row],[Total_Sales]]</f>
        <v>0.23860000000000001</v>
      </c>
      <c r="P1138" t="str">
        <f>_xlfn.XLOOKUP(Clean_Data[[#This Row],[Product_Code]],Product_Catalog!A:A,Product_Catalog!C:C)</f>
        <v>Electronics</v>
      </c>
      <c r="Q1138">
        <f>IF(Clean_Data[[#This Row],[Order_Date]]="","",YEAR(Clean_Data[[#This Row],[Order_Date]]))</f>
        <v>2025</v>
      </c>
      <c r="R1138" t="str">
        <f>TEXT(Clean_Data[[#This Row],[Order_Date]],"mmm")</f>
        <v>Oct</v>
      </c>
      <c r="S1138" t="str">
        <f>TEXT(Clean_Data[[#This Row],[Order_Date]],"mmm-yy")</f>
        <v>Oct-25</v>
      </c>
      <c r="V1138"/>
    </row>
    <row r="1139" spans="1:22" x14ac:dyDescent="0.25">
      <c r="A1139" t="s">
        <v>1220</v>
      </c>
      <c r="B1139" s="1">
        <v>45926</v>
      </c>
      <c r="C1139" t="s">
        <v>19</v>
      </c>
      <c r="D1139" t="s">
        <v>40</v>
      </c>
      <c r="E1139" t="s">
        <v>49</v>
      </c>
      <c r="F1139" t="s">
        <v>50</v>
      </c>
      <c r="G1139">
        <v>4</v>
      </c>
      <c r="H1139">
        <v>75000</v>
      </c>
      <c r="I1139">
        <v>46636</v>
      </c>
      <c r="J1139" t="s">
        <v>29</v>
      </c>
      <c r="K1139" t="s">
        <v>23</v>
      </c>
      <c r="L1139">
        <f>SUM(Clean_Data[[#This Row],[Units_Sold]]*Clean_Data[[#This Row],[Unit_Price]])</f>
        <v>300000</v>
      </c>
      <c r="M1139">
        <f>Clean_Data[[#This Row],[Units_Sold]]*Clean_Data[[#This Row],[Cost_Price]]</f>
        <v>186544</v>
      </c>
      <c r="N1139">
        <f>Clean_Data[[#This Row],[Total_Sales]]-Clean_Data[[#This Row],[Total_Cost]]</f>
        <v>113456</v>
      </c>
      <c r="O1139" s="2">
        <f>Clean_Data[[#This Row],[Profit]]/Clean_Data[[#This Row],[Total_Sales]]</f>
        <v>0.37818666666666667</v>
      </c>
      <c r="P1139" t="str">
        <f>_xlfn.XLOOKUP(Clean_Data[[#This Row],[Product_Code]],Product_Catalog!A:A,Product_Catalog!C:C)</f>
        <v>Electronics</v>
      </c>
      <c r="Q1139">
        <f>IF(Clean_Data[[#This Row],[Order_Date]]="","",YEAR(Clean_Data[[#This Row],[Order_Date]]))</f>
        <v>2025</v>
      </c>
      <c r="R1139" t="str">
        <f>TEXT(Clean_Data[[#This Row],[Order_Date]],"mmm")</f>
        <v>Sep</v>
      </c>
      <c r="S1139" t="str">
        <f>TEXT(Clean_Data[[#This Row],[Order_Date]],"mmm-yy")</f>
        <v>Sep-25</v>
      </c>
      <c r="V1139"/>
    </row>
    <row r="1140" spans="1:22" x14ac:dyDescent="0.25">
      <c r="A1140" t="s">
        <v>1221</v>
      </c>
      <c r="B1140" s="1">
        <v>46190</v>
      </c>
      <c r="C1140" t="s">
        <v>48</v>
      </c>
      <c r="D1140" t="s">
        <v>13</v>
      </c>
      <c r="E1140" t="s">
        <v>63</v>
      </c>
      <c r="F1140" t="s">
        <v>59</v>
      </c>
      <c r="G1140">
        <v>17</v>
      </c>
      <c r="H1140">
        <v>4500</v>
      </c>
      <c r="I1140">
        <v>3436</v>
      </c>
      <c r="J1140" t="s">
        <v>16</v>
      </c>
      <c r="K1140" t="s">
        <v>46</v>
      </c>
      <c r="L1140">
        <f>SUM(Clean_Data[[#This Row],[Units_Sold]]*Clean_Data[[#This Row],[Unit_Price]])</f>
        <v>76500</v>
      </c>
      <c r="M1140">
        <f>Clean_Data[[#This Row],[Units_Sold]]*Clean_Data[[#This Row],[Cost_Price]]</f>
        <v>58412</v>
      </c>
      <c r="N1140">
        <f>Clean_Data[[#This Row],[Total_Sales]]-Clean_Data[[#This Row],[Total_Cost]]</f>
        <v>18088</v>
      </c>
      <c r="O1140" s="2">
        <f>Clean_Data[[#This Row],[Profit]]/Clean_Data[[#This Row],[Total_Sales]]</f>
        <v>0.23644444444444446</v>
      </c>
      <c r="P1140" t="str">
        <f>_xlfn.XLOOKUP(Clean_Data[[#This Row],[Product_Code]],Product_Catalog!A:A,Product_Catalog!C:C)</f>
        <v>Electronics</v>
      </c>
      <c r="Q1140">
        <f>IF(Clean_Data[[#This Row],[Order_Date]]="","",YEAR(Clean_Data[[#This Row],[Order_Date]]))</f>
        <v>2026</v>
      </c>
      <c r="R1140" t="str">
        <f>TEXT(Clean_Data[[#This Row],[Order_Date]],"mmm")</f>
        <v>Jun</v>
      </c>
      <c r="S1140" t="str">
        <f>TEXT(Clean_Data[[#This Row],[Order_Date]],"mmm-yy")</f>
        <v>Jun-26</v>
      </c>
      <c r="V1140"/>
    </row>
    <row r="1141" spans="1:22" x14ac:dyDescent="0.25">
      <c r="A1141" t="s">
        <v>1222</v>
      </c>
      <c r="B1141" s="1">
        <v>45698</v>
      </c>
      <c r="C1141" t="s">
        <v>44</v>
      </c>
      <c r="D1141" t="s">
        <v>40</v>
      </c>
      <c r="E1141" t="s">
        <v>27</v>
      </c>
      <c r="F1141" t="s">
        <v>28</v>
      </c>
      <c r="G1141">
        <v>17</v>
      </c>
      <c r="H1141">
        <v>14000</v>
      </c>
      <c r="I1141">
        <v>8865</v>
      </c>
      <c r="J1141" t="s">
        <v>29</v>
      </c>
      <c r="K1141" t="s">
        <v>17</v>
      </c>
      <c r="L1141">
        <f>SUM(Clean_Data[[#This Row],[Units_Sold]]*Clean_Data[[#This Row],[Unit_Price]])</f>
        <v>238000</v>
      </c>
      <c r="M1141">
        <f>Clean_Data[[#This Row],[Units_Sold]]*Clean_Data[[#This Row],[Cost_Price]]</f>
        <v>150705</v>
      </c>
      <c r="N1141">
        <f>Clean_Data[[#This Row],[Total_Sales]]-Clean_Data[[#This Row],[Total_Cost]]</f>
        <v>87295</v>
      </c>
      <c r="O1141" s="2">
        <f>Clean_Data[[#This Row],[Profit]]/Clean_Data[[#This Row],[Total_Sales]]</f>
        <v>0.36678571428571427</v>
      </c>
      <c r="P1141" t="str">
        <f>_xlfn.XLOOKUP(Clean_Data[[#This Row],[Product_Code]],Product_Catalog!A:A,Product_Catalog!C:C)</f>
        <v>Furniture</v>
      </c>
      <c r="Q1141">
        <f>IF(Clean_Data[[#This Row],[Order_Date]]="","",YEAR(Clean_Data[[#This Row],[Order_Date]]))</f>
        <v>2025</v>
      </c>
      <c r="R1141" t="str">
        <f>TEXT(Clean_Data[[#This Row],[Order_Date]],"mmm")</f>
        <v>Feb</v>
      </c>
      <c r="S1141" t="str">
        <f>TEXT(Clean_Data[[#This Row],[Order_Date]],"mmm-yy")</f>
        <v>Feb-25</v>
      </c>
      <c r="V1141"/>
    </row>
    <row r="1142" spans="1:22" x14ac:dyDescent="0.25">
      <c r="A1142" t="s">
        <v>1223</v>
      </c>
      <c r="B1142" s="1">
        <v>46238</v>
      </c>
      <c r="C1142" t="s">
        <v>48</v>
      </c>
      <c r="D1142" t="s">
        <v>33</v>
      </c>
      <c r="E1142" t="s">
        <v>66</v>
      </c>
      <c r="F1142" t="s">
        <v>67</v>
      </c>
      <c r="G1142">
        <v>13</v>
      </c>
      <c r="H1142">
        <v>2500</v>
      </c>
      <c r="I1142">
        <v>1644</v>
      </c>
      <c r="J1142" t="s">
        <v>45</v>
      </c>
      <c r="K1142" t="s">
        <v>23</v>
      </c>
      <c r="L1142">
        <f>SUM(Clean_Data[[#This Row],[Units_Sold]]*Clean_Data[[#This Row],[Unit_Price]])</f>
        <v>32500</v>
      </c>
      <c r="M1142">
        <f>Clean_Data[[#This Row],[Units_Sold]]*Clean_Data[[#This Row],[Cost_Price]]</f>
        <v>21372</v>
      </c>
      <c r="N1142">
        <f>Clean_Data[[#This Row],[Total_Sales]]-Clean_Data[[#This Row],[Total_Cost]]</f>
        <v>11128</v>
      </c>
      <c r="O1142" s="2">
        <f>Clean_Data[[#This Row],[Profit]]/Clean_Data[[#This Row],[Total_Sales]]</f>
        <v>0.34239999999999998</v>
      </c>
      <c r="P1142" t="str">
        <f>_xlfn.XLOOKUP(Clean_Data[[#This Row],[Product_Code]],Product_Catalog!A:A,Product_Catalog!C:C)</f>
        <v>Electronics</v>
      </c>
      <c r="Q1142">
        <f>IF(Clean_Data[[#This Row],[Order_Date]]="","",YEAR(Clean_Data[[#This Row],[Order_Date]]))</f>
        <v>2026</v>
      </c>
      <c r="R1142" t="str">
        <f>TEXT(Clean_Data[[#This Row],[Order_Date]],"mmm")</f>
        <v>Aug</v>
      </c>
      <c r="S1142" t="str">
        <f>TEXT(Clean_Data[[#This Row],[Order_Date]],"mmm-yy")</f>
        <v>Aug-26</v>
      </c>
      <c r="V1142"/>
    </row>
    <row r="1143" spans="1:22" x14ac:dyDescent="0.25">
      <c r="A1143" t="s">
        <v>1224</v>
      </c>
      <c r="B1143" s="1">
        <v>46162</v>
      </c>
      <c r="C1143" t="s">
        <v>25</v>
      </c>
      <c r="D1143" t="s">
        <v>40</v>
      </c>
      <c r="E1143" t="s">
        <v>55</v>
      </c>
      <c r="F1143" t="s">
        <v>34</v>
      </c>
      <c r="G1143">
        <v>12</v>
      </c>
      <c r="H1143">
        <v>35000</v>
      </c>
      <c r="I1143">
        <v>24818</v>
      </c>
      <c r="J1143" t="s">
        <v>29</v>
      </c>
      <c r="K1143" t="s">
        <v>46</v>
      </c>
      <c r="L1143">
        <f>SUM(Clean_Data[[#This Row],[Units_Sold]]*Clean_Data[[#This Row],[Unit_Price]])</f>
        <v>420000</v>
      </c>
      <c r="M1143">
        <f>Clean_Data[[#This Row],[Units_Sold]]*Clean_Data[[#This Row],[Cost_Price]]</f>
        <v>297816</v>
      </c>
      <c r="N1143">
        <f>Clean_Data[[#This Row],[Total_Sales]]-Clean_Data[[#This Row],[Total_Cost]]</f>
        <v>122184</v>
      </c>
      <c r="O1143" s="2">
        <f>Clean_Data[[#This Row],[Profit]]/Clean_Data[[#This Row],[Total_Sales]]</f>
        <v>0.29091428571428574</v>
      </c>
      <c r="P1143" t="str">
        <f>_xlfn.XLOOKUP(Clean_Data[[#This Row],[Product_Code]],Product_Catalog!A:A,Product_Catalog!C:C)</f>
        <v>Furniture</v>
      </c>
      <c r="Q1143">
        <f>IF(Clean_Data[[#This Row],[Order_Date]]="","",YEAR(Clean_Data[[#This Row],[Order_Date]]))</f>
        <v>2026</v>
      </c>
      <c r="R1143" t="str">
        <f>TEXT(Clean_Data[[#This Row],[Order_Date]],"mmm")</f>
        <v>May</v>
      </c>
      <c r="S1143" t="str">
        <f>TEXT(Clean_Data[[#This Row],[Order_Date]],"mmm-yy")</f>
        <v>May-26</v>
      </c>
      <c r="V1143"/>
    </row>
    <row r="1144" spans="1:22" x14ac:dyDescent="0.25">
      <c r="A1144" t="s">
        <v>1225</v>
      </c>
      <c r="B1144" s="1">
        <v>46056</v>
      </c>
      <c r="C1144" t="s">
        <v>44</v>
      </c>
      <c r="D1144" t="s">
        <v>13</v>
      </c>
      <c r="E1144" t="s">
        <v>63</v>
      </c>
      <c r="F1144" t="s">
        <v>59</v>
      </c>
      <c r="G1144">
        <v>13</v>
      </c>
      <c r="H1144">
        <v>4500</v>
      </c>
      <c r="I1144">
        <v>3259</v>
      </c>
      <c r="J1144" t="s">
        <v>29</v>
      </c>
      <c r="K1144" t="s">
        <v>23</v>
      </c>
      <c r="L1144">
        <f>SUM(Clean_Data[[#This Row],[Units_Sold]]*Clean_Data[[#This Row],[Unit_Price]])</f>
        <v>58500</v>
      </c>
      <c r="M1144">
        <f>Clean_Data[[#This Row],[Units_Sold]]*Clean_Data[[#This Row],[Cost_Price]]</f>
        <v>42367</v>
      </c>
      <c r="N1144">
        <f>Clean_Data[[#This Row],[Total_Sales]]-Clean_Data[[#This Row],[Total_Cost]]</f>
        <v>16133</v>
      </c>
      <c r="O1144" s="2">
        <f>Clean_Data[[#This Row],[Profit]]/Clean_Data[[#This Row],[Total_Sales]]</f>
        <v>0.27577777777777779</v>
      </c>
      <c r="P1144" t="str">
        <f>_xlfn.XLOOKUP(Clean_Data[[#This Row],[Product_Code]],Product_Catalog!A:A,Product_Catalog!C:C)</f>
        <v>Electronics</v>
      </c>
      <c r="Q1144">
        <f>IF(Clean_Data[[#This Row],[Order_Date]]="","",YEAR(Clean_Data[[#This Row],[Order_Date]]))</f>
        <v>2026</v>
      </c>
      <c r="R1144" t="str">
        <f>TEXT(Clean_Data[[#This Row],[Order_Date]],"mmm")</f>
        <v>Feb</v>
      </c>
      <c r="S1144" t="str">
        <f>TEXT(Clean_Data[[#This Row],[Order_Date]],"mmm-yy")</f>
        <v>Feb-26</v>
      </c>
      <c r="V1144"/>
    </row>
    <row r="1145" spans="1:22" x14ac:dyDescent="0.25">
      <c r="A1145" t="s">
        <v>1226</v>
      </c>
      <c r="B1145" s="1">
        <v>45762</v>
      </c>
      <c r="C1145" t="s">
        <v>62</v>
      </c>
      <c r="D1145" t="s">
        <v>13</v>
      </c>
      <c r="E1145" t="s">
        <v>14</v>
      </c>
      <c r="F1145" t="s">
        <v>15</v>
      </c>
      <c r="G1145">
        <v>8</v>
      </c>
      <c r="H1145">
        <v>12500</v>
      </c>
      <c r="I1145">
        <v>8201</v>
      </c>
      <c r="J1145" t="s">
        <v>22</v>
      </c>
      <c r="K1145" t="s">
        <v>17</v>
      </c>
      <c r="L1145">
        <f>SUM(Clean_Data[[#This Row],[Units_Sold]]*Clean_Data[[#This Row],[Unit_Price]])</f>
        <v>100000</v>
      </c>
      <c r="M1145">
        <f>Clean_Data[[#This Row],[Units_Sold]]*Clean_Data[[#This Row],[Cost_Price]]</f>
        <v>65608</v>
      </c>
      <c r="N1145">
        <f>Clean_Data[[#This Row],[Total_Sales]]-Clean_Data[[#This Row],[Total_Cost]]</f>
        <v>34392</v>
      </c>
      <c r="O1145" s="2">
        <f>Clean_Data[[#This Row],[Profit]]/Clean_Data[[#This Row],[Total_Sales]]</f>
        <v>0.34392</v>
      </c>
      <c r="P1145" t="str">
        <f>_xlfn.XLOOKUP(Clean_Data[[#This Row],[Product_Code]],Product_Catalog!A:A,Product_Catalog!C:C)</f>
        <v>Accessories</v>
      </c>
      <c r="Q1145">
        <f>IF(Clean_Data[[#This Row],[Order_Date]]="","",YEAR(Clean_Data[[#This Row],[Order_Date]]))</f>
        <v>2025</v>
      </c>
      <c r="R1145" t="str">
        <f>TEXT(Clean_Data[[#This Row],[Order_Date]],"mmm")</f>
        <v>Apr</v>
      </c>
      <c r="S1145" t="str">
        <f>TEXT(Clean_Data[[#This Row],[Order_Date]],"mmm-yy")</f>
        <v>Apr-25</v>
      </c>
      <c r="V1145"/>
    </row>
    <row r="1146" spans="1:22" x14ac:dyDescent="0.25">
      <c r="A1146" t="s">
        <v>1227</v>
      </c>
      <c r="B1146" s="1">
        <v>46257</v>
      </c>
      <c r="C1146" t="s">
        <v>62</v>
      </c>
      <c r="D1146" t="s">
        <v>13</v>
      </c>
      <c r="E1146" t="s">
        <v>37</v>
      </c>
      <c r="F1146" t="s">
        <v>38</v>
      </c>
      <c r="G1146">
        <v>18</v>
      </c>
      <c r="H1146">
        <v>55000</v>
      </c>
      <c r="I1146">
        <v>43428</v>
      </c>
      <c r="J1146" t="s">
        <v>29</v>
      </c>
      <c r="K1146" t="s">
        <v>17</v>
      </c>
      <c r="L1146">
        <f>SUM(Clean_Data[[#This Row],[Units_Sold]]*Clean_Data[[#This Row],[Unit_Price]])</f>
        <v>990000</v>
      </c>
      <c r="M1146">
        <f>Clean_Data[[#This Row],[Units_Sold]]*Clean_Data[[#This Row],[Cost_Price]]</f>
        <v>781704</v>
      </c>
      <c r="N1146">
        <f>Clean_Data[[#This Row],[Total_Sales]]-Clean_Data[[#This Row],[Total_Cost]]</f>
        <v>208296</v>
      </c>
      <c r="O1146" s="2">
        <f>Clean_Data[[#This Row],[Profit]]/Clean_Data[[#This Row],[Total_Sales]]</f>
        <v>0.2104</v>
      </c>
      <c r="P1146" t="str">
        <f>_xlfn.XLOOKUP(Clean_Data[[#This Row],[Product_Code]],Product_Catalog!A:A,Product_Catalog!C:C)</f>
        <v>Electronics</v>
      </c>
      <c r="Q1146">
        <f>IF(Clean_Data[[#This Row],[Order_Date]]="","",YEAR(Clean_Data[[#This Row],[Order_Date]]))</f>
        <v>2026</v>
      </c>
      <c r="R1146" t="str">
        <f>TEXT(Clean_Data[[#This Row],[Order_Date]],"mmm")</f>
        <v>Aug</v>
      </c>
      <c r="S1146" t="str">
        <f>TEXT(Clean_Data[[#This Row],[Order_Date]],"mmm-yy")</f>
        <v>Aug-26</v>
      </c>
      <c r="V1146"/>
    </row>
    <row r="1147" spans="1:22" x14ac:dyDescent="0.25">
      <c r="A1147" t="s">
        <v>1228</v>
      </c>
      <c r="B1147" s="1">
        <v>46015</v>
      </c>
      <c r="C1147" t="s">
        <v>25</v>
      </c>
      <c r="D1147" t="s">
        <v>13</v>
      </c>
      <c r="E1147" t="s">
        <v>37</v>
      </c>
      <c r="F1147" t="s">
        <v>38</v>
      </c>
      <c r="G1147">
        <v>7</v>
      </c>
      <c r="H1147">
        <v>55000</v>
      </c>
      <c r="I1147">
        <v>36289</v>
      </c>
      <c r="J1147" t="s">
        <v>22</v>
      </c>
      <c r="K1147" t="s">
        <v>46</v>
      </c>
      <c r="L1147">
        <f>SUM(Clean_Data[[#This Row],[Units_Sold]]*Clean_Data[[#This Row],[Unit_Price]])</f>
        <v>385000</v>
      </c>
      <c r="M1147">
        <f>Clean_Data[[#This Row],[Units_Sold]]*Clean_Data[[#This Row],[Cost_Price]]</f>
        <v>254023</v>
      </c>
      <c r="N1147">
        <f>Clean_Data[[#This Row],[Total_Sales]]-Clean_Data[[#This Row],[Total_Cost]]</f>
        <v>130977</v>
      </c>
      <c r="O1147" s="2">
        <f>Clean_Data[[#This Row],[Profit]]/Clean_Data[[#This Row],[Total_Sales]]</f>
        <v>0.3402</v>
      </c>
      <c r="P1147" t="str">
        <f>_xlfn.XLOOKUP(Clean_Data[[#This Row],[Product_Code]],Product_Catalog!A:A,Product_Catalog!C:C)</f>
        <v>Electronics</v>
      </c>
      <c r="Q1147">
        <f>IF(Clean_Data[[#This Row],[Order_Date]]="","",YEAR(Clean_Data[[#This Row],[Order_Date]]))</f>
        <v>2025</v>
      </c>
      <c r="R1147" t="str">
        <f>TEXT(Clean_Data[[#This Row],[Order_Date]],"mmm")</f>
        <v>Dec</v>
      </c>
      <c r="S1147" t="str">
        <f>TEXT(Clean_Data[[#This Row],[Order_Date]],"mmm-yy")</f>
        <v>Dec-25</v>
      </c>
      <c r="V1147"/>
    </row>
    <row r="1148" spans="1:22" x14ac:dyDescent="0.25">
      <c r="A1148" t="s">
        <v>1230</v>
      </c>
      <c r="B1148" s="1">
        <v>45856</v>
      </c>
      <c r="C1148" t="s">
        <v>12</v>
      </c>
      <c r="D1148" t="s">
        <v>36</v>
      </c>
      <c r="E1148" t="s">
        <v>49</v>
      </c>
      <c r="F1148" t="s">
        <v>50</v>
      </c>
      <c r="G1148">
        <v>15</v>
      </c>
      <c r="H1148">
        <v>75000</v>
      </c>
      <c r="I1148">
        <v>51860</v>
      </c>
      <c r="J1148" t="s">
        <v>16</v>
      </c>
      <c r="K1148" t="s">
        <v>17</v>
      </c>
      <c r="L1148">
        <f>SUM(Clean_Data[[#This Row],[Units_Sold]]*Clean_Data[[#This Row],[Unit_Price]])</f>
        <v>1125000</v>
      </c>
      <c r="M1148">
        <f>Clean_Data[[#This Row],[Units_Sold]]*Clean_Data[[#This Row],[Cost_Price]]</f>
        <v>777900</v>
      </c>
      <c r="N1148">
        <f>Clean_Data[[#This Row],[Total_Sales]]-Clean_Data[[#This Row],[Total_Cost]]</f>
        <v>347100</v>
      </c>
      <c r="O1148" s="2">
        <f>Clean_Data[[#This Row],[Profit]]/Clean_Data[[#This Row],[Total_Sales]]</f>
        <v>0.30853333333333333</v>
      </c>
      <c r="P1148" t="str">
        <f>_xlfn.XLOOKUP(Clean_Data[[#This Row],[Product_Code]],Product_Catalog!A:A,Product_Catalog!C:C)</f>
        <v>Electronics</v>
      </c>
      <c r="Q1148">
        <f>IF(Clean_Data[[#This Row],[Order_Date]]="","",YEAR(Clean_Data[[#This Row],[Order_Date]]))</f>
        <v>2025</v>
      </c>
      <c r="R1148" t="str">
        <f>TEXT(Clean_Data[[#This Row],[Order_Date]],"mmm")</f>
        <v>Jul</v>
      </c>
      <c r="S1148" t="str">
        <f>TEXT(Clean_Data[[#This Row],[Order_Date]],"mmm-yy")</f>
        <v>Jul-25</v>
      </c>
      <c r="V1148"/>
    </row>
    <row r="1149" spans="1:22" x14ac:dyDescent="0.25">
      <c r="A1149" t="s">
        <v>1231</v>
      </c>
      <c r="B1149" s="1">
        <v>45923</v>
      </c>
      <c r="C1149" t="s">
        <v>12</v>
      </c>
      <c r="D1149" t="s">
        <v>13</v>
      </c>
      <c r="E1149" t="s">
        <v>14</v>
      </c>
      <c r="F1149" t="s">
        <v>15</v>
      </c>
      <c r="G1149">
        <v>19</v>
      </c>
      <c r="H1149">
        <v>12500</v>
      </c>
      <c r="I1149">
        <v>9992</v>
      </c>
      <c r="J1149" t="s">
        <v>16</v>
      </c>
      <c r="K1149" t="s">
        <v>17</v>
      </c>
      <c r="L1149">
        <f>SUM(Clean_Data[[#This Row],[Units_Sold]]*Clean_Data[[#This Row],[Unit_Price]])</f>
        <v>237500</v>
      </c>
      <c r="M1149">
        <f>Clean_Data[[#This Row],[Units_Sold]]*Clean_Data[[#This Row],[Cost_Price]]</f>
        <v>189848</v>
      </c>
      <c r="N1149">
        <f>Clean_Data[[#This Row],[Total_Sales]]-Clean_Data[[#This Row],[Total_Cost]]</f>
        <v>47652</v>
      </c>
      <c r="O1149" s="2">
        <f>Clean_Data[[#This Row],[Profit]]/Clean_Data[[#This Row],[Total_Sales]]</f>
        <v>0.20064000000000001</v>
      </c>
      <c r="P1149" t="str">
        <f>_xlfn.XLOOKUP(Clean_Data[[#This Row],[Product_Code]],Product_Catalog!A:A,Product_Catalog!C:C)</f>
        <v>Accessories</v>
      </c>
      <c r="Q1149">
        <f>IF(Clean_Data[[#This Row],[Order_Date]]="","",YEAR(Clean_Data[[#This Row],[Order_Date]]))</f>
        <v>2025</v>
      </c>
      <c r="R1149" t="str">
        <f>TEXT(Clean_Data[[#This Row],[Order_Date]],"mmm")</f>
        <v>Sep</v>
      </c>
      <c r="S1149" t="str">
        <f>TEXT(Clean_Data[[#This Row],[Order_Date]],"mmm-yy")</f>
        <v>Sep-25</v>
      </c>
      <c r="V1149"/>
    </row>
    <row r="1150" spans="1:22" x14ac:dyDescent="0.25">
      <c r="A1150" t="s">
        <v>1232</v>
      </c>
      <c r="B1150" s="1">
        <v>46204</v>
      </c>
      <c r="C1150" t="s">
        <v>73</v>
      </c>
      <c r="D1150" t="s">
        <v>40</v>
      </c>
      <c r="E1150" t="s">
        <v>27</v>
      </c>
      <c r="F1150" t="s">
        <v>28</v>
      </c>
      <c r="G1150">
        <v>10</v>
      </c>
      <c r="H1150">
        <v>14000</v>
      </c>
      <c r="I1150">
        <v>9983</v>
      </c>
      <c r="J1150" t="s">
        <v>29</v>
      </c>
      <c r="K1150" t="s">
        <v>23</v>
      </c>
      <c r="L1150">
        <f>SUM(Clean_Data[[#This Row],[Units_Sold]]*Clean_Data[[#This Row],[Unit_Price]])</f>
        <v>140000</v>
      </c>
      <c r="M1150">
        <f>Clean_Data[[#This Row],[Units_Sold]]*Clean_Data[[#This Row],[Cost_Price]]</f>
        <v>99830</v>
      </c>
      <c r="N1150">
        <f>Clean_Data[[#This Row],[Total_Sales]]-Clean_Data[[#This Row],[Total_Cost]]</f>
        <v>40170</v>
      </c>
      <c r="O1150" s="2">
        <f>Clean_Data[[#This Row],[Profit]]/Clean_Data[[#This Row],[Total_Sales]]</f>
        <v>0.28692857142857142</v>
      </c>
      <c r="P1150" t="str">
        <f>_xlfn.XLOOKUP(Clean_Data[[#This Row],[Product_Code]],Product_Catalog!A:A,Product_Catalog!C:C)</f>
        <v>Furniture</v>
      </c>
      <c r="Q1150">
        <f>IF(Clean_Data[[#This Row],[Order_Date]]="","",YEAR(Clean_Data[[#This Row],[Order_Date]]))</f>
        <v>2026</v>
      </c>
      <c r="R1150" t="str">
        <f>TEXT(Clean_Data[[#This Row],[Order_Date]],"mmm")</f>
        <v>Jul</v>
      </c>
      <c r="S1150" t="str">
        <f>TEXT(Clean_Data[[#This Row],[Order_Date]],"mmm-yy")</f>
        <v>Jul-26</v>
      </c>
      <c r="V1150"/>
    </row>
    <row r="1151" spans="1:22" x14ac:dyDescent="0.25">
      <c r="A1151" t="s">
        <v>1233</v>
      </c>
      <c r="B1151" s="1">
        <v>46092</v>
      </c>
      <c r="C1151" t="s">
        <v>73</v>
      </c>
      <c r="D1151" t="s">
        <v>36</v>
      </c>
      <c r="E1151" t="s">
        <v>49</v>
      </c>
      <c r="F1151" t="s">
        <v>50</v>
      </c>
      <c r="G1151">
        <v>14</v>
      </c>
      <c r="H1151">
        <v>75000</v>
      </c>
      <c r="I1151">
        <v>58668</v>
      </c>
      <c r="J1151" t="s">
        <v>29</v>
      </c>
      <c r="K1151" t="s">
        <v>17</v>
      </c>
      <c r="L1151">
        <f>SUM(Clean_Data[[#This Row],[Units_Sold]]*Clean_Data[[#This Row],[Unit_Price]])</f>
        <v>1050000</v>
      </c>
      <c r="M1151">
        <f>Clean_Data[[#This Row],[Units_Sold]]*Clean_Data[[#This Row],[Cost_Price]]</f>
        <v>821352</v>
      </c>
      <c r="N1151">
        <f>Clean_Data[[#This Row],[Total_Sales]]-Clean_Data[[#This Row],[Total_Cost]]</f>
        <v>228648</v>
      </c>
      <c r="O1151" s="2">
        <f>Clean_Data[[#This Row],[Profit]]/Clean_Data[[#This Row],[Total_Sales]]</f>
        <v>0.21776000000000001</v>
      </c>
      <c r="P1151" t="str">
        <f>_xlfn.XLOOKUP(Clean_Data[[#This Row],[Product_Code]],Product_Catalog!A:A,Product_Catalog!C:C)</f>
        <v>Electronics</v>
      </c>
      <c r="Q1151">
        <f>IF(Clean_Data[[#This Row],[Order_Date]]="","",YEAR(Clean_Data[[#This Row],[Order_Date]]))</f>
        <v>2026</v>
      </c>
      <c r="R1151" t="str">
        <f>TEXT(Clean_Data[[#This Row],[Order_Date]],"mmm")</f>
        <v>Mar</v>
      </c>
      <c r="S1151" t="str">
        <f>TEXT(Clean_Data[[#This Row],[Order_Date]],"mmm-yy")</f>
        <v>Mar-26</v>
      </c>
      <c r="V1151"/>
    </row>
    <row r="1152" spans="1:22" x14ac:dyDescent="0.25">
      <c r="A1152" t="s">
        <v>1234</v>
      </c>
      <c r="B1152" s="1">
        <v>46238</v>
      </c>
      <c r="C1152" t="s">
        <v>44</v>
      </c>
      <c r="D1152" t="s">
        <v>26</v>
      </c>
      <c r="E1152" t="s">
        <v>14</v>
      </c>
      <c r="F1152" t="s">
        <v>15</v>
      </c>
      <c r="G1152">
        <v>1</v>
      </c>
      <c r="H1152">
        <v>12500</v>
      </c>
      <c r="I1152">
        <v>7849</v>
      </c>
      <c r="J1152" t="s">
        <v>29</v>
      </c>
      <c r="K1152" t="s">
        <v>23</v>
      </c>
      <c r="L1152">
        <f>SUM(Clean_Data[[#This Row],[Units_Sold]]*Clean_Data[[#This Row],[Unit_Price]])</f>
        <v>12500</v>
      </c>
      <c r="M1152">
        <f>Clean_Data[[#This Row],[Units_Sold]]*Clean_Data[[#This Row],[Cost_Price]]</f>
        <v>7849</v>
      </c>
      <c r="N1152">
        <f>Clean_Data[[#This Row],[Total_Sales]]-Clean_Data[[#This Row],[Total_Cost]]</f>
        <v>4651</v>
      </c>
      <c r="O1152" s="2">
        <f>Clean_Data[[#This Row],[Profit]]/Clean_Data[[#This Row],[Total_Sales]]</f>
        <v>0.37208000000000002</v>
      </c>
      <c r="P1152" t="str">
        <f>_xlfn.XLOOKUP(Clean_Data[[#This Row],[Product_Code]],Product_Catalog!A:A,Product_Catalog!C:C)</f>
        <v>Accessories</v>
      </c>
      <c r="Q1152">
        <f>IF(Clean_Data[[#This Row],[Order_Date]]="","",YEAR(Clean_Data[[#This Row],[Order_Date]]))</f>
        <v>2026</v>
      </c>
      <c r="R1152" t="str">
        <f>TEXT(Clean_Data[[#This Row],[Order_Date]],"mmm")</f>
        <v>Aug</v>
      </c>
      <c r="S1152" t="str">
        <f>TEXT(Clean_Data[[#This Row],[Order_Date]],"mmm-yy")</f>
        <v>Aug-26</v>
      </c>
      <c r="V1152"/>
    </row>
    <row r="1153" spans="1:22" x14ac:dyDescent="0.25">
      <c r="A1153" t="s">
        <v>1235</v>
      </c>
      <c r="B1153" s="1">
        <v>46000</v>
      </c>
      <c r="C1153" t="s">
        <v>48</v>
      </c>
      <c r="D1153" t="s">
        <v>40</v>
      </c>
      <c r="E1153" t="s">
        <v>66</v>
      </c>
      <c r="F1153" t="s">
        <v>67</v>
      </c>
      <c r="G1153">
        <v>19</v>
      </c>
      <c r="H1153">
        <v>2500</v>
      </c>
      <c r="I1153">
        <v>1935</v>
      </c>
      <c r="J1153" t="s">
        <v>45</v>
      </c>
      <c r="K1153" t="s">
        <v>23</v>
      </c>
      <c r="L1153">
        <f>SUM(Clean_Data[[#This Row],[Units_Sold]]*Clean_Data[[#This Row],[Unit_Price]])</f>
        <v>47500</v>
      </c>
      <c r="M1153">
        <f>Clean_Data[[#This Row],[Units_Sold]]*Clean_Data[[#This Row],[Cost_Price]]</f>
        <v>36765</v>
      </c>
      <c r="N1153">
        <f>Clean_Data[[#This Row],[Total_Sales]]-Clean_Data[[#This Row],[Total_Cost]]</f>
        <v>10735</v>
      </c>
      <c r="O1153" s="2">
        <f>Clean_Data[[#This Row],[Profit]]/Clean_Data[[#This Row],[Total_Sales]]</f>
        <v>0.22600000000000001</v>
      </c>
      <c r="P1153" t="str">
        <f>_xlfn.XLOOKUP(Clean_Data[[#This Row],[Product_Code]],Product_Catalog!A:A,Product_Catalog!C:C)</f>
        <v>Electronics</v>
      </c>
      <c r="Q1153">
        <f>IF(Clean_Data[[#This Row],[Order_Date]]="","",YEAR(Clean_Data[[#This Row],[Order_Date]]))</f>
        <v>2025</v>
      </c>
      <c r="R1153" t="str">
        <f>TEXT(Clean_Data[[#This Row],[Order_Date]],"mmm")</f>
        <v>Dec</v>
      </c>
      <c r="S1153" t="str">
        <f>TEXT(Clean_Data[[#This Row],[Order_Date]],"mmm-yy")</f>
        <v>Dec-25</v>
      </c>
      <c r="V1153"/>
    </row>
    <row r="1154" spans="1:22" x14ac:dyDescent="0.25">
      <c r="A1154" t="s">
        <v>1236</v>
      </c>
      <c r="B1154" s="1">
        <v>45939</v>
      </c>
      <c r="C1154" t="s">
        <v>44</v>
      </c>
      <c r="D1154" t="s">
        <v>40</v>
      </c>
      <c r="E1154" t="s">
        <v>20</v>
      </c>
      <c r="F1154" t="s">
        <v>21</v>
      </c>
      <c r="G1154">
        <v>11</v>
      </c>
      <c r="H1154">
        <v>8500</v>
      </c>
      <c r="I1154">
        <v>5600</v>
      </c>
      <c r="J1154" t="s">
        <v>29</v>
      </c>
      <c r="K1154" t="s">
        <v>17</v>
      </c>
      <c r="L1154">
        <f>SUM(Clean_Data[[#This Row],[Units_Sold]]*Clean_Data[[#This Row],[Unit_Price]])</f>
        <v>93500</v>
      </c>
      <c r="M1154">
        <f>Clean_Data[[#This Row],[Units_Sold]]*Clean_Data[[#This Row],[Cost_Price]]</f>
        <v>61600</v>
      </c>
      <c r="N1154">
        <f>Clean_Data[[#This Row],[Total_Sales]]-Clean_Data[[#This Row],[Total_Cost]]</f>
        <v>31900</v>
      </c>
      <c r="O1154" s="2">
        <f>Clean_Data[[#This Row],[Profit]]/Clean_Data[[#This Row],[Total_Sales]]</f>
        <v>0.3411764705882353</v>
      </c>
      <c r="P1154" t="str">
        <f>_xlfn.XLOOKUP(Clean_Data[[#This Row],[Product_Code]],Product_Catalog!A:A,Product_Catalog!C:C)</f>
        <v>Accessories</v>
      </c>
      <c r="Q1154">
        <f>IF(Clean_Data[[#This Row],[Order_Date]]="","",YEAR(Clean_Data[[#This Row],[Order_Date]]))</f>
        <v>2025</v>
      </c>
      <c r="R1154" t="str">
        <f>TEXT(Clean_Data[[#This Row],[Order_Date]],"mmm")</f>
        <v>Oct</v>
      </c>
      <c r="S1154" t="str">
        <f>TEXT(Clean_Data[[#This Row],[Order_Date]],"mmm-yy")</f>
        <v>Oct-25</v>
      </c>
      <c r="V1154"/>
    </row>
    <row r="1155" spans="1:22" x14ac:dyDescent="0.25">
      <c r="A1155" t="s">
        <v>1237</v>
      </c>
      <c r="B1155" s="1">
        <v>46218</v>
      </c>
      <c r="C1155" t="s">
        <v>31</v>
      </c>
      <c r="D1155" t="s">
        <v>40</v>
      </c>
      <c r="E1155" t="s">
        <v>63</v>
      </c>
      <c r="F1155" t="s">
        <v>59</v>
      </c>
      <c r="G1155">
        <v>10</v>
      </c>
      <c r="H1155">
        <v>4500</v>
      </c>
      <c r="I1155">
        <v>3346</v>
      </c>
      <c r="J1155" t="s">
        <v>45</v>
      </c>
      <c r="K1155" t="s">
        <v>23</v>
      </c>
      <c r="L1155">
        <f>SUM(Clean_Data[[#This Row],[Units_Sold]]*Clean_Data[[#This Row],[Unit_Price]])</f>
        <v>45000</v>
      </c>
      <c r="M1155">
        <f>Clean_Data[[#This Row],[Units_Sold]]*Clean_Data[[#This Row],[Cost_Price]]</f>
        <v>33460</v>
      </c>
      <c r="N1155">
        <f>Clean_Data[[#This Row],[Total_Sales]]-Clean_Data[[#This Row],[Total_Cost]]</f>
        <v>11540</v>
      </c>
      <c r="O1155" s="2">
        <f>Clean_Data[[#This Row],[Profit]]/Clean_Data[[#This Row],[Total_Sales]]</f>
        <v>0.25644444444444442</v>
      </c>
      <c r="P1155" t="str">
        <f>_xlfn.XLOOKUP(Clean_Data[[#This Row],[Product_Code]],Product_Catalog!A:A,Product_Catalog!C:C)</f>
        <v>Electronics</v>
      </c>
      <c r="Q1155">
        <f>IF(Clean_Data[[#This Row],[Order_Date]]="","",YEAR(Clean_Data[[#This Row],[Order_Date]]))</f>
        <v>2026</v>
      </c>
      <c r="R1155" t="str">
        <f>TEXT(Clean_Data[[#This Row],[Order_Date]],"mmm")</f>
        <v>Jul</v>
      </c>
      <c r="S1155" t="str">
        <f>TEXT(Clean_Data[[#This Row],[Order_Date]],"mmm-yy")</f>
        <v>Jul-26</v>
      </c>
      <c r="V1155"/>
    </row>
    <row r="1156" spans="1:22" x14ac:dyDescent="0.25">
      <c r="A1156" t="s">
        <v>1238</v>
      </c>
      <c r="B1156" s="1">
        <v>45784</v>
      </c>
      <c r="C1156" t="s">
        <v>48</v>
      </c>
      <c r="D1156" t="s">
        <v>13</v>
      </c>
      <c r="E1156" t="s">
        <v>27</v>
      </c>
      <c r="F1156" t="s">
        <v>28</v>
      </c>
      <c r="G1156">
        <v>3</v>
      </c>
      <c r="H1156">
        <v>14000</v>
      </c>
      <c r="I1156">
        <v>9263</v>
      </c>
      <c r="J1156" t="s">
        <v>22</v>
      </c>
      <c r="K1156" t="s">
        <v>46</v>
      </c>
      <c r="L1156">
        <f>SUM(Clean_Data[[#This Row],[Units_Sold]]*Clean_Data[[#This Row],[Unit_Price]])</f>
        <v>42000</v>
      </c>
      <c r="M1156">
        <f>Clean_Data[[#This Row],[Units_Sold]]*Clean_Data[[#This Row],[Cost_Price]]</f>
        <v>27789</v>
      </c>
      <c r="N1156">
        <f>Clean_Data[[#This Row],[Total_Sales]]-Clean_Data[[#This Row],[Total_Cost]]</f>
        <v>14211</v>
      </c>
      <c r="O1156" s="2">
        <f>Clean_Data[[#This Row],[Profit]]/Clean_Data[[#This Row],[Total_Sales]]</f>
        <v>0.33835714285714286</v>
      </c>
      <c r="P1156" t="str">
        <f>_xlfn.XLOOKUP(Clean_Data[[#This Row],[Product_Code]],Product_Catalog!A:A,Product_Catalog!C:C)</f>
        <v>Furniture</v>
      </c>
      <c r="Q1156">
        <f>IF(Clean_Data[[#This Row],[Order_Date]]="","",YEAR(Clean_Data[[#This Row],[Order_Date]]))</f>
        <v>2025</v>
      </c>
      <c r="R1156" t="str">
        <f>TEXT(Clean_Data[[#This Row],[Order_Date]],"mmm")</f>
        <v>May</v>
      </c>
      <c r="S1156" t="str">
        <f>TEXT(Clean_Data[[#This Row],[Order_Date]],"mmm-yy")</f>
        <v>May-25</v>
      </c>
      <c r="V1156"/>
    </row>
    <row r="1157" spans="1:22" x14ac:dyDescent="0.25">
      <c r="A1157" t="s">
        <v>1239</v>
      </c>
      <c r="B1157" s="1">
        <v>46179</v>
      </c>
      <c r="C1157" t="s">
        <v>19</v>
      </c>
      <c r="D1157" t="s">
        <v>13</v>
      </c>
      <c r="E1157" t="s">
        <v>20</v>
      </c>
      <c r="F1157" t="s">
        <v>21</v>
      </c>
      <c r="G1157">
        <v>18</v>
      </c>
      <c r="H1157">
        <v>8500</v>
      </c>
      <c r="I1157">
        <v>5184</v>
      </c>
      <c r="J1157" t="s">
        <v>29</v>
      </c>
      <c r="K1157" t="s">
        <v>23</v>
      </c>
      <c r="L1157">
        <f>SUM(Clean_Data[[#This Row],[Units_Sold]]*Clean_Data[[#This Row],[Unit_Price]])</f>
        <v>153000</v>
      </c>
      <c r="M1157">
        <f>Clean_Data[[#This Row],[Units_Sold]]*Clean_Data[[#This Row],[Cost_Price]]</f>
        <v>93312</v>
      </c>
      <c r="N1157">
        <f>Clean_Data[[#This Row],[Total_Sales]]-Clean_Data[[#This Row],[Total_Cost]]</f>
        <v>59688</v>
      </c>
      <c r="O1157" s="2">
        <f>Clean_Data[[#This Row],[Profit]]/Clean_Data[[#This Row],[Total_Sales]]</f>
        <v>0.39011764705882351</v>
      </c>
      <c r="P1157" t="str">
        <f>_xlfn.XLOOKUP(Clean_Data[[#This Row],[Product_Code]],Product_Catalog!A:A,Product_Catalog!C:C)</f>
        <v>Accessories</v>
      </c>
      <c r="Q1157">
        <f>IF(Clean_Data[[#This Row],[Order_Date]]="","",YEAR(Clean_Data[[#This Row],[Order_Date]]))</f>
        <v>2026</v>
      </c>
      <c r="R1157" t="str">
        <f>TEXT(Clean_Data[[#This Row],[Order_Date]],"mmm")</f>
        <v>Jun</v>
      </c>
      <c r="S1157" t="str">
        <f>TEXT(Clean_Data[[#This Row],[Order_Date]],"mmm-yy")</f>
        <v>Jun-26</v>
      </c>
      <c r="V1157"/>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521B2-A902-420C-B3F5-3FE2F6414D04}">
  <sheetPr codeName="Sheet6"/>
  <dimension ref="A1:D10"/>
  <sheetViews>
    <sheetView workbookViewId="0"/>
  </sheetViews>
  <sheetFormatPr defaultRowHeight="15" x14ac:dyDescent="0.25"/>
  <cols>
    <col min="1" max="1" width="16.140625" bestFit="1" customWidth="1"/>
    <col min="2" max="2" width="28" bestFit="1" customWidth="1"/>
    <col min="3" max="3" width="11.5703125" bestFit="1" customWidth="1"/>
    <col min="4" max="4" width="16.85546875" bestFit="1" customWidth="1"/>
  </cols>
  <sheetData>
    <row r="1" spans="1:4" x14ac:dyDescent="0.25">
      <c r="A1" t="s">
        <v>1240</v>
      </c>
      <c r="B1" t="s">
        <v>5</v>
      </c>
      <c r="C1" t="s">
        <v>1241</v>
      </c>
      <c r="D1" t="s">
        <v>1242</v>
      </c>
    </row>
    <row r="2" spans="1:4" x14ac:dyDescent="0.25">
      <c r="A2" t="s">
        <v>37</v>
      </c>
      <c r="B2" t="s">
        <v>38</v>
      </c>
      <c r="C2" t="s">
        <v>1243</v>
      </c>
      <c r="D2">
        <v>55000</v>
      </c>
    </row>
    <row r="3" spans="1:4" x14ac:dyDescent="0.25">
      <c r="A3" t="s">
        <v>63</v>
      </c>
      <c r="B3" t="s">
        <v>59</v>
      </c>
      <c r="C3" t="s">
        <v>1243</v>
      </c>
      <c r="D3">
        <v>4500</v>
      </c>
    </row>
    <row r="4" spans="1:4" x14ac:dyDescent="0.25">
      <c r="A4" t="s">
        <v>66</v>
      </c>
      <c r="B4" t="s">
        <v>67</v>
      </c>
      <c r="C4" t="s">
        <v>1243</v>
      </c>
      <c r="D4">
        <v>2500</v>
      </c>
    </row>
    <row r="5" spans="1:4" x14ac:dyDescent="0.25">
      <c r="A5" t="s">
        <v>27</v>
      </c>
      <c r="B5" t="s">
        <v>28</v>
      </c>
      <c r="C5" t="s">
        <v>1244</v>
      </c>
      <c r="D5">
        <v>14000</v>
      </c>
    </row>
    <row r="6" spans="1:4" x14ac:dyDescent="0.25">
      <c r="A6" t="s">
        <v>55</v>
      </c>
      <c r="B6" t="s">
        <v>34</v>
      </c>
      <c r="C6" t="s">
        <v>1244</v>
      </c>
      <c r="D6">
        <v>35000</v>
      </c>
    </row>
    <row r="7" spans="1:4" x14ac:dyDescent="0.25">
      <c r="A7" t="s">
        <v>20</v>
      </c>
      <c r="B7" t="s">
        <v>21</v>
      </c>
      <c r="C7" t="s">
        <v>1245</v>
      </c>
      <c r="D7">
        <v>8500</v>
      </c>
    </row>
    <row r="8" spans="1:4" x14ac:dyDescent="0.25">
      <c r="A8" t="s">
        <v>49</v>
      </c>
      <c r="B8" t="s">
        <v>50</v>
      </c>
      <c r="C8" t="s">
        <v>1243</v>
      </c>
      <c r="D8">
        <v>75000</v>
      </c>
    </row>
    <row r="9" spans="1:4" x14ac:dyDescent="0.25">
      <c r="A9" t="s">
        <v>14</v>
      </c>
      <c r="B9" t="s">
        <v>15</v>
      </c>
      <c r="C9" t="s">
        <v>1245</v>
      </c>
      <c r="D9">
        <v>12500</v>
      </c>
    </row>
    <row r="10" spans="1:4" x14ac:dyDescent="0.25">
      <c r="A10" t="s">
        <v>41</v>
      </c>
      <c r="B10" t="s">
        <v>42</v>
      </c>
      <c r="C10" t="s">
        <v>1243</v>
      </c>
      <c r="D10">
        <v>28000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A0154-DEFA-49FE-94AA-7D817A72ADF6}">
  <sheetPr codeName="Sheet3"/>
  <dimension ref="A3:L20"/>
  <sheetViews>
    <sheetView topLeftCell="A3" workbookViewId="0">
      <selection activeCell="A10" sqref="A10"/>
    </sheetView>
  </sheetViews>
  <sheetFormatPr defaultRowHeight="15" x14ac:dyDescent="0.25"/>
  <cols>
    <col min="1" max="2" width="18.140625" bestFit="1" customWidth="1"/>
    <col min="3" max="4" width="12.7109375" bestFit="1" customWidth="1"/>
    <col min="5" max="5" width="13.42578125" bestFit="1" customWidth="1"/>
    <col min="6" max="6" width="18.140625" bestFit="1" customWidth="1"/>
    <col min="8" max="8" width="17.5703125" bestFit="1" customWidth="1"/>
    <col min="9" max="9" width="18.140625" bestFit="1" customWidth="1"/>
    <col min="10" max="10" width="17.5703125" bestFit="1" customWidth="1"/>
    <col min="11" max="11" width="13.42578125" bestFit="1" customWidth="1"/>
    <col min="12" max="12" width="18.140625" bestFit="1" customWidth="1"/>
  </cols>
  <sheetData>
    <row r="3" spans="1:12" x14ac:dyDescent="0.25">
      <c r="A3" t="s">
        <v>2111</v>
      </c>
      <c r="C3" s="8" t="s">
        <v>2112</v>
      </c>
      <c r="E3" t="s">
        <v>2089</v>
      </c>
      <c r="H3" s="14" t="s">
        <v>2113</v>
      </c>
      <c r="J3" s="14" t="s">
        <v>2090</v>
      </c>
    </row>
    <row r="4" spans="1:12" x14ac:dyDescent="0.25">
      <c r="A4" s="11">
        <v>309130000</v>
      </c>
      <c r="C4" s="11">
        <v>93490092</v>
      </c>
      <c r="E4" s="9">
        <f>GETPIVOTDATA("Profit",$C$3)/GETPIVOTDATA("Total_Sales",$A$3)</f>
        <v>0.3024296962442985</v>
      </c>
      <c r="H4" s="14">
        <v>1156</v>
      </c>
      <c r="J4" s="14">
        <v>11674</v>
      </c>
    </row>
    <row r="7" spans="1:12" x14ac:dyDescent="0.25">
      <c r="A7" s="12" t="s">
        <v>2091</v>
      </c>
      <c r="B7" t="s">
        <v>2111</v>
      </c>
      <c r="C7" t="s">
        <v>2112</v>
      </c>
      <c r="E7" s="12" t="s">
        <v>2091</v>
      </c>
      <c r="F7" t="s">
        <v>2111</v>
      </c>
      <c r="H7" s="12" t="s">
        <v>2091</v>
      </c>
      <c r="I7" t="s">
        <v>2111</v>
      </c>
      <c r="K7" s="12" t="s">
        <v>2091</v>
      </c>
      <c r="L7" t="s">
        <v>2111</v>
      </c>
    </row>
    <row r="8" spans="1:12" x14ac:dyDescent="0.25">
      <c r="A8" s="10" t="s">
        <v>2092</v>
      </c>
      <c r="B8" s="11">
        <v>25461000</v>
      </c>
      <c r="C8" s="11">
        <v>7684360</v>
      </c>
      <c r="E8" s="10" t="s">
        <v>36</v>
      </c>
      <c r="F8" s="11">
        <v>40942000</v>
      </c>
      <c r="H8" s="10" t="s">
        <v>73</v>
      </c>
      <c r="I8" s="11">
        <v>36687500</v>
      </c>
      <c r="K8" s="10" t="s">
        <v>1245</v>
      </c>
      <c r="L8" s="11">
        <v>26563500</v>
      </c>
    </row>
    <row r="9" spans="1:12" x14ac:dyDescent="0.25">
      <c r="A9" s="10" t="s">
        <v>2093</v>
      </c>
      <c r="B9" s="11">
        <v>33121000</v>
      </c>
      <c r="C9" s="11">
        <v>10044059</v>
      </c>
      <c r="E9" s="10" t="s">
        <v>13</v>
      </c>
      <c r="F9" s="11">
        <v>89135000</v>
      </c>
      <c r="H9" s="10" t="s">
        <v>48</v>
      </c>
      <c r="I9" s="11">
        <v>33976500</v>
      </c>
      <c r="K9" s="10" t="s">
        <v>1244</v>
      </c>
      <c r="L9" s="11">
        <v>60263000</v>
      </c>
    </row>
    <row r="10" spans="1:12" x14ac:dyDescent="0.25">
      <c r="A10" s="10" t="s">
        <v>2094</v>
      </c>
      <c r="B10" s="11">
        <v>34840500</v>
      </c>
      <c r="C10" s="11">
        <v>10554067</v>
      </c>
      <c r="E10" s="10" t="s">
        <v>40</v>
      </c>
      <c r="F10" s="11">
        <v>87296500</v>
      </c>
      <c r="H10" s="10" t="s">
        <v>44</v>
      </c>
      <c r="I10" s="11">
        <v>39354000</v>
      </c>
      <c r="K10" s="10" t="s">
        <v>1243</v>
      </c>
      <c r="L10" s="11">
        <v>222303500</v>
      </c>
    </row>
    <row r="11" spans="1:12" x14ac:dyDescent="0.25">
      <c r="A11" s="10" t="s">
        <v>2095</v>
      </c>
      <c r="B11" s="11">
        <v>32150500</v>
      </c>
      <c r="C11" s="11">
        <v>9343954</v>
      </c>
      <c r="E11" s="10" t="s">
        <v>33</v>
      </c>
      <c r="F11" s="11">
        <v>50492000</v>
      </c>
      <c r="H11" s="10" t="s">
        <v>62</v>
      </c>
      <c r="I11" s="11">
        <v>40264500</v>
      </c>
      <c r="K11" s="10" t="s">
        <v>2096</v>
      </c>
      <c r="L11" s="11">
        <v>309130000</v>
      </c>
    </row>
    <row r="12" spans="1:12" x14ac:dyDescent="0.25">
      <c r="A12" s="10" t="s">
        <v>2097</v>
      </c>
      <c r="B12" s="11">
        <v>23887000</v>
      </c>
      <c r="C12" s="11">
        <v>7200164</v>
      </c>
      <c r="E12" s="10" t="s">
        <v>26</v>
      </c>
      <c r="F12" s="11">
        <v>41264500</v>
      </c>
      <c r="H12" s="10" t="s">
        <v>53</v>
      </c>
      <c r="I12" s="11">
        <v>41534000</v>
      </c>
    </row>
    <row r="13" spans="1:12" x14ac:dyDescent="0.25">
      <c r="A13" s="10" t="s">
        <v>2098</v>
      </c>
      <c r="B13" s="11">
        <v>30089500</v>
      </c>
      <c r="C13" s="11">
        <v>8948596</v>
      </c>
      <c r="E13" s="10" t="s">
        <v>2096</v>
      </c>
      <c r="F13" s="11">
        <v>309130000</v>
      </c>
      <c r="H13" s="10" t="s">
        <v>2096</v>
      </c>
      <c r="I13" s="11">
        <v>191816500</v>
      </c>
    </row>
    <row r="14" spans="1:12" x14ac:dyDescent="0.25">
      <c r="A14" s="10" t="s">
        <v>2099</v>
      </c>
      <c r="B14" s="11">
        <v>33419000</v>
      </c>
      <c r="C14" s="11">
        <v>10431069</v>
      </c>
    </row>
    <row r="15" spans="1:12" x14ac:dyDescent="0.25">
      <c r="A15" s="10" t="s">
        <v>2100</v>
      </c>
      <c r="B15" s="11">
        <v>25702000</v>
      </c>
      <c r="C15" s="11">
        <v>7820052</v>
      </c>
    </row>
    <row r="16" spans="1:12" x14ac:dyDescent="0.25">
      <c r="A16" s="10" t="s">
        <v>2101</v>
      </c>
      <c r="B16" s="11">
        <v>18710000</v>
      </c>
      <c r="C16" s="11">
        <v>5726915</v>
      </c>
    </row>
    <row r="17" spans="1:3" x14ac:dyDescent="0.25">
      <c r="A17" s="10" t="s">
        <v>2102</v>
      </c>
      <c r="B17" s="11">
        <v>21834000</v>
      </c>
      <c r="C17" s="11">
        <v>6790574</v>
      </c>
    </row>
    <row r="18" spans="1:3" x14ac:dyDescent="0.25">
      <c r="A18" s="10" t="s">
        <v>2103</v>
      </c>
      <c r="B18" s="11">
        <v>15661500</v>
      </c>
      <c r="C18" s="11">
        <v>4872101</v>
      </c>
    </row>
    <row r="19" spans="1:3" x14ac:dyDescent="0.25">
      <c r="A19" s="10" t="s">
        <v>2104</v>
      </c>
      <c r="B19" s="11">
        <v>14254000</v>
      </c>
      <c r="C19" s="11">
        <v>4074181</v>
      </c>
    </row>
    <row r="20" spans="1:3" x14ac:dyDescent="0.25">
      <c r="A20" s="10" t="s">
        <v>2096</v>
      </c>
      <c r="B20" s="11">
        <v>309130000</v>
      </c>
      <c r="C20" s="11">
        <v>93490092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0E807-971B-4833-9EDF-3C08C4E3AC58}">
  <sheetPr codeName="Sheet4"/>
  <dimension ref="A1:A2"/>
  <sheetViews>
    <sheetView showGridLines="0" showRowColHeaders="0" tabSelected="1" topLeftCell="D2" zoomScale="77" zoomScaleNormal="94" workbookViewId="0">
      <selection activeCell="Z21" sqref="Z21"/>
    </sheetView>
  </sheetViews>
  <sheetFormatPr defaultRowHeight="15" x14ac:dyDescent="0.25"/>
  <cols>
    <col min="1" max="16384" width="9.140625" style="13"/>
  </cols>
  <sheetData>
    <row r="1" s="13" customFormat="1" x14ac:dyDescent="0.25"/>
    <row r="2" s="13"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5B5E0A-4C1E-48D1-BAD8-D7D861A67A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Raw_Sales_Data</vt:lpstr>
      <vt:lpstr>Raw_Product_Catalog</vt:lpstr>
      <vt:lpstr>Clean_Sales_Data</vt:lpstr>
      <vt:lpstr>Product_Catalog</vt:lpstr>
      <vt:lpstr>Pivot_Table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c2077</dc:creator>
  <cp:lastModifiedBy>c2077</cp:lastModifiedBy>
  <cp:lastPrinted>2026-10-09T18:06:04Z</cp:lastPrinted>
  <dcterms:created xsi:type="dcterms:W3CDTF">2026-10-07T18:16:31Z</dcterms:created>
  <dcterms:modified xsi:type="dcterms:W3CDTF">2026-10-15T09:16:55Z</dcterms:modified>
</cp:coreProperties>
</file>